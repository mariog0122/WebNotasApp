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. INTER" sheetId="1" r:id="rId4"/>
    <sheet state="visible" name="LEN" sheetId="2" r:id="rId5"/>
    <sheet state="visible" name="MATE" sheetId="3" r:id="rId6"/>
    <sheet state="visible" name="QUIMI" sheetId="4" r:id="rId7"/>
    <sheet state="visible" name="INGLES" sheetId="5" r:id="rId8"/>
    <sheet state="visible" name="FISICA" sheetId="6" r:id="rId9"/>
    <sheet state="visible" name="ED. FISICA" sheetId="7" r:id="rId10"/>
    <sheet state="visible" name="E. C. A " sheetId="8" r:id="rId11"/>
    <sheet state="visible" name="CONTABILIDAD GENERAL " sheetId="9" r:id="rId12"/>
    <sheet state="hidden" name="Hoja 1" sheetId="10" r:id="rId13"/>
    <sheet state="visible" name="HIST" sheetId="11" r:id="rId14"/>
    <sheet state="visible" name="BIO" sheetId="12" r:id="rId15"/>
    <sheet state="visible" name="FILOSOFIA" sheetId="13" r:id="rId16"/>
    <sheet state="visible" name="EMP" sheetId="14" r:id="rId17"/>
    <sheet state="visible" name="EDUCACION PARA LA CIUDADANIA " sheetId="15" r:id="rId18"/>
    <sheet state="visible" name="PAQUETES CONTABLES " sheetId="16" r:id="rId19"/>
    <sheet state="visible" name="TRIBUTACION " sheetId="17" r:id="rId20"/>
    <sheet state="visible" name="SABANA CALIFICACIONES" sheetId="18" r:id="rId21"/>
    <sheet state="visible" name="ACTA FINAL" sheetId="19" r:id="rId22"/>
    <sheet state="visible" name="RESUMEN FINAL" sheetId="20" r:id="rId23"/>
  </sheets>
  <definedNames/>
  <calcPr/>
  <extLst>
    <ext uri="GoogleSheetsCustomDataVersion2">
      <go:sheetsCustomData xmlns:go="http://customooxmlschemas.google.com/" r:id="rId24" roundtripDataChecksum="2Xj4iCITivf044EC728WW+fD+HC5Beg8JiNqfv2gzE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T10">
      <text>
        <t xml:space="preserve">======
ID#AAABZfUzzbQ
UE JGL    (2024-07-22 19:58:11)
Talleres</t>
      </text>
    </comment>
    <comment authorId="0" ref="H10">
      <text>
        <t xml:space="preserve">======
ID#AAABZfUzzbk
UE JGL    (2024-07-22 19:58:11)
Tareas/Ejercicios en clase</t>
      </text>
    </comment>
    <comment authorId="0" ref="D10">
      <text>
        <t xml:space="preserve">======
ID#AAABZfUzze4
UE JGL    (2024-07-22 19:58:11)
Lecciones de revisión o retroalimentación orales y/o escritas</t>
      </text>
    </comment>
    <comment authorId="0" ref="BT10">
      <text>
        <t xml:space="preserve">======
ID#AAABZfUzzfA
UE JGL    (2024-07-22 19:58:11)
Proyectos y/o Investigaciones dentro de la institución educativa</t>
      </text>
    </comment>
    <comment authorId="0" ref="AX8">
      <text>
        <t xml:space="preserve">======
ID#AAABZfUzzes
Luis Javier De La Cruz Perero    (2024-07-22 19:58:11)
Reemplaza a cualquier insumo del promedio</t>
      </text>
    </comment>
    <comment authorId="0" ref="L10">
      <text>
        <t xml:space="preserve">======
ID#AAABZfUzziQ
UE JGL    (2024-07-22 19:58:11)
Proyectos y/o Investigaciones dentro de la institución educativa</t>
      </text>
    </comment>
    <comment authorId="0" ref="AJ10">
      <text>
        <t xml:space="preserve">======
ID#AAABZfUzzjo
UE JGL    (2024-07-22 19:58:11)
Pruebas de base estructurada integrales abiertas y/o cerradas</t>
      </text>
    </comment>
    <comment authorId="0" ref="AH10">
      <text>
        <t xml:space="preserve">======
ID#AAABZfUzzn8
UE JGL    (2024-07-22 19:58:11)
Lecciones de revisión o retroalimentación orales y/o escritas</t>
      </text>
    </comment>
    <comment authorId="0" ref="AP10">
      <text>
        <t xml:space="preserve">======
ID#AAABZfUzzmY
UE JGL    (2024-07-22 19:58:11)
Proyectos y/o Investigaciones dentro de la institución educativa</t>
      </text>
    </comment>
    <comment authorId="0" ref="CB11">
      <text>
        <t xml:space="preserve">======
ID#AAABZfUzzmk
Jessenia G S    (2024-07-22 19:58:11)
Ingrese el criterio de evaluación para 
el refuerzo</t>
      </text>
    </comment>
    <comment authorId="0" ref="BV10">
      <text>
        <t xml:space="preserve">======
ID#AAABZfUzzoY
UE JGL    (2024-07-22 19:58:11)
Exposiciones, foros, debates y resentaciones artísticas y/o científicas</t>
      </text>
    </comment>
    <comment authorId="0" ref="F10">
      <text>
        <t xml:space="preserve">======
ID#AAABZfUzzqg
UE JGL    (2024-07-22 19:58:11)
Pruebas de base estructurada integrales abiertas y/o cerradas</t>
      </text>
    </comment>
    <comment authorId="0" ref="CB8">
      <text>
        <t xml:space="preserve">======
ID#AAABZfUzzUU
Luis Javier De La Cruz Perero    (2024-07-22 19:58:11)
Reemplaza a cualquier insumo del promedio</t>
      </text>
    </comment>
    <comment authorId="0" ref="AL10">
      <text>
        <t xml:space="preserve">======
ID#AAABZfUzzXM
UE JGL    (2024-07-22 19:58:11)
Tareas/Ejercicios en clase</t>
      </text>
    </comment>
    <comment authorId="0" ref="BX10">
      <text>
        <t xml:space="preserve">======
ID#AAABZfUzzYk
UE JGL    (2024-07-22 19:58:11)
Talleres</t>
      </text>
    </comment>
    <comment authorId="0" ref="BN10">
      <text>
        <t xml:space="preserve">======
ID#AAABZfUzzaw
UE JGL    (2024-07-22 19:58:10)
Pruebas de base estructurada integrales abiertas y/o cerradas</t>
      </text>
    </comment>
    <comment authorId="0" ref="BZ10">
      <text>
        <t xml:space="preserve">======
ID#AAABZfUzzcs
UE JGL    (2024-07-22 19:58:10)
Desarrollo de productos como maquetas, dioramas, presentaciones
artísticas y/o científicas y/o culturales</t>
      </text>
    </comment>
    <comment authorId="0" ref="AX11">
      <text>
        <t xml:space="preserve">======
ID#AAABZfUzzf4
Jessenia G S    (2024-07-22 19:58:10)
Ingrese el criterio de evaluación para 
el refuerzo</t>
      </text>
    </comment>
    <comment authorId="0" ref="AN10">
      <text>
        <t xml:space="preserve">======
ID#AAABZfUzzew
UE JGL    (2024-07-22 19:58:10)
Proyectos y/o investigaciones</t>
      </text>
    </comment>
    <comment authorId="0" ref="AV10">
      <text>
        <t xml:space="preserve">======
ID#AAABZfUzzjU
UE JGL    (2024-07-22 19:58:10)
Desarrollo de productos como maquetas, dioramas, presentaciones
artísticas y/o científicas y/o culturales</t>
      </text>
    </comment>
    <comment authorId="0" ref="N10">
      <text>
        <t xml:space="preserve">======
ID#AAABZfUzzl0
UE JGL    (2024-07-22 19:58:10)
Exposiciones, foros, debates y resentaciones artísticas y/o científicas</t>
      </text>
    </comment>
    <comment authorId="0" ref="T11">
      <text>
        <t xml:space="preserve">======
ID#AAABZfUzzks
Jessenia G S    (2024-07-22 19:58:10)
Ingrese el criterio de evaluación para 
el refuerzo</t>
      </text>
    </comment>
    <comment authorId="0" ref="T8">
      <text>
        <t xml:space="preserve">======
ID#AAABZfUzzmQ
Luis Javier De La Cruz Perero    (2024-07-22 19:58:10)
Reemplaza a cualquier insumo del promedio</t>
      </text>
    </comment>
    <comment authorId="0" ref="BL10">
      <text>
        <t xml:space="preserve">======
ID#AAABZfUzzoQ
UE JGL    (2024-07-22 19:58:10)
Lecciones de revisión o retroalimentación orales y/o escritas</t>
      </text>
    </comment>
    <comment authorId="0" ref="AR10">
      <text>
        <t xml:space="preserve">======
ID#AAABZfUzzW4
UE JGL    (2024-07-22 19:58:10)
Exposiciones, foros, debates y resentaciones artísticas y/o científicas</t>
      </text>
    </comment>
    <comment authorId="0" ref="J10">
      <text>
        <t xml:space="preserve">======
ID#AAABZfUzzXI
UE JGL    (2024-07-22 19:58:10)
Proyectos y/o investigaciones</t>
      </text>
    </comment>
    <comment authorId="0" ref="BP10">
      <text>
        <t xml:space="preserve">======
ID#AAABZfUzzWo
UE JGL    (2024-07-22 19:58:10)
Tareas/Ejercicios en clase</t>
      </text>
    </comment>
    <comment authorId="0" ref="R10">
      <text>
        <t xml:space="preserve">======
ID#AAABZfUzzXc
UE JGL    (2024-07-22 19:58:10)
Desarrollo de productos como maquetas, dioramas, presentaciones
artísticas y/o científicas y/o culturales</t>
      </text>
    </comment>
    <comment authorId="0" ref="P10">
      <text>
        <t xml:space="preserve">======
ID#AAABZfUzzZY
UE JGL    (2024-07-22 19:58:10)
Talleres</t>
      </text>
    </comment>
    <comment authorId="0" ref="BR10">
      <text>
        <t xml:space="preserve">======
ID#AAABZfUzzZg
UE JGL    (2024-07-22 19:58:10)
Proyectos y/o investigaciones</t>
      </text>
    </comment>
  </commentList>
  <extLst>
    <ext uri="GoogleSheetsCustomDataVersion2">
      <go:sheetsCustomData xmlns:go="http://customooxmlschemas.google.com/" r:id="rId1" roundtripDataSignature="AMtx7mhY3QZyolMrbyqKKuT8R2cJOvK+u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B8">
      <text>
        <t xml:space="preserve">======
ID#AAABZfUzzbs
Luis Javier De La Cruz Perero    (2024-07-22 19:58:11)
Reemplaza a cualquier insumo del promedio</t>
      </text>
    </comment>
    <comment authorId="0" ref="AR10">
      <text>
        <t xml:space="preserve">======
ID#AAABZfUzzjM
UE JGL    (2024-07-22 19:58:11)
Exposiciones, foros, debates y resentaciones artísticas y/o científicas</t>
      </text>
    </comment>
    <comment authorId="0" ref="H10">
      <text>
        <t xml:space="preserve">======
ID#AAABZfUzzlE
UE JGL    (2024-07-22 19:58:11)
Tareas/Ejercicios en clase</t>
      </text>
    </comment>
    <comment authorId="0" ref="BV10">
      <text>
        <t xml:space="preserve">======
ID#AAABZfUzzmI
UE JGL    (2024-07-22 19:58:11)
Exposiciones, foros, debates y resentaciones artísticas y/o científicas</t>
      </text>
    </comment>
    <comment authorId="0" ref="R10">
      <text>
        <t xml:space="preserve">======
ID#AAABZfUzznM
UE JGL    (2024-07-22 19:58:11)
Desarrollo de productos como maquetas, dioramas, presentaciones
artísticas y/o científicas y/o culturales</t>
      </text>
    </comment>
    <comment authorId="0" ref="AX11">
      <text>
        <t xml:space="preserve">======
ID#AAABZfUzzoM
Jessenia G S    (2024-07-22 19:58:11)
Ingrese el criterio de evaluación para 
el refuerzo</t>
      </text>
    </comment>
    <comment authorId="0" ref="T11">
      <text>
        <t xml:space="preserve">======
ID#AAABZfUzzVY
Jessenia G S    (2024-07-22 19:58:11)
Ingrese el criterio de evaluación para 
el refuerzo</t>
      </text>
    </comment>
    <comment authorId="0" ref="AV10">
      <text>
        <t xml:space="preserve">======
ID#AAABZfUzzVQ
UE JGL    (2024-07-22 19:58:11)
Desarrollo de productos como maquetas, dioramas, presentaciones
artísticas y/o científicas y/o culturales</t>
      </text>
    </comment>
    <comment authorId="0" ref="CB11">
      <text>
        <t xml:space="preserve">======
ID#AAABZfUzzVw
Jessenia G S    (2024-07-22 19:58:11)
Ingrese el criterio de evaluación para 
el refuerzo</t>
      </text>
    </comment>
    <comment authorId="0" ref="AJ10">
      <text>
        <t xml:space="preserve">======
ID#AAABZfUzzXA
UE JGL    (2024-07-22 19:58:11)
Pruebas de base estructurada integrales abiertas y/o cerradas</t>
      </text>
    </comment>
    <comment authorId="0" ref="BR10">
      <text>
        <t xml:space="preserve">======
ID#AAABZfUzzXk
UE JGL    (2024-07-22 19:58:11)
Proyectos y/o investigaciones</t>
      </text>
    </comment>
    <comment authorId="0" ref="N10">
      <text>
        <t xml:space="preserve">======
ID#AAABZfUzzXs
UE JGL    (2024-07-22 19:58:11)
Exposiciones, foros, debates y resentaciones artísticas y/o científicas</t>
      </text>
    </comment>
    <comment authorId="0" ref="BX10">
      <text>
        <t xml:space="preserve">======
ID#AAABZfUzzZ8
UE JGL    (2024-07-22 19:58:11)
Talleres</t>
      </text>
    </comment>
    <comment authorId="0" ref="BL10">
      <text>
        <t xml:space="preserve">======
ID#AAABZfUzzZM
UE JGL    (2024-07-22 19:58:11)
Lecciones de revisión o retroalimentación orales y/o escritas</t>
      </text>
    </comment>
    <comment authorId="0" ref="AP10">
      <text>
        <t xml:space="preserve">======
ID#AAABZfUzzaM
UE JGL    (2024-07-22 19:58:11)
Proyectos y/o Investigaciones dentro de la institución educativa</t>
      </text>
    </comment>
    <comment authorId="0" ref="J10">
      <text>
        <t xml:space="preserve">======
ID#AAABZfUzzbE
UE JGL    (2024-07-22 19:58:10)
Proyectos y/o investigaciones</t>
      </text>
    </comment>
    <comment authorId="0" ref="F10">
      <text>
        <t xml:space="preserve">======
ID#AAABZfUzzcI
UE JGL    (2024-07-22 19:58:10)
Pruebas de base estructurada integrales abiertas y/o cerradas</t>
      </text>
    </comment>
    <comment authorId="0" ref="D10">
      <text>
        <t xml:space="preserve">======
ID#AAABZfUzzdA
UE JGL    (2024-07-22 19:58:10)
Lecciones de revisión o retroalimentación orales y/o escritas</t>
      </text>
    </comment>
    <comment authorId="0" ref="BN10">
      <text>
        <t xml:space="preserve">======
ID#AAABZfUzzdY
UE JGL    (2024-07-22 19:58:10)
Pruebas de base estructurada integrales abiertas y/o cerradas</t>
      </text>
    </comment>
    <comment authorId="0" ref="BT10">
      <text>
        <t xml:space="preserve">======
ID#AAABZfUzzfI
UE JGL    (2024-07-22 19:58:10)
Proyectos y/o Investigaciones dentro de la institución educativa</t>
      </text>
    </comment>
    <comment authorId="0" ref="BP10">
      <text>
        <t xml:space="preserve">======
ID#AAABZfUzzfc
UE JGL    (2024-07-22 19:58:10)
Tareas/Ejercicios en clase</t>
      </text>
    </comment>
    <comment authorId="0" ref="AH10">
      <text>
        <t xml:space="preserve">======
ID#AAABZfUzzgY
UE JGL    (2024-07-22 19:58:10)
Lecciones de revisión o retroalimentación orales y/o escritas</t>
      </text>
    </comment>
    <comment authorId="0" ref="AT10">
      <text>
        <t xml:space="preserve">======
ID#AAABZfUzzfs
UE JGL    (2024-07-22 19:58:10)
Talleres</t>
      </text>
    </comment>
    <comment authorId="0" ref="P10">
      <text>
        <t xml:space="preserve">======
ID#AAABZfUzzhI
UE JGL    (2024-07-22 19:58:10)
Talleres</t>
      </text>
    </comment>
    <comment authorId="0" ref="AN10">
      <text>
        <t xml:space="preserve">======
ID#AAABZfUzzpU
UE JGL    (2024-07-22 19:58:10)
Proyectos y/o investigaciones</t>
      </text>
    </comment>
    <comment authorId="0" ref="BZ10">
      <text>
        <t xml:space="preserve">======
ID#AAABZfUzzog
UE JGL    (2024-07-22 19:58:10)
Desarrollo de productos como maquetas, dioramas, presentaciones
artísticas y/o científicas y/o culturales</t>
      </text>
    </comment>
    <comment authorId="0" ref="T8">
      <text>
        <t xml:space="preserve">======
ID#AAABZfUzzqA
Luis Javier De La Cruz Perero    (2024-07-22 19:58:10)
Reemplaza a cualquier insumo del promedio</t>
      </text>
    </comment>
    <comment authorId="0" ref="AL10">
      <text>
        <t xml:space="preserve">======
ID#AAABZfUzzYA
UE JGL    (2024-07-22 19:58:10)
Tareas/Ejercicios en clase</t>
      </text>
    </comment>
    <comment authorId="0" ref="L10">
      <text>
        <t xml:space="preserve">======
ID#AAABZfUzza8
UE JGL    (2024-07-22 19:58:10)
Proyectos y/o Investigaciones dentro de la institución educativa</t>
      </text>
    </comment>
    <comment authorId="0" ref="AX8">
      <text>
        <t xml:space="preserve">======
ID#AAABZfUzzaE
Luis Javier De La Cruz Perero    (2024-07-22 19:58:10)
Reemplaza a cualquier insumo del promedio</t>
      </text>
    </comment>
  </commentList>
  <extLst>
    <ext uri="GoogleSheetsCustomDataVersion2">
      <go:sheetsCustomData xmlns:go="http://customooxmlschemas.google.com/" r:id="rId1" roundtripDataSignature="AMtx7mh8zpBqcOp3yL7Ews5YrzPMPuRse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1">
      <text>
        <t xml:space="preserve">======
ID#AAABZfUzzaY
Jessenia G S    (2024-07-22 19:58:11)
Ingrese el criterio de evaluación para 
el refuerzo</t>
      </text>
    </comment>
    <comment authorId="0" ref="CB8">
      <text>
        <t xml:space="preserve">======
ID#AAABZfUzzeo
Luis Javier De La Cruz Perero    (2024-07-22 19:58:11)
Reemplaza a cualquier insumo del promedio</t>
      </text>
    </comment>
    <comment authorId="0" ref="AR10">
      <text>
        <t xml:space="preserve">======
ID#AAABZfUzzhk
UE JGL    (2024-07-22 19:58:11)
Exposiciones, foros, debates y resentaciones artísticas y/o científicas</t>
      </text>
    </comment>
    <comment authorId="0" ref="AX8">
      <text>
        <t xml:space="preserve">======
ID#AAABZfUzziw
Luis Javier De La Cruz Perero    (2024-07-22 19:58:11)
Reemplaza a cualquier insumo del promedio</t>
      </text>
    </comment>
    <comment authorId="0" ref="BP10">
      <text>
        <t xml:space="preserve">======
ID#AAABZfUzzk8
UE JGL    (2024-07-22 19:58:11)
Tareas/Ejercicios en clase</t>
      </text>
    </comment>
    <comment authorId="0" ref="AT10">
      <text>
        <t xml:space="preserve">======
ID#AAABZfUzzl8
UE JGL    (2024-07-22 19:58:11)
Talleres</t>
      </text>
    </comment>
    <comment authorId="0" ref="BN10">
      <text>
        <t xml:space="preserve">======
ID#AAABZfUzzkc
UE JGL    (2024-07-22 19:58:11)
Pruebas de base estructurada integrales abiertas y/o cerradas</t>
      </text>
    </comment>
    <comment authorId="0" ref="CB11">
      <text>
        <t xml:space="preserve">======
ID#AAABZfUzzow
Jessenia G S    (2024-07-22 19:58:11)
Ingrese el criterio de evaluación para 
el refuerzo</t>
      </text>
    </comment>
    <comment authorId="0" ref="BZ10">
      <text>
        <t xml:space="preserve">======
ID#AAABZfUzzUk
UE JGL    (2024-07-22 19:58:11)
Desarrollo de productos como maquetas, dioramas, presentaciones
artísticas y/o científicas y/o culturales</t>
      </text>
    </comment>
    <comment authorId="0" ref="AH10">
      <text>
        <t xml:space="preserve">======
ID#AAABZfUzzZA
UE JGL    (2024-07-22 19:58:11)
Lecciones de revisión o retroalimentación orales y/o escritas</t>
      </text>
    </comment>
    <comment authorId="0" ref="AP10">
      <text>
        <t xml:space="preserve">======
ID#AAABZfUzzbU
UE JGL    (2024-07-22 19:58:10)
Proyectos y/o Investigaciones dentro de la institución educativa</t>
      </text>
    </comment>
    <comment authorId="0" ref="AV10">
      <text>
        <t xml:space="preserve">======
ID#AAABZfUzzd8
UE JGL    (2024-07-22 19:58:10)
Desarrollo de productos como maquetas, dioramas, presentaciones
artísticas y/o científicas y/o culturales</t>
      </text>
    </comment>
    <comment authorId="0" ref="N10">
      <text>
        <t xml:space="preserve">======
ID#AAABZfUzzdI
UE JGL    (2024-07-22 19:58:10)
Exposiciones, foros, debates y resentaciones artísticas y/o científicas</t>
      </text>
    </comment>
    <comment authorId="0" ref="BL10">
      <text>
        <t xml:space="preserve">======
ID#AAABZfUzzfQ
UE JGL    (2024-07-22 19:58:10)
Lecciones de revisión o retroalimentación orales y/o escritas</t>
      </text>
    </comment>
    <comment authorId="0" ref="F10">
      <text>
        <t xml:space="preserve">======
ID#AAABZfUzzhU
UE JGL    (2024-07-22 19:58:10)
Pruebas de base estructurada integrales abiertas y/o cerradas</t>
      </text>
    </comment>
    <comment authorId="0" ref="L10">
      <text>
        <t xml:space="preserve">======
ID#AAABZfUzzig
UE JGL    (2024-07-22 19:58:10)
Proyectos y/o Investigaciones dentro de la institución educativa</t>
      </text>
    </comment>
    <comment authorId="0" ref="AL10">
      <text>
        <t xml:space="preserve">======
ID#AAABZfUzzm4
UE JGL    (2024-07-22 19:58:10)
Tareas/Ejercicios en clase</t>
      </text>
    </comment>
    <comment authorId="0" ref="D10">
      <text>
        <t xml:space="preserve">======
ID#AAABZfUzzko
UE JGL    (2024-07-22 19:58:10)
Lecciones de revisión o retroalimentación orales y/o escritas</t>
      </text>
    </comment>
    <comment authorId="0" ref="R10">
      <text>
        <t xml:space="preserve">======
ID#AAABZfUzzlg
UE JGL    (2024-07-22 19:58:10)
Desarrollo de productos como maquetas, dioramas, presentaciones
artísticas y/o científicas y/o culturales</t>
      </text>
    </comment>
    <comment authorId="0" ref="AN10">
      <text>
        <t xml:space="preserve">======
ID#AAABZfUzznA
UE JGL    (2024-07-22 19:58:10)
Proyectos y/o investigaciones</t>
      </text>
    </comment>
    <comment authorId="0" ref="H10">
      <text>
        <t xml:space="preserve">======
ID#AAABZfUzznQ
UE JGL    (2024-07-22 19:58:10)
Tareas/Ejercicios en clase</t>
      </text>
    </comment>
    <comment authorId="0" ref="BR10">
      <text>
        <t xml:space="preserve">======
ID#AAABZfUzzoc
UE JGL    (2024-07-22 19:58:10)
Proyectos y/o investigaciones</t>
      </text>
    </comment>
    <comment authorId="0" ref="AX11">
      <text>
        <t xml:space="preserve">======
ID#AAABZfUzzqI
Jessenia G S    (2024-07-22 19:58:10)
Ingrese el criterio de evaluación para 
el refuerzo</t>
      </text>
    </comment>
    <comment authorId="0" ref="BX10">
      <text>
        <t xml:space="preserve">======
ID#AAABZfUzzqk
UE JGL    (2024-07-22 19:58:10)
Talleres</t>
      </text>
    </comment>
    <comment authorId="0" ref="J10">
      <text>
        <t xml:space="preserve">======
ID#AAABZfUzzUg
UE JGL    (2024-07-22 19:58:10)
Proyectos y/o investigaciones</t>
      </text>
    </comment>
    <comment authorId="0" ref="T8">
      <text>
        <t xml:space="preserve">======
ID#AAABZfUzzUw
Luis Javier De La Cruz Perero    (2024-07-22 19:58:10)
Reemplaza a cualquier insumo del promedio</t>
      </text>
    </comment>
    <comment authorId="0" ref="BT10">
      <text>
        <t xml:space="preserve">======
ID#AAABZfUzzW0
UE JGL    (2024-07-22 19:58:10)
Proyectos y/o Investigaciones dentro de la institución educativa</t>
      </text>
    </comment>
    <comment authorId="0" ref="BV10">
      <text>
        <t xml:space="preserve">======
ID#AAABZfUzzVo
UE JGL    (2024-07-22 19:58:10)
Exposiciones, foros, debates y resentaciones artísticas y/o científicas</t>
      </text>
    </comment>
    <comment authorId="0" ref="AJ10">
      <text>
        <t xml:space="preserve">======
ID#AAABZfUzzXY
UE JGL    (2024-07-22 19:58:10)
Pruebas de base estructurada integrales abiertas y/o cerradas</t>
      </text>
    </comment>
    <comment authorId="0" ref="P10">
      <text>
        <t xml:space="preserve">======
ID#AAABZfUzzZs
UE JGL    (2024-07-22 19:58:10)
Talleres</t>
      </text>
    </comment>
  </commentList>
  <extLst>
    <ext uri="GoogleSheetsCustomDataVersion2">
      <go:sheetsCustomData xmlns:go="http://customooxmlschemas.google.com/" r:id="rId1" roundtripDataSignature="AMtx7mh+qbGi/x0uOAKuPvZPFyQW2eEh4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R10">
      <text>
        <t xml:space="preserve">======
ID#AAABZfUzzd0
UE JGL    (2024-07-22 19:58:11)
Proyectos y/o investigaciones</t>
      </text>
    </comment>
    <comment authorId="0" ref="AR10">
      <text>
        <t xml:space="preserve">======
ID#AAABZfUzzdg
UE JGL    (2024-07-22 19:58:11)
Exposiciones, foros, debates y resentaciones artísticas y/o científicas</t>
      </text>
    </comment>
    <comment authorId="0" ref="BZ10">
      <text>
        <t xml:space="preserve">======
ID#AAABZfUzzgk
UE JGL    (2024-07-22 19:58:11)
Desarrollo de productos como maquetas, dioramas, presentaciones
artísticas y/o científicas y/o culturales</t>
      </text>
    </comment>
    <comment authorId="0" ref="T11">
      <text>
        <t xml:space="preserve">======
ID#AAABZfUzzi8
Jessenia G S    (2024-07-22 19:58:11)
Ingrese el criterio de evaluación para 
el refuerzo</t>
      </text>
    </comment>
    <comment authorId="0" ref="BP10">
      <text>
        <t xml:space="preserve">======
ID#AAABZfUzzik
UE JGL    (2024-07-22 19:58:11)
Tareas/Ejercicios en clase</t>
      </text>
    </comment>
    <comment authorId="0" ref="AX8">
      <text>
        <t xml:space="preserve">======
ID#AAABZfUzzjE
Luis Javier De La Cruz Perero    (2024-07-22 19:58:11)
Reemplaza a cualquier insumo del promedio</t>
      </text>
    </comment>
    <comment authorId="0" ref="BX10">
      <text>
        <t xml:space="preserve">======
ID#AAABZfUzzkM
UE JGL    (2024-07-22 19:58:11)
Talleres</t>
      </text>
    </comment>
    <comment authorId="0" ref="CB11">
      <text>
        <t xml:space="preserve">======
ID#AAABZfUzzkI
Jessenia G S    (2024-07-22 19:58:11)
Ingrese el criterio de evaluación para 
el refuerzo</t>
      </text>
    </comment>
    <comment authorId="0" ref="AH10">
      <text>
        <t xml:space="preserve">======
ID#AAABZfUzzlc
UE JGL    (2024-07-22 19:58:11)
Lecciones de revisión o retroalimentación orales y/o escritas</t>
      </text>
    </comment>
    <comment authorId="0" ref="AT10">
      <text>
        <t xml:space="preserve">======
ID#AAABZfUzznU
UE JGL    (2024-07-22 19:58:11)
Talleres</t>
      </text>
    </comment>
    <comment authorId="0" ref="R10">
      <text>
        <t xml:space="preserve">======
ID#AAABZfUzzpI
UE JGL    (2024-07-22 19:58:11)
Desarrollo de productos como maquetas, dioramas, presentaciones
artísticas y/o científicas y/o culturales</t>
      </text>
    </comment>
    <comment authorId="0" ref="AX11">
      <text>
        <t xml:space="preserve">======
ID#AAABZfUzzok
Jessenia G S    (2024-07-22 19:58:11)
Ingrese el criterio de evaluación para 
el refuerzo</t>
      </text>
    </comment>
    <comment authorId="0" ref="BT10">
      <text>
        <t xml:space="preserve">======
ID#AAABZfUzzqE
UE JGL    (2024-07-22 19:58:11)
Proyectos y/o Investigaciones dentro de la institución educativa</t>
      </text>
    </comment>
    <comment authorId="0" ref="BL10">
      <text>
        <t xml:space="preserve">======
ID#AAABZfUzzU0
UE JGL    (2024-07-22 19:58:11)
Lecciones de revisión o retroalimentación orales y/o escritas</t>
      </text>
    </comment>
    <comment authorId="0" ref="D10">
      <text>
        <t xml:space="preserve">======
ID#AAABZfUzzV8
UE JGL    (2024-07-22 19:58:11)
Lecciones de revisión o retroalimentación orales y/o escritas</t>
      </text>
    </comment>
    <comment authorId="0" ref="T8">
      <text>
        <t xml:space="preserve">======
ID#AAABZfUzzUQ
Luis Javier De La Cruz Perero    (2024-07-22 19:58:11)
Reemplaza a cualquier insumo del promedio</t>
      </text>
    </comment>
    <comment authorId="0" ref="BV10">
      <text>
        <t xml:space="preserve">======
ID#AAABZfUzzZ4
UE JGL    (2024-07-22 19:58:11)
Exposiciones, foros, debates y resentaciones artísticas y/o científicas</t>
      </text>
    </comment>
    <comment authorId="0" ref="CB8">
      <text>
        <t xml:space="preserve">======
ID#AAABZfUzzak
Luis Javier De La Cruz Perero    (2024-07-22 19:58:10)
Reemplaza a cualquier insumo del promedio</t>
      </text>
    </comment>
    <comment authorId="0" ref="P10">
      <text>
        <t xml:space="preserve">======
ID#AAABZfUzziU
UE JGL    (2024-07-22 19:58:10)
Talleres</t>
      </text>
    </comment>
    <comment authorId="0" ref="F10">
      <text>
        <t xml:space="preserve">======
ID#AAABZfUzzk0
UE JGL    (2024-07-22 19:58:10)
Pruebas de base estructurada integrales abiertas y/o cerradas</t>
      </text>
    </comment>
    <comment authorId="0" ref="AN10">
      <text>
        <t xml:space="preserve">======
ID#AAABZfUzzic
UE JGL    (2024-07-22 19:58:10)
Proyectos y/o investigaciones</t>
      </text>
    </comment>
    <comment authorId="0" ref="AV10">
      <text>
        <t xml:space="preserve">======
ID#AAABZfUzzlM
UE JGL    (2024-07-22 19:58:10)
Desarrollo de productos como maquetas, dioramas, presentaciones
artísticas y/o científicas y/o culturales</t>
      </text>
    </comment>
    <comment authorId="0" ref="L10">
      <text>
        <t xml:space="preserve">======
ID#AAABZfUzzlQ
UE JGL    (2024-07-22 19:58:10)
Proyectos y/o Investigaciones dentro de la institución educativa</t>
      </text>
    </comment>
    <comment authorId="0" ref="AJ10">
      <text>
        <t xml:space="preserve">======
ID#AAABZfUzzkw
UE JGL    (2024-07-22 19:58:10)
Pruebas de base estructurada integrales abiertas y/o cerradas</t>
      </text>
    </comment>
    <comment authorId="0" ref="AP10">
      <text>
        <t xml:space="preserve">======
ID#AAABZfUzzlo
UE JGL    (2024-07-22 19:58:10)
Proyectos y/o Investigaciones dentro de la institución educativa</t>
      </text>
    </comment>
    <comment authorId="0" ref="N10">
      <text>
        <t xml:space="preserve">======
ID#AAABZfUzznE
UE JGL    (2024-07-22 19:58:10)
Exposiciones, foros, debates y resentaciones artísticas y/o científicas</t>
      </text>
    </comment>
    <comment authorId="0" ref="AL10">
      <text>
        <t xml:space="preserve">======
ID#AAABZfUzzUY
UE JGL    (2024-07-22 19:58:10)
Tareas/Ejercicios en clase</t>
      </text>
    </comment>
    <comment authorId="0" ref="H10">
      <text>
        <t xml:space="preserve">======
ID#AAABZfUzzWk
UE JGL    (2024-07-22 19:58:10)
Tareas/Ejercicios en clase</t>
      </text>
    </comment>
    <comment authorId="0" ref="BN10">
      <text>
        <t xml:space="preserve">======
ID#AAABZfUzzXU
UE JGL    (2024-07-22 19:58:10)
Pruebas de base estructurada integrales abiertas y/o cerradas</t>
      </text>
    </comment>
    <comment authorId="0" ref="J10">
      <text>
        <t xml:space="preserve">======
ID#AAABZfUzzYo
UE JGL    (2024-07-22 19:58:10)
Proyectos y/o investigaciones</t>
      </text>
    </comment>
  </commentList>
  <extLst>
    <ext uri="GoogleSheetsCustomDataVersion2">
      <go:sheetsCustomData xmlns:go="http://customooxmlschemas.google.com/" r:id="rId1" roundtripDataSignature="AMtx7mgvDt3pnBjoRL6lu9aGsXW882kSE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S10">
      <text>
        <t xml:space="preserve">======
ID#AAABZfUzzbo
UE JGL    (2024-07-22 19:58:11)
Proyectos y/o Investigaciones dentro de la institución educativa</t>
      </text>
    </comment>
    <comment authorId="0" ref="BQ10">
      <text>
        <t xml:space="preserve">======
ID#AAABZfUzzg4
UE JGL    (2024-07-22 19:58:11)
Proyectos y/o investigaciones</t>
      </text>
    </comment>
    <comment authorId="0" ref="P10">
      <text>
        <t xml:space="preserve">======
ID#AAABZfUzzi4
UE JGL    (2024-07-22 19:58:11)
Talleres</t>
      </text>
    </comment>
    <comment authorId="0" ref="CA8">
      <text>
        <t xml:space="preserve">======
ID#AAABZfUzziM
Luis Javier De La Cruz Perero    (2024-07-22 19:58:11)
Reemplaza a cualquier insumo del promedio</t>
      </text>
    </comment>
    <comment authorId="0" ref="BU10">
      <text>
        <t xml:space="preserve">======
ID#AAABZfUzzjw
UE JGL    (2024-07-22 19:58:11)
Exposiciones, foros, debates y resentaciones artísticas y/o científicas</t>
      </text>
    </comment>
    <comment authorId="0" ref="AM10">
      <text>
        <t xml:space="preserve">======
ID#AAABZfUzzlI
UE JGL    (2024-07-22 19:58:11)
Proyectos y/o investigaciones</t>
      </text>
    </comment>
    <comment authorId="0" ref="T11">
      <text>
        <t xml:space="preserve">======
ID#AAABZfUzznY
Jessenia G S    (2024-07-22 19:58:11)
Ingrese el criterio de evaluación para 
el refuerzo</t>
      </text>
    </comment>
    <comment authorId="0" ref="CA11">
      <text>
        <t xml:space="preserve">======
ID#AAABZfUzzVk
Jessenia G S    (2024-07-22 19:58:11)
Ingrese el criterio de evaluación para 
el refuerzo</t>
      </text>
    </comment>
    <comment authorId="0" ref="AQ10">
      <text>
        <t xml:space="preserve">======
ID#AAABZfUzzWY
UE JGL    (2024-07-22 19:58:11)
Exposiciones, foros, debates y resentaciones artísticas y/o científicas</t>
      </text>
    </comment>
    <comment authorId="0" ref="AW8">
      <text>
        <t xml:space="preserve">======
ID#AAABZfUzzWw
Luis Javier De La Cruz Perero    (2024-07-22 19:58:11)
Reemplaza a cualquier insumo del promedio</t>
      </text>
    </comment>
    <comment authorId="0" ref="AO10">
      <text>
        <t xml:space="preserve">======
ID#AAABZfUzzYM
UE JGL    (2024-07-22 19:58:11)
Proyectos y/o Investigaciones dentro de la institución educativa</t>
      </text>
    </comment>
    <comment authorId="0" ref="T8">
      <text>
        <t xml:space="preserve">======
ID#AAABZfUzzZQ
Luis Javier De La Cruz Perero    (2024-07-22 19:58:11)
Reemplaza a cualquier insumo del promedio</t>
      </text>
    </comment>
    <comment authorId="0" ref="AW11">
      <text>
        <t xml:space="preserve">======
ID#AAABZfUzza4
Jessenia G S    (2024-07-22 19:58:11)
Ingrese el criterio de evaluación para 
el refuerzo</t>
      </text>
    </comment>
    <comment authorId="0" ref="AI10">
      <text>
        <t xml:space="preserve">======
ID#AAABZfUzzaU
UE JGL    (2024-07-22 19:58:11)
Pruebas de base estructurada integrales abiertas y/o cerradas</t>
      </text>
    </comment>
    <comment authorId="0" ref="J10">
      <text>
        <t xml:space="preserve">======
ID#AAABZfUzzd4
UE JGL    (2024-07-22 19:58:10)
Proyectos y/o investigaciones</t>
      </text>
    </comment>
    <comment authorId="0" ref="AU10">
      <text>
        <t xml:space="preserve">======
ID#AAABZfUzzbw
UE JGL    (2024-07-22 19:58:10)
Desarrollo de productos como maquetas, dioramas, presentaciones
artísticas y/o científicas y/o culturales</t>
      </text>
    </comment>
    <comment authorId="0" ref="BY10">
      <text>
        <t xml:space="preserve">======
ID#AAABZfUzzcQ
UE JGL    (2024-07-22 19:58:10)
Desarrollo de productos como maquetas, dioramas, presentaciones
artísticas y/o científicas y/o culturales</t>
      </text>
    </comment>
    <comment authorId="0" ref="H10">
      <text>
        <t xml:space="preserve">======
ID#AAABZfUzzco
UE JGL    (2024-07-22 19:58:10)
Tareas/Ejercicios en clase</t>
      </text>
    </comment>
    <comment authorId="0" ref="BO10">
      <text>
        <t xml:space="preserve">======
ID#AAABZfUzzeM
UE JGL    (2024-07-22 19:58:10)
Tareas/Ejercicios en clase</t>
      </text>
    </comment>
    <comment authorId="0" ref="AG10">
      <text>
        <t xml:space="preserve">======
ID#AAABZfUzzfM
UE JGL    (2024-07-22 19:58:10)
Lecciones de revisión o retroalimentación orales y/o escritas</t>
      </text>
    </comment>
    <comment authorId="0" ref="N10">
      <text>
        <t xml:space="preserve">======
ID#AAABZfUzzgQ
UE JGL    (2024-07-22 19:58:10)
Exposiciones, foros, debates y resentaciones artísticas y/o científicas</t>
      </text>
    </comment>
    <comment authorId="0" ref="BM10">
      <text>
        <t xml:space="preserve">======
ID#AAABZfUzzis
UE JGL    (2024-07-22 19:58:10)
Pruebas de base estructurada integrales abiertas y/o cerradas</t>
      </text>
    </comment>
    <comment authorId="0" ref="BK10">
      <text>
        <t xml:space="preserve">======
ID#AAABZfUzzjc
UE JGL    (2024-07-22 19:58:10)
Lecciones de revisión o retroalimentación orales y/o escritas</t>
      </text>
    </comment>
    <comment authorId="0" ref="F10">
      <text>
        <t xml:space="preserve">======
ID#AAABZfUzzkY
UE JGL    (2024-07-22 19:58:10)
Pruebas de base estructurada integrales abiertas y/o cerradas</t>
      </text>
    </comment>
    <comment authorId="0" ref="R10">
      <text>
        <t xml:space="preserve">======
ID#AAABZfUzzps
UE JGL    (2024-07-22 19:58:10)
Desarrollo de productos como maquetas, dioramas, presentaciones
artísticas y/o científicas y/o culturales</t>
      </text>
    </comment>
    <comment authorId="0" ref="L10">
      <text>
        <t xml:space="preserve">======
ID#AAABZfUzzWM
UE JGL    (2024-07-22 19:58:10)
Proyectos y/o Investigaciones dentro de la institución educativa</t>
      </text>
    </comment>
    <comment authorId="0" ref="BW10">
      <text>
        <t xml:space="preserve">======
ID#AAABZfUzzWE
UE JGL    (2024-07-22 19:58:10)
Talleres</t>
      </text>
    </comment>
    <comment authorId="0" ref="AK10">
      <text>
        <t xml:space="preserve">======
ID#AAABZfUzzWs
UE JGL    (2024-07-22 19:58:10)
Tareas/Ejercicios en clase</t>
      </text>
    </comment>
    <comment authorId="0" ref="AS10">
      <text>
        <t xml:space="preserve">======
ID#AAABZfUzzYU
UE JGL    (2024-07-22 19:58:10)
Talleres</t>
      </text>
    </comment>
    <comment authorId="0" ref="D10">
      <text>
        <t xml:space="preserve">======
ID#AAABZfUzzZw
UE JGL    (2024-07-22 19:58:10)
Lecciones de revisión o retroalimentación orales y/o escritas</t>
      </text>
    </comment>
  </commentList>
  <extLst>
    <ext uri="GoogleSheetsCustomDataVersion2">
      <go:sheetsCustomData xmlns:go="http://customooxmlschemas.google.com/" r:id="rId1" roundtripDataSignature="AMtx7mi4kRcPi+iBfIxA5Cz7ShFcKdNbJ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R10">
      <text>
        <t xml:space="preserve">======
ID#AAABZfUzzbY
UE JGL    (2024-07-22 19:58:11)
Proyectos y/o investigaciones</t>
      </text>
    </comment>
    <comment authorId="0" ref="BP10">
      <text>
        <t xml:space="preserve">======
ID#AAABZfUzzcA
UE JGL    (2024-07-22 19:58:11)
Tareas/Ejercicios en clase</t>
      </text>
    </comment>
    <comment authorId="0" ref="F10">
      <text>
        <t xml:space="preserve">======
ID#AAABZfUzzio
UE JGL    (2024-07-22 19:58:11)
Pruebas de base estructurada integrales abiertas y/o cerradas</t>
      </text>
    </comment>
    <comment authorId="0" ref="T11">
      <text>
        <t xml:space="preserve">======
ID#AAABZfUzzo8
Jessenia G S    (2024-07-22 19:58:11)
Ingrese el criterio de evaluación para 
el refuerzo</t>
      </text>
    </comment>
    <comment authorId="0" ref="J10">
      <text>
        <t xml:space="preserve">======
ID#AAABZfUzznw
UE JGL    (2024-07-22 19:58:11)
Proyectos y/o investigaciones</t>
      </text>
    </comment>
    <comment authorId="0" ref="T8">
      <text>
        <t xml:space="preserve">======
ID#AAABZfUzzUc
Luis Javier De La Cruz Perero    (2024-07-22 19:58:11)
Reemplaza a cualquier insumo del promedio</t>
      </text>
    </comment>
    <comment authorId="0" ref="CB11">
      <text>
        <t xml:space="preserve">======
ID#AAABZfUzzYY
Jessenia G S    (2024-07-22 19:58:11)
Ingrese el criterio de evaluación para 
el refuerzo</t>
      </text>
    </comment>
    <comment authorId="0" ref="L10">
      <text>
        <t xml:space="preserve">======
ID#AAABZfUzzYs
UE JGL    (2024-07-22 19:58:11)
Proyectos y/o Investigaciones dentro de la institución educativa</t>
      </text>
    </comment>
    <comment authorId="0" ref="BX10">
      <text>
        <t xml:space="preserve">======
ID#AAABZfUzzc4
UE JGL    (2024-07-22 19:58:10)
Talleres</t>
      </text>
    </comment>
    <comment authorId="0" ref="H10">
      <text>
        <t xml:space="preserve">======
ID#AAABZfUzzao
UE JGL    (2024-07-22 19:58:10)
Tareas/Ejercicios en clase</t>
      </text>
    </comment>
    <comment authorId="0" ref="P10">
      <text>
        <t xml:space="preserve">======
ID#AAABZfUzzdE
UE JGL    (2024-07-22 19:58:10)
Talleres</t>
      </text>
    </comment>
    <comment authorId="0" ref="BT10">
      <text>
        <t xml:space="preserve">======
ID#AAABZfUzze8
UE JGL    (2024-07-22 19:58:10)
Proyectos y/o Investigaciones dentro de la institución educativa</t>
      </text>
    </comment>
    <comment authorId="0" ref="BL10">
      <text>
        <t xml:space="preserve">======
ID#AAABZfUzzeA
UE JGL    (2024-07-22 19:58:10)
Lecciones de revisión o retroalimentación orales y/o escritas</t>
      </text>
    </comment>
    <comment authorId="0" ref="AX8">
      <text>
        <t xml:space="preserve">======
ID#AAABZfUzzec
Luis Javier De La Cruz Perero    (2024-07-22 19:58:10)
Reemplaza a cualquier insumo del promedio</t>
      </text>
    </comment>
    <comment authorId="0" ref="R10">
      <text>
        <t xml:space="preserve">======
ID#AAABZfUzzgs
UE JGL    (2024-07-22 19:58:10)
Desarrollo de productos como maquetas, dioramas, presentaciones
artísticas y/o científicas y/o culturales</t>
      </text>
    </comment>
    <comment authorId="0" ref="BV10">
      <text>
        <t xml:space="preserve">======
ID#AAABZfUzzj0
UE JGL    (2024-07-22 19:58:10)
Exposiciones, foros, debates y resentaciones artísticas y/o científicas</t>
      </text>
    </comment>
    <comment authorId="0" ref="D10">
      <text>
        <t xml:space="preserve">======
ID#AAABZfUzzns
UE JGL    (2024-07-22 19:58:10)
Lecciones de revisión o retroalimentación orales y/o escritas</t>
      </text>
    </comment>
    <comment authorId="0" ref="BZ10">
      <text>
        <t xml:space="preserve">======
ID#AAABZfUzzpY
UE JGL    (2024-07-22 19:58:10)
Desarrollo de productos como maquetas, dioramas, presentaciones
artísticas y/o científicas y/o culturales</t>
      </text>
    </comment>
    <comment authorId="0" ref="CB8">
      <text>
        <t xml:space="preserve">======
ID#AAABZfUzzqY
Luis Javier De La Cruz Perero    (2024-07-22 19:58:10)
Reemplaza a cualquier insumo del promedio</t>
      </text>
    </comment>
    <comment authorId="0" ref="N10">
      <text>
        <t xml:space="preserve">======
ID#AAABZfUzzUs
UE JGL    (2024-07-22 19:58:10)
Exposiciones, foros, debates y resentaciones artísticas y/o científicas</t>
      </text>
    </comment>
    <comment authorId="0" ref="BN10">
      <text>
        <t xml:space="preserve">======
ID#AAABZfUzzVs
UE JGL    (2024-07-22 19:58:10)
Pruebas de base estructurada integrales abiertas y/o cerradas</t>
      </text>
    </comment>
    <comment authorId="0" ref="AX11">
      <text>
        <t xml:space="preserve">======
ID#AAABZfUzzXE
Jessenia G S    (2024-07-22 19:58:10)
Ingrese el criterio de evaluación para 
el refuerzo</t>
      </text>
    </comment>
  </commentList>
  <extLst>
    <ext uri="GoogleSheetsCustomDataVersion2">
      <go:sheetsCustomData xmlns:go="http://customooxmlschemas.google.com/" r:id="rId1" roundtripDataSignature="AMtx7mhZiIbO7bPEX3XeHXULy1TD+m1Mv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X11">
      <text>
        <t xml:space="preserve">======
ID#AAABZfUzzeQ
Jessenia G S    (2024-07-22 19:58:11)
Ingrese el criterio de evaluación para 
el refuerzo</t>
      </text>
    </comment>
    <comment authorId="0" ref="J10">
      <text>
        <t xml:space="preserve">======
ID#AAABZfUzzeg
UE JGL    (2024-07-22 19:58:11)
Proyectos y/o investigaciones</t>
      </text>
    </comment>
    <comment authorId="0" ref="D10">
      <text>
        <t xml:space="preserve">======
ID#AAABZfUzzfE
UE JGL    (2024-07-22 19:58:11)
Lecciones de revisión o retroalimentación orales y/o escritas</t>
      </text>
    </comment>
    <comment authorId="0" ref="BL10">
      <text>
        <t xml:space="preserve">======
ID#AAABZfUzzkU
UE JGL    (2024-07-22 19:58:11)
Lecciones de revisión o retroalimentación orales y/o escritas</t>
      </text>
    </comment>
    <comment authorId="0" ref="AT10">
      <text>
        <t xml:space="preserve">======
ID#AAABZfUzzn0
UE JGL    (2024-07-22 19:58:11)
Talleres</t>
      </text>
    </comment>
    <comment authorId="0" ref="BP10">
      <text>
        <t xml:space="preserve">======
ID#AAABZfUzzlk
UE JGL    (2024-07-22 19:58:11)
Tareas/Ejercicios en clase</t>
      </text>
    </comment>
    <comment authorId="0" ref="BV10">
      <text>
        <t xml:space="preserve">======
ID#AAABZfUzzms
UE JGL    (2024-07-22 19:58:11)
Exposiciones, foros, debates y resentaciones artísticas y/o científicas</t>
      </text>
    </comment>
    <comment authorId="0" ref="AH10">
      <text>
        <t xml:space="preserve">======
ID#AAABZfUzzoE
UE JGL    (2024-07-22 19:58:11)
Lecciones de revisión o retroalimentación orales y/o escritas</t>
      </text>
    </comment>
    <comment authorId="0" ref="CB11">
      <text>
        <t xml:space="preserve">======
ID#AAABZfUzzmw
Jessenia G S    (2024-07-22 19:58:11)
Ingrese el criterio de evaluación para 
el refuerzo</t>
      </text>
    </comment>
    <comment authorId="0" ref="BT10">
      <text>
        <t xml:space="preserve">======
ID#AAABZfUzznk
UE JGL    (2024-07-22 19:58:11)
Proyectos y/o Investigaciones dentro de la institución educativa</t>
      </text>
    </comment>
    <comment authorId="0" ref="P10">
      <text>
        <t xml:space="preserve">======
ID#AAABZfUzzU8
UE JGL    (2024-07-22 19:58:11)
Talleres</t>
      </text>
    </comment>
    <comment authorId="0" ref="T8">
      <text>
        <t xml:space="preserve">======
ID#AAABZfUzzWA
Luis Javier De La Cruz Perero    (2024-07-22 19:58:11)
Reemplaza a cualquier insumo del promedio</t>
      </text>
    </comment>
    <comment authorId="0" ref="AV10">
      <text>
        <t xml:space="preserve">======
ID#AAABZfUzzWg
UE JGL    (2024-07-22 19:58:11)
Desarrollo de productos como maquetas, dioramas, presentaciones
artísticas y/o científicas y/o culturales</t>
      </text>
    </comment>
    <comment authorId="0" ref="H10">
      <text>
        <t xml:space="preserve">======
ID#AAABZfUzzYg
UE JGL    (2024-07-22 19:58:11)
Tareas/Ejercicios en clase</t>
      </text>
    </comment>
    <comment authorId="0" ref="R10">
      <text>
        <t xml:space="preserve">======
ID#AAABOs_H75A
UE JGL    (2024-07-22 19:58:11)
Desarrollo de productos como maquetas, dioramas, presentaciones
artísticas y/o científicas y/o culturales</t>
      </text>
    </comment>
    <comment authorId="0" ref="AJ10">
      <text>
        <t xml:space="preserve">======
ID#AAABZfUzzZU
UE JGL    (2024-07-22 19:58:11)
Pruebas de base estructurada integrales abiertas y/o cerradas</t>
      </text>
    </comment>
    <comment authorId="0" ref="AX8">
      <text>
        <t xml:space="preserve">======
ID#AAABZfUzzZo
Luis Javier De La Cruz Perero    (2024-07-22 19:58:11)
Reemplaza a cualquier insumo del promedio</t>
      </text>
    </comment>
    <comment authorId="0" ref="AN10">
      <text>
        <t xml:space="preserve">======
ID#AAABZfUzzjk
UE JGL    (2024-07-22 19:58:10)
Proyectos y/o investigaciones</t>
      </text>
    </comment>
    <comment authorId="0" ref="BR10">
      <text>
        <t xml:space="preserve">======
ID#AAABZfUzzjg
UE JGL    (2024-07-22 19:58:10)
Proyectos y/o investigaciones</t>
      </text>
    </comment>
    <comment authorId="0" ref="BX10">
      <text>
        <t xml:space="preserve">======
ID#AAABZfUzzlY
UE JGL    (2024-07-22 19:58:10)
Talleres</t>
      </text>
    </comment>
    <comment authorId="0" ref="L10">
      <text>
        <t xml:space="preserve">======
ID#AAABZfUzzmM
UE JGL    (2024-07-22 19:58:10)
Proyectos y/o Investigaciones dentro de la institución educativa</t>
      </text>
    </comment>
    <comment authorId="0" ref="N10">
      <text>
        <t xml:space="preserve">======
ID#AAABZfUzzo0
UE JGL    (2024-07-22 19:58:10)
Exposiciones, foros, debates y resentaciones artísticas y/o científicas</t>
      </text>
    </comment>
    <comment authorId="0" ref="AR10">
      <text>
        <t xml:space="preserve">======
ID#AAABZfUzzno
UE JGL    (2024-07-22 19:58:10)
Exposiciones, foros, debates y resentaciones artísticas y/o científicas</t>
      </text>
    </comment>
    <comment authorId="0" ref="AP10">
      <text>
        <t xml:space="preserve">======
ID#AAABZfUzzp4
UE JGL    (2024-07-22 19:58:10)
Proyectos y/o Investigaciones dentro de la institución educativa</t>
      </text>
    </comment>
    <comment authorId="0" ref="T11">
      <text>
        <t xml:space="preserve">======
ID#AAABZfUzzpQ
Jessenia G S    (2024-07-22 19:58:10)
Ingrese el criterio de evaluación para 
el refuerzo</t>
      </text>
    </comment>
    <comment authorId="0" ref="CB8">
      <text>
        <t xml:space="preserve">======
ID#AAABZfUzzpo
Luis Javier De La Cruz Perero    (2024-07-22 19:58:10)
Reemplaza a cualquier insumo del promedio</t>
      </text>
    </comment>
    <comment authorId="0" ref="BN10">
      <text>
        <t xml:space="preserve">======
ID#AAABZfUzzWQ
UE JGL    (2024-07-22 19:58:10)
Pruebas de base estructurada integrales abiertas y/o cerradas</t>
      </text>
    </comment>
    <comment authorId="0" ref="AL10">
      <text>
        <t xml:space="preserve">======
ID#AAABZfUzzZE
UE JGL    (2024-07-22 19:58:10)
Tareas/Ejercicios en clase</t>
      </text>
    </comment>
    <comment authorId="0" ref="BZ10">
      <text>
        <t xml:space="preserve">======
ID#AAABZfUzzb4
UE JGL    (2024-07-22 19:58:10)
Desarrollo de productos como maquetas, dioramas, presentaciones
artísticas y/o científicas y/o culturales</t>
      </text>
    </comment>
    <comment authorId="0" ref="F10">
      <text>
        <t xml:space="preserve">======
ID#AAABZfUzzaQ
UE JGL    (2024-07-22 19:58:10)
Pruebas de base estructurada integrales abiertas y/o cerradas</t>
      </text>
    </comment>
  </commentList>
  <extLst>
    <ext uri="GoogleSheetsCustomDataVersion2">
      <go:sheetsCustomData xmlns:go="http://customooxmlschemas.google.com/" r:id="rId1" roundtripDataSignature="AMtx7mi/J28Dnnexd19ZB8KY3sJXagLIb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V10">
      <text>
        <t xml:space="preserve">======
ID#AAABZfUzzeI
UE JGL    (2024-07-22 19:58:11)
Exposiciones, foros, debates y resentaciones artísticas y/o científicas</t>
      </text>
    </comment>
    <comment authorId="0" ref="BT10">
      <text>
        <t xml:space="preserve">======
ID#AAABZfUzzdw
UE JGL    (2024-07-22 19:58:11)
Proyectos y/o Investigaciones dentro de la institución educativa</t>
      </text>
    </comment>
    <comment authorId="0" ref="BN10">
      <text>
        <t xml:space="preserve">======
ID#AAABZfUzzf0
UE JGL    (2024-07-22 19:58:11)
Pruebas de base estructurada integrales abiertas y/o cerradas</t>
      </text>
    </comment>
    <comment authorId="0" ref="T11">
      <text>
        <t xml:space="preserve">======
ID#AAABZfUzzgA
Jessenia G S    (2024-07-22 19:58:11)
Ingrese el criterio de evaluación para 
el refuerzo</t>
      </text>
    </comment>
    <comment authorId="0" ref="AX11">
      <text>
        <t xml:space="preserve">======
ID#AAABZfUzzfo
Jessenia G S    (2024-07-22 19:58:11)
Ingrese el criterio de evaluación para 
el refuerzo</t>
      </text>
    </comment>
    <comment authorId="0" ref="AT10">
      <text>
        <t xml:space="preserve">======
ID#AAABZfUzzgg
UE JGL    (2024-07-22 19:58:11)
Talleres</t>
      </text>
    </comment>
    <comment authorId="0" ref="BZ10">
      <text>
        <t xml:space="preserve">======
ID#AAABZfUzzhE
UE JGL    (2024-07-22 19:58:11)
Desarrollo de productos como maquetas, dioramas, presentaciones
artísticas y/o científicas y/o culturales</t>
      </text>
    </comment>
    <comment authorId="0" ref="N10">
      <text>
        <t xml:space="preserve">======
ID#AAABZfUzzgc
UE JGL    (2024-07-22 19:58:11)
Exposiciones, foros, debates y resentaciones artísticas y/o científicas</t>
      </text>
    </comment>
    <comment authorId="0" ref="D10">
      <text>
        <t xml:space="preserve">======
ID#AAABZfUzzlA
UE JGL    (2024-07-22 19:58:11)
Lecciones de revisión o retroalimentación orales y/o escritas</t>
      </text>
    </comment>
    <comment authorId="0" ref="AP10">
      <text>
        <t xml:space="preserve">======
ID#AAABZfUzzm8
UE JGL    (2024-07-22 19:58:11)
Proyectos y/o Investigaciones dentro de la institución educativa</t>
      </text>
    </comment>
    <comment authorId="0" ref="J10">
      <text>
        <t xml:space="preserve">======
ID#AAABZfUzzoI
UE JGL    (2024-07-22 19:58:11)
Proyectos y/o investigaciones</t>
      </text>
    </comment>
    <comment authorId="0" ref="H10">
      <text>
        <t xml:space="preserve">======
ID#AAABZfUzzng
UE JGL    (2024-07-22 19:58:11)
Tareas/Ejercicios en clase</t>
      </text>
    </comment>
    <comment authorId="0" ref="AX8">
      <text>
        <t xml:space="preserve">======
ID#AAABZfUzzqM
Luis Javier De La Cruz Perero    (2024-07-22 19:58:11)
Reemplaza a cualquier insumo del promedio</t>
      </text>
    </comment>
    <comment authorId="0" ref="AN10">
      <text>
        <t xml:space="preserve">======
ID#AAABZfUzzYQ
UE JGL    (2024-07-22 19:58:11)
Proyectos y/o investigaciones</t>
      </text>
    </comment>
    <comment authorId="0" ref="AV10">
      <text>
        <t xml:space="preserve">======
ID#AAABOs_H75E
UE JGL    (2024-07-22 19:58:11)
Desarrollo de productos como maquetas, dioramas, presentaciones
artísticas y/o científicas y/o culturales</t>
      </text>
    </comment>
    <comment authorId="0" ref="L10">
      <text>
        <t xml:space="preserve">======
ID#AAABZfUzzc8
UE JGL    (2024-07-22 19:58:10)
Proyectos y/o Investigaciones dentro de la institución educativa</t>
      </text>
    </comment>
    <comment authorId="0" ref="BX10">
      <text>
        <t xml:space="preserve">======
ID#AAABZfUzzcY
UE JGL    (2024-07-22 19:58:10)
Talleres</t>
      </text>
    </comment>
    <comment authorId="0" ref="CB11">
      <text>
        <t xml:space="preserve">======
ID#AAABZfUzzdM
Jessenia G S    (2024-07-22 19:58:10)
Ingrese el criterio de evaluación para 
el refuerzo</t>
      </text>
    </comment>
    <comment authorId="0" ref="AR10">
      <text>
        <t xml:space="preserve">======
ID#AAABZfUzzds
UE JGL    (2024-07-22 19:58:10)
Exposiciones, foros, debates y resentaciones artísticas y/o científicas</t>
      </text>
    </comment>
    <comment authorId="0" ref="BL10">
      <text>
        <t xml:space="preserve">======
ID#AAABZfUzzhA
UE JGL    (2024-07-22 19:58:10)
Lecciones de revisión o retroalimentación orales y/o escritas</t>
      </text>
    </comment>
    <comment authorId="0" ref="AJ10">
      <text>
        <t xml:space="preserve">======
ID#AAABZfUzzgw
UE JGL    (2024-07-22 19:58:10)
Pruebas de base estructurada integrales abiertas y/o cerradas</t>
      </text>
    </comment>
    <comment authorId="0" ref="BP10">
      <text>
        <t xml:space="preserve">======
ID#AAABZfUzzjI
UE JGL    (2024-07-22 19:58:10)
Tareas/Ejercicios en clase</t>
      </text>
    </comment>
    <comment authorId="0" ref="AH10">
      <text>
        <t xml:space="preserve">======
ID#AAABZfUzzkQ
UE JGL    (2024-07-22 19:58:10)
Lecciones de revisión o retroalimentación orales y/o escritas</t>
      </text>
    </comment>
    <comment authorId="0" ref="R10">
      <text>
        <t xml:space="preserve">======
ID#AAABZfUzzm0
UE JGL    (2024-07-22 19:58:10)
Desarrollo de productos como maquetas, dioramas, presentaciones
artísticas y/o científicas y/o culturales</t>
      </text>
    </comment>
    <comment authorId="0" ref="BR10">
      <text>
        <t xml:space="preserve">======
ID#AAABZfUzzpE
UE JGL    (2024-07-22 19:58:10)
Proyectos y/o investigaciones</t>
      </text>
    </comment>
    <comment authorId="0" ref="P10">
      <text>
        <t xml:space="preserve">======
ID#AAABZfUzzos
UE JGL    (2024-07-22 19:58:10)
Talleres</t>
      </text>
    </comment>
    <comment authorId="0" ref="T8">
      <text>
        <t xml:space="preserve">======
ID#AAABZfUzzVg
Luis Javier De La Cruz Perero    (2024-07-22 19:58:10)
Reemplaza a cualquier insumo del promedio</t>
      </text>
    </comment>
    <comment authorId="0" ref="AL10">
      <text>
        <t xml:space="preserve">======
ID#AAABZfUzzX0
UE JGL    (2024-07-22 19:58:10)
Tareas/Ejercicios en clase</t>
      </text>
    </comment>
    <comment authorId="0" ref="F10">
      <text>
        <t xml:space="preserve">======
ID#AAABZfUzzZ0
UE JGL    (2024-07-22 19:58:10)
Pruebas de base estructurada integrales abiertas y/o cerradas</t>
      </text>
    </comment>
    <comment authorId="0" ref="CB8">
      <text>
        <t xml:space="preserve">======
ID#AAABZfUzzaA
Luis Javier De La Cruz Perero    (2024-07-22 19:58:10)
Reemplaza a cualquier insumo del promedio</t>
      </text>
    </comment>
  </commentList>
  <extLst>
    <ext uri="GoogleSheetsCustomDataVersion2">
      <go:sheetsCustomData xmlns:go="http://customooxmlschemas.google.com/" r:id="rId1" roundtripDataSignature="AMtx7miEqc6IeHS86m+WRa7j/5iaxC8ce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8">
      <text>
        <t xml:space="preserve">======
ID#AAABZfUzzbA
Luis Javier De La Cruz Perero    (2024-07-22 19:58:11)
Reemplaza a cualquier insumo del promedio</t>
      </text>
    </comment>
    <comment authorId="0" ref="J10">
      <text>
        <t xml:space="preserve">======
ID#AAABZfUzzcM
UE JGL    (2024-07-22 19:58:11)
Proyectos y/o investigaciones</t>
      </text>
    </comment>
    <comment authorId="0" ref="BT10">
      <text>
        <t xml:space="preserve">======
ID#AAABZfUzzck
UE JGL    (2024-07-22 19:58:11)
Proyectos y/o Investigaciones dentro de la institución educativa</t>
      </text>
    </comment>
    <comment authorId="0" ref="BL10">
      <text>
        <t xml:space="preserve">======
ID#AAABZfUzzdk
UE JGL    (2024-07-22 19:58:11)
Lecciones de revisión o retroalimentación orales y/o escritas</t>
      </text>
    </comment>
    <comment authorId="0" ref="R10">
      <text>
        <t xml:space="preserve">======
ID#AAABZfUzzek
UE JGL    (2024-07-22 19:58:11)
Desarrollo de productos como maquetas, dioramas, presentaciones
artísticas y/o científicas y/o culturales</t>
      </text>
    </comment>
    <comment authorId="0" ref="AV10">
      <text>
        <t xml:space="preserve">======
ID#AAABZfUzzfY
UE JGL    (2024-07-22 19:58:11)
Desarrollo de productos como maquetas, dioramas, presentaciones
artísticas y/o científicas y/o culturales</t>
      </text>
    </comment>
    <comment authorId="0" ref="BP10">
      <text>
        <t xml:space="preserve">======
ID#AAABZfUzzho
UE JGL    (2024-07-22 19:58:11)
Tareas/Ejercicios en clase</t>
      </text>
    </comment>
    <comment authorId="0" ref="BX10">
      <text>
        <t xml:space="preserve">======
ID#AAABZfUzzhg
UE JGL    (2024-07-22 19:58:11)
Talleres</t>
      </text>
    </comment>
    <comment authorId="0" ref="L10">
      <text>
        <t xml:space="preserve">======
ID#AAABZfUzzjs
UE JGL    (2024-07-22 19:58:11)
Proyectos y/o Investigaciones dentro de la institución educativa</t>
      </text>
    </comment>
    <comment authorId="0" ref="AR10">
      <text>
        <t xml:space="preserve">======
ID#AAABZfUzzkk
UE JGL    (2024-07-22 19:58:11)
Exposiciones, foros, debates y resentaciones artísticas y/o científicas</t>
      </text>
    </comment>
    <comment authorId="0" ref="AH10">
      <text>
        <t xml:space="preserve">======
ID#AAABZfUzzmA
UE JGL    (2024-07-22 19:58:11)
Lecciones de revisión o retroalimentación orales y/o escritas</t>
      </text>
    </comment>
    <comment authorId="0" ref="BV10">
      <text>
        <t xml:space="preserve">======
ID#AAABZfUzzls
UE JGL    (2024-07-22 19:58:11)
Exposiciones, foros, debates y resentaciones artísticas y/o científicas</t>
      </text>
    </comment>
    <comment authorId="0" ref="AX8">
      <text>
        <t xml:space="preserve">======
ID#AAABZfUzznI
Luis Javier De La Cruz Perero    (2024-07-22 19:58:11)
Reemplaza a cualquier insumo del promedio</t>
      </text>
    </comment>
    <comment authorId="0" ref="T11">
      <text>
        <t xml:space="preserve">======
ID#AAABZfUzzYI
Jessenia G S    (2024-07-22 19:58:11)
Ingrese el criterio de evaluación para 
el refuerzo</t>
      </text>
    </comment>
    <comment authorId="0" ref="N10">
      <text>
        <t xml:space="preserve">======
ID#AAABZfUzzb8
UE JGL    (2024-07-22 19:58:11)
Exposiciones, foros, debates y resentaciones artísticas y/o científicas</t>
      </text>
    </comment>
    <comment authorId="0" ref="AN10">
      <text>
        <t xml:space="preserve">======
ID#AAABZfUzzc0
UE JGL    (2024-07-22 19:58:10)
Proyectos y/o investigaciones</t>
      </text>
    </comment>
    <comment authorId="0" ref="AJ10">
      <text>
        <t xml:space="preserve">======
ID#AAABZfUzzbc
UE JGL    (2024-07-22 19:58:10)
Pruebas de base estructurada integrales abiertas y/o cerradas</t>
      </text>
    </comment>
    <comment authorId="0" ref="AP10">
      <text>
        <t xml:space="preserve">======
ID#AAABZfUzzdU
UE JGL    (2024-07-22 19:58:10)
Proyectos y/o Investigaciones dentro de la institución educativa</t>
      </text>
    </comment>
    <comment authorId="0" ref="BR10">
      <text>
        <t xml:space="preserve">======
ID#AAABZfUzzg8
UE JGL    (2024-07-22 19:58:10)
Proyectos y/o investigaciones</t>
      </text>
    </comment>
    <comment authorId="0" ref="CB8">
      <text>
        <t xml:space="preserve">======
ID#AAABZfUzzh8
Luis Javier De La Cruz Perero    (2024-07-22 19:58:10)
Reemplaza a cualquier insumo del promedio</t>
      </text>
    </comment>
    <comment authorId="0" ref="P10">
      <text>
        <t xml:space="preserve">======
ID#AAABZfUzzhY
UE JGL    (2024-07-22 19:58:10)
Talleres</t>
      </text>
    </comment>
    <comment authorId="0" ref="BZ10">
      <text>
        <t xml:space="preserve">======
ID#AAABZfUzzhs
UE JGL    (2024-07-22 19:58:10)
Desarrollo de productos como maquetas, dioramas, presentaciones
artísticas y/o científicas y/o culturales</t>
      </text>
    </comment>
    <comment authorId="0" ref="F10">
      <text>
        <t xml:space="preserve">======
ID#AAABZfUzzmg
UE JGL    (2024-07-22 19:58:10)
Pruebas de base estructurada integrales abiertas y/o cerradas</t>
      </text>
    </comment>
    <comment authorId="0" ref="D10">
      <text>
        <t xml:space="preserve">======
ID#AAABZfUzznc
UE JGL    (2024-07-22 19:58:10)
Lecciones de revisión o retroalimentación orales y/o escritas</t>
      </text>
    </comment>
    <comment authorId="0" ref="AL10">
      <text>
        <t xml:space="preserve">======
ID#AAABZfUzzVI
UE JGL    (2024-07-22 19:58:10)
Tareas/Ejercicios en clase</t>
      </text>
    </comment>
    <comment authorId="0" ref="AT10">
      <text>
        <t xml:space="preserve">======
ID#AAABZfUzzUo
UE JGL    (2024-07-22 19:58:10)
Talleres</t>
      </text>
    </comment>
    <comment authorId="0" ref="AX11">
      <text>
        <t xml:space="preserve">======
ID#AAABZfUzzVc
Jessenia G S    (2024-07-22 19:58:10)
Ingrese el criterio de evaluación para 
el refuerzo</t>
      </text>
    </comment>
    <comment authorId="0" ref="H10">
      <text>
        <t xml:space="preserve">======
ID#AAABZfUzzX4
UE JGL    (2024-07-22 19:58:10)
Tareas/Ejercicios en clase</t>
      </text>
    </comment>
    <comment authorId="0" ref="BN10">
      <text>
        <t xml:space="preserve">======
ID#AAABZfUzzYE
UE JGL    (2024-07-22 19:58:10)
Pruebas de base estructurada integrales abiertas y/o cerradas</t>
      </text>
    </comment>
    <comment authorId="0" ref="CB11">
      <text>
        <t xml:space="preserve">======
ID#AAABZfUzzYc
Jessenia G S    (2024-07-22 19:58:10)
Ingrese el criterio de evaluación para 
el refuerzo</t>
      </text>
    </comment>
  </commentList>
  <extLst>
    <ext uri="GoogleSheetsCustomDataVersion2">
      <go:sheetsCustomData xmlns:go="http://customooxmlschemas.google.com/" r:id="rId1" roundtripDataSignature="AMtx7mh0z18D6tYRpzNWcJqAr5+gsLxuA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ID#AAABZfUzzcU
UE JGL    (2024-07-22 19:58:11)
Lecciones de revisión o retroalimentación orales y/o escritas</t>
      </text>
    </comment>
    <comment authorId="0" ref="AN10">
      <text>
        <t xml:space="preserve">======
ID#AAABZfUzzcg
UE JGL    (2024-07-22 19:58:11)
Proyectos y/o investigaciones</t>
      </text>
    </comment>
    <comment authorId="0" ref="AX8">
      <text>
        <t xml:space="preserve">======
ID#AAABZfUzzf8
Luis Javier De La Cruz Perero    (2024-07-22 19:58:11)
Reemplaza a cualquier insumo del promedio</t>
      </text>
    </comment>
    <comment authorId="0" ref="AR10">
      <text>
        <t xml:space="preserve">======
ID#AAABZfUzzgI
UE JGL    (2024-07-22 19:58:11)
Exposiciones, foros, debates y resentaciones artísticas y/o científicas</t>
      </text>
    </comment>
    <comment authorId="0" ref="H10">
      <text>
        <t xml:space="preserve">======
ID#AAABZfUzzh0
UE JGL    (2024-07-22 19:58:11)
Tareas/Ejercicios en clase</t>
      </text>
    </comment>
    <comment authorId="0" ref="AX11">
      <text>
        <t xml:space="preserve">======
ID#AAABZfUzzh4
Jessenia G S    (2024-07-22 19:58:11)
Ingrese el criterio de evaluación para 
el refuerzo</t>
      </text>
    </comment>
    <comment authorId="0" ref="BV10">
      <text>
        <t xml:space="preserve">======
ID#AAABZfUzziY
UE JGL    (2024-07-22 19:58:11)
Exposiciones, foros, debates y resentaciones artísticas y/o científicas</t>
      </text>
    </comment>
    <comment authorId="0" ref="P10">
      <text>
        <t xml:space="preserve">======
ID#AAABZfUzzjA
UE JGL    (2024-07-22 19:58:11)
Talleres</t>
      </text>
    </comment>
    <comment authorId="0" ref="BP10">
      <text>
        <t xml:space="preserve">======
ID#AAABZfUzzjQ
UE JGL    (2024-07-22 19:58:11)
Tareas/Ejercicios en clase</t>
      </text>
    </comment>
    <comment authorId="0" ref="R10">
      <text>
        <t xml:space="preserve">======
ID#AAABZfUzzkE
UE JGL    (2024-07-22 19:58:11)
Desarrollo de productos como maquetas, dioramas, presentaciones
artísticas y/o científicas y/o culturales</t>
      </text>
    </comment>
    <comment authorId="0" ref="AP10">
      <text>
        <t xml:space="preserve">======
ID#AAABZfUzzmo
UE JGL    (2024-07-22 19:58:11)
Proyectos y/o Investigaciones dentro de la institución educativa</t>
      </text>
    </comment>
    <comment authorId="0" ref="AJ10">
      <text>
        <t xml:space="preserve">======
ID#AAABZfUzzo4
UE JGL    (2024-07-22 19:58:11)
Pruebas de base estructurada integrales abiertas y/o cerradas</t>
      </text>
    </comment>
    <comment authorId="0" ref="BT10">
      <text>
        <t xml:space="preserve">======
ID#AAABZfUzzpA
UE JGL    (2024-07-22 19:58:11)
Proyectos y/o Investigaciones dentro de la institución educativa</t>
      </text>
    </comment>
    <comment authorId="0" ref="AH10">
      <text>
        <t xml:space="preserve">======
ID#AAABZfUzzqQ
UE JGL    (2024-07-22 19:58:11)
Lecciones de revisión o retroalimentación orales y/o escritas</t>
      </text>
    </comment>
    <comment authorId="0" ref="BR10">
      <text>
        <t xml:space="preserve">======
ID#AAABZfUzzVA
UE JGL    (2024-07-22 19:58:11)
Proyectos y/o investigaciones</t>
      </text>
    </comment>
    <comment authorId="0" ref="T8">
      <text>
        <t xml:space="preserve">======
ID#AAABZfUzzXo
Luis Javier De La Cruz Perero    (2024-07-22 19:58:11)
Reemplaza a cualquier insumo del promedio</t>
      </text>
    </comment>
    <comment authorId="0" ref="T11">
      <text>
        <t xml:space="preserve">======
ID#AAABZfUzzbI
Jessenia G S    (2024-07-22 19:58:10)
Ingrese el criterio de evaluación para 
el refuerzo</t>
      </text>
    </comment>
    <comment authorId="0" ref="BZ10">
      <text>
        <t xml:space="preserve">======
ID#AAABZfUzzas
UE JGL    (2024-07-22 19:58:10)
Desarrollo de productos como maquetas, dioramas, presentaciones
artísticas y/o científicas y/o culturales</t>
      </text>
    </comment>
    <comment authorId="0" ref="AT10">
      <text>
        <t xml:space="preserve">======
ID#AAABZfUzzg0
UE JGL    (2024-07-22 19:58:10)
Talleres</t>
      </text>
    </comment>
    <comment authorId="0" ref="J10">
      <text>
        <t xml:space="preserve">======
ID#AAABZfUzzfg
UE JGL    (2024-07-22 19:58:10)
Proyectos y/o investigaciones</t>
      </text>
    </comment>
    <comment authorId="0" ref="F10">
      <text>
        <t xml:space="preserve">======
ID#AAABZfUzzi0
UE JGL    (2024-07-22 19:58:10)
Pruebas de base estructurada integrales abiertas y/o cerradas</t>
      </text>
    </comment>
    <comment authorId="0" ref="AV10">
      <text>
        <t xml:space="preserve">======
ID#AAABZfUzziI
UE JGL    (2024-07-22 19:58:10)
Desarrollo de productos como maquetas, dioramas, presentaciones
artísticas y/o científicas y/o culturales</t>
      </text>
    </comment>
    <comment authorId="0" ref="AL10">
      <text>
        <t xml:space="preserve">======
ID#AAABZfUzzhc
UE JGL    (2024-07-22 19:58:10)
Tareas/Ejercicios en clase</t>
      </text>
    </comment>
    <comment authorId="0" ref="BL10">
      <text>
        <t xml:space="preserve">======
ID#AAABZfUzzlU
UE JGL    (2024-07-22 19:58:10)
Lecciones de revisión o retroalimentación orales y/o escritas</t>
      </text>
    </comment>
    <comment authorId="0" ref="N10">
      <text>
        <t xml:space="preserve">======
ID#AAABZfUzzn4
UE JGL    (2024-07-22 19:58:10)
Exposiciones, foros, debates y resentaciones artísticas y/o científicas</t>
      </text>
    </comment>
    <comment authorId="0" ref="L10">
      <text>
        <t xml:space="preserve">======
ID#AAABZfUzzpw
UE JGL    (2024-07-22 19:58:10)
Proyectos y/o Investigaciones dentro de la institución educativa</t>
      </text>
    </comment>
    <comment authorId="0" ref="CB11">
      <text>
        <t xml:space="preserve">======
ID#AAABZfUzzpk
Jessenia G S    (2024-07-22 19:58:10)
Ingrese el criterio de evaluación para 
el refuerzo</t>
      </text>
    </comment>
    <comment authorId="0" ref="CB8">
      <text>
        <t xml:space="preserve">======
ID#AAABZfUzzV4
Luis Javier De La Cruz Perero    (2024-07-22 19:58:10)
Reemplaza a cualquier insumo del promedio</t>
      </text>
    </comment>
    <comment authorId="0" ref="BN10">
      <text>
        <t xml:space="preserve">======
ID#AAABZfUzzZI
UE JGL    (2024-07-22 19:58:10)
Pruebas de base estructurada integrales abiertas y/o cerradas</t>
      </text>
    </comment>
    <comment authorId="0" ref="BX10">
      <text>
        <t xml:space="preserve">======
ID#AAABZfUzzYw
UE JGL    (2024-07-22 19:58:10)
Talleres</t>
      </text>
    </comment>
  </commentList>
  <extLst>
    <ext uri="GoogleSheetsCustomDataVersion2">
      <go:sheetsCustomData xmlns:go="http://customooxmlschemas.google.com/" r:id="rId1" roundtripDataSignature="AMtx7miiXGCY09kwxVDQMFXxo3cdstKPs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======
ID#AAABZfUzzag
UE JGL    (2024-07-22 19:58:11)
Exposiciones, foros, debates y resentaciones artísticas y/o científicas</t>
      </text>
    </comment>
    <comment authorId="0" ref="H10">
      <text>
        <t xml:space="preserve">======
ID#AAABZfUzze0
UE JGL    (2024-07-22 19:58:11)
Tareas/Ejercicios en clase</t>
      </text>
    </comment>
    <comment authorId="0" ref="CB11">
      <text>
        <t xml:space="preserve">======
ID#AAABZfUzzdQ
Jessenia G S    (2024-07-22 19:58:11)
Ingrese el criterio de evaluación para 
el refuerzo</t>
      </text>
    </comment>
    <comment authorId="0" ref="D10">
      <text>
        <t xml:space="preserve">======
ID#AAABZfUzzeU
UE JGL    (2024-07-22 19:58:11)
Lecciones de revisión o retroalimentación orales y/o escritas</t>
      </text>
    </comment>
    <comment authorId="0" ref="AJ10">
      <text>
        <t xml:space="preserve">======
ID#AAABZfUzzfk
UE JGL    (2024-07-22 19:58:11)
Pruebas de base estructurada integrales abiertas y/o cerradas</t>
      </text>
    </comment>
    <comment authorId="0" ref="BZ10">
      <text>
        <t xml:space="preserve">======
ID#AAABZfUzziE
UE JGL    (2024-07-22 19:58:11)
Desarrollo de productos como maquetas, dioramas, presentaciones
artísticas y/o científicas y/o culturales</t>
      </text>
    </comment>
    <comment authorId="0" ref="BL10">
      <text>
        <t xml:space="preserve">======
ID#AAABZfUzzjY
UE JGL    (2024-07-22 19:58:11)
Lecciones de revisión o retroalimentación orales y/o escritas</t>
      </text>
    </comment>
    <comment authorId="0" ref="T8">
      <text>
        <t xml:space="preserve">======
ID#AAABZfUzzlw
Luis Javier De La Cruz Perero    (2024-07-22 19:58:11)
Reemplaza a cualquier insumo del promedio</t>
      </text>
    </comment>
    <comment authorId="0" ref="AP10">
      <text>
        <t xml:space="preserve">======
ID#AAABZfUzzpM
UE JGL    (2024-07-22 19:58:11)
Proyectos y/o Investigaciones dentro de la institución educativa</t>
      </text>
    </comment>
    <comment authorId="0" ref="AH10">
      <text>
        <t xml:space="preserve">======
ID#AAABZfUzzW8
UE JGL    (2024-07-22 19:58:11)
Lecciones de revisión o retroalimentación orales y/o escritas</t>
      </text>
    </comment>
    <comment authorId="0" ref="BN10">
      <text>
        <t xml:space="preserve">======
ID#AAABZfUzzY4
UE JGL    (2024-07-22 19:58:11)
Pruebas de base estructurada integrales abiertas y/o cerradas</t>
      </text>
    </comment>
    <comment authorId="0" ref="J10">
      <text>
        <t xml:space="preserve">======
ID#AAABZfUzzY8
UE JGL    (2024-07-22 19:58:11)
Proyectos y/o investigaciones</t>
      </text>
    </comment>
    <comment authorId="0" ref="BR10">
      <text>
        <t xml:space="preserve">======
ID#AAABZfUzzXw
UE JGL    (2024-07-22 19:58:11)
Proyectos y/o investigaciones</t>
      </text>
    </comment>
    <comment authorId="0" ref="AX8">
      <text>
        <t xml:space="preserve">======
ID#AAABZfUzzb0
Luis Javier De La Cruz Perero    (2024-07-22 19:58:11)
Reemplaza a cualquier insumo del promedio</t>
      </text>
    </comment>
    <comment authorId="0" ref="BT10">
      <text>
        <t xml:space="preserve">======
ID#AAABZfUzzcE
UE JGL    (2024-07-22 19:58:10)
Proyectos y/o Investigaciones dentro de la institución educativa</t>
      </text>
    </comment>
    <comment authorId="0" ref="BP10">
      <text>
        <t xml:space="preserve">======
ID#AAABZfUzzbg
UE JGL    (2024-07-22 19:58:10)
Tareas/Ejercicios en clase</t>
      </text>
    </comment>
    <comment authorId="0" ref="BX10">
      <text>
        <t xml:space="preserve">======
ID#AAABZfUzzcc
UE JGL    (2024-07-22 19:58:10)
Talleres</t>
      </text>
    </comment>
    <comment authorId="0" ref="AT10">
      <text>
        <t xml:space="preserve">======
ID#AAABZfUzzeE
UE JGL    (2024-07-22 19:58:10)
Talleres</t>
      </text>
    </comment>
    <comment authorId="0" ref="AX11">
      <text>
        <t xml:space="preserve">======
ID#AAABZfUzzdo
Jessenia G S    (2024-07-22 19:58:10)
Ingrese el criterio de evaluación para 
el refuerzo</t>
      </text>
    </comment>
    <comment authorId="0" ref="T11">
      <text>
        <t xml:space="preserve">======
ID#AAABZfUzzgE
Jessenia G S    (2024-07-22 19:58:10)
Ingrese el criterio de evaluación para 
el refuerzo</t>
      </text>
    </comment>
    <comment authorId="0" ref="CB8">
      <text>
        <t xml:space="preserve">======
ID#AAABZfUzzj8
Luis Javier De La Cruz Perero    (2024-07-22 19:58:10)
Reemplaza a cualquier insumo del promedio</t>
      </text>
    </comment>
    <comment authorId="0" ref="AV10">
      <text>
        <t xml:space="preserve">======
ID#AAABZfUzzkA
UE JGL    (2024-07-22 19:58:10)
Desarrollo de productos como maquetas, dioramas, presentaciones
artísticas y/o científicas y/o culturales</t>
      </text>
    </comment>
    <comment authorId="0" ref="AL10">
      <text>
        <t xml:space="preserve">======
ID#AAABZfUzzk4
UE JGL    (2024-07-22 19:58:10)
Tareas/Ejercicios en clase</t>
      </text>
    </comment>
    <comment authorId="0" ref="F10">
      <text>
        <t xml:space="preserve">======
ID#AAABZfUzzkg
UE JGL    (2024-07-22 19:58:10)
Pruebas de base estructurada integrales abiertas y/o cerradas</t>
      </text>
    </comment>
    <comment authorId="0" ref="P10">
      <text>
        <t xml:space="preserve">======
ID#AAABZfUzzmE
UE JGL    (2024-07-22 19:58:10)
Talleres</t>
      </text>
    </comment>
    <comment authorId="0" ref="L10">
      <text>
        <t xml:space="preserve">======
ID#AAABZfUzzmc
UE JGL    (2024-07-22 19:58:10)
Proyectos y/o Investigaciones dentro de la institución educativa</t>
      </text>
    </comment>
    <comment authorId="0" ref="AN10">
      <text>
        <t xml:space="preserve">======
ID#AAABZfUzzqc
UE JGL    (2024-07-22 19:58:10)
Proyectos y/o investigaciones</t>
      </text>
    </comment>
    <comment authorId="0" ref="R10">
      <text>
        <t xml:space="preserve">======
ID#AAABZfUzzVE
UE JGL    (2024-07-22 19:58:10)
Desarrollo de productos como maquetas, dioramas, presentaciones
artísticas y/o científicas y/o culturales</t>
      </text>
    </comment>
    <comment authorId="0" ref="BV10">
      <text>
        <t xml:space="preserve">======
ID#AAABZfUzzWU
UE JGL    (2024-07-22 19:58:10)
Exposiciones, foros, debates y resentaciones artísticas y/o científicas</t>
      </text>
    </comment>
    <comment authorId="0" ref="AR10">
      <text>
        <t xml:space="preserve">======
ID#AAABZfUzzWc
UE JGL    (2024-07-22 19:58:10)
Exposiciones, foros, debates y resentaciones artísticas y/o científicas</t>
      </text>
    </comment>
  </commentList>
  <extLst>
    <ext uri="GoogleSheetsCustomDataVersion2">
      <go:sheetsCustomData xmlns:go="http://customooxmlschemas.google.com/" r:id="rId1" roundtripDataSignature="AMtx7mjca/nk7hz/i17OTSr8YR9lWXUm4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10">
      <text>
        <t xml:space="preserve">======
ID#AAABZfUzzeY
UE JGL    (2024-07-22 19:58:11)
Lecciones de revisión o retroalimentación orales y/o escritas</t>
      </text>
    </comment>
    <comment authorId="0" ref="AR10">
      <text>
        <t xml:space="preserve">======
ID#AAABZfUzzgM
UE JGL    (2024-07-22 19:58:11)
Exposiciones, foros, debates y resentaciones artísticas y/o científicas</t>
      </text>
    </comment>
    <comment authorId="0" ref="CB8">
      <text>
        <t xml:space="preserve">======
ID#AAABZfUzzgU
Luis Javier De La Cruz Perero    (2024-07-22 19:58:11)
Reemplaza a cualquier insumo del promedio</t>
      </text>
    </comment>
    <comment authorId="0" ref="AL10">
      <text>
        <t xml:space="preserve">======
ID#AAABZfUzzmU
UE JGL    (2024-07-22 19:58:11)
Tareas/Ejercicios en clase</t>
      </text>
    </comment>
    <comment authorId="0" ref="AT10">
      <text>
        <t xml:space="preserve">======
ID#AAABZfUzzoA
UE JGL    (2024-07-22 19:58:11)
Talleres</t>
      </text>
    </comment>
    <comment authorId="0" ref="L10">
      <text>
        <t xml:space="preserve">======
ID#AAABZfUzzp8
UE JGL    (2024-07-22 19:58:11)
Proyectos y/o Investigaciones dentro de la institución educativa</t>
      </text>
    </comment>
    <comment authorId="0" ref="J10">
      <text>
        <t xml:space="preserve">======
ID#AAABZfUzzpg
UE JGL    (2024-07-22 19:58:11)
Proyectos y/o investigaciones</t>
      </text>
    </comment>
    <comment authorId="0" ref="T8">
      <text>
        <t xml:space="preserve">======
ID#AAABZfUzzU4
Luis Javier De La Cruz Perero    (2024-07-22 19:58:11)
Reemplaza a cualquier insumo del promedio</t>
      </text>
    </comment>
    <comment authorId="0" ref="BX10">
      <text>
        <t xml:space="preserve">======
ID#AAABZfUzzVM
UE JGL    (2024-07-22 19:58:11)
Talleres</t>
      </text>
    </comment>
    <comment authorId="0" ref="AV10">
      <text>
        <t xml:space="preserve">======
ID#AAABZfUzzVU
UE JGL    (2024-07-22 19:58:11)
Desarrollo de productos como maquetas, dioramas, presentaciones
artísticas y/o científicas y/o culturales</t>
      </text>
    </comment>
    <comment authorId="0" ref="AX11">
      <text>
        <t xml:space="preserve">======
ID#AAABZfUzzXQ
Jessenia G S    (2024-07-22 19:58:11)
Ingrese el criterio de evaluación para 
el refuerzo</t>
      </text>
    </comment>
    <comment authorId="0" ref="AX8">
      <text>
        <t xml:space="preserve">======
ID#AAABZfUzzZk
Luis Javier De La Cruz Perero    (2024-07-22 19:58:11)
Reemplaza a cualquier insumo del promedio</t>
      </text>
    </comment>
    <comment authorId="0" ref="N10">
      <text>
        <t xml:space="preserve">======
ID#AAABZfUzzaI
UE JGL    (2024-07-22 19:58:11)
Exposiciones, foros, debates y resentaciones artísticas y/o científicas</t>
      </text>
    </comment>
    <comment authorId="0" ref="BZ10">
      <text>
        <t xml:space="preserve">======
ID#AAABZfUzzbM
UE JGL    (2024-07-22 19:58:10)
Desarrollo de productos como maquetas, dioramas, presentaciones
artísticas y/o científicas y/o culturales</t>
      </text>
    </comment>
    <comment authorId="0" ref="BT10">
      <text>
        <t xml:space="preserve">======
ID#AAABZfUzzdc
UE JGL    (2024-07-22 19:58:10)
Proyectos y/o Investigaciones dentro de la institución educativa</t>
      </text>
    </comment>
    <comment authorId="0" ref="AP10">
      <text>
        <t xml:space="preserve">======
ID#AAABZfUzzfw
UE JGL    (2024-07-22 19:58:10)
Proyectos y/o Investigaciones dentro de la institución educativa</t>
      </text>
    </comment>
    <comment authorId="0" ref="AJ10">
      <text>
        <t xml:space="preserve">======
ID#AAABZfUzzhQ
UE JGL    (2024-07-22 19:58:10)
Pruebas de base estructurada integrales abiertas y/o cerradas</t>
      </text>
    </comment>
    <comment authorId="0" ref="BR10">
      <text>
        <t xml:space="preserve">======
ID#AAABZfUzzgo
UE JGL    (2024-07-22 19:58:10)
Proyectos y/o investigaciones</t>
      </text>
    </comment>
    <comment authorId="0" ref="D10">
      <text>
        <t xml:space="preserve">======
ID#AAABZfUzziA
UE JGL    (2024-07-22 19:58:10)
Lecciones de revisión o retroalimentación orales y/o escritas</t>
      </text>
    </comment>
    <comment authorId="0" ref="BN10">
      <text>
        <t xml:space="preserve">======
ID#AAABZfUzzj4
UE JGL    (2024-07-22 19:58:10)
Pruebas de base estructurada integrales abiertas y/o cerradas</t>
      </text>
    </comment>
    <comment authorId="0" ref="H10">
      <text>
        <t xml:space="preserve">======
ID#AAABZfUzzl4
UE JGL    (2024-07-22 19:58:10)
Tareas/Ejercicios en clase</t>
      </text>
    </comment>
    <comment authorId="0" ref="CB11">
      <text>
        <t xml:space="preserve">======
ID#AAABZfUzzoo
Jessenia G S    (2024-07-22 19:58:10)
Ingrese el criterio de evaluación para 
el refuerzo</t>
      </text>
    </comment>
    <comment authorId="0" ref="AN10">
      <text>
        <t xml:space="preserve">======
ID#AAABZfUzzpc
UE JGL    (2024-07-22 19:58:10)
Proyectos y/o investigaciones</t>
      </text>
    </comment>
    <comment authorId="0" ref="BV10">
      <text>
        <t xml:space="preserve">======
ID#AAABZfUzzqU
UE JGL    (2024-07-22 19:58:10)
Exposiciones, foros, debates y resentaciones artísticas y/o científicas</t>
      </text>
    </comment>
    <comment authorId="0" ref="R10">
      <text>
        <t xml:space="preserve">======
ID#AAABZfUzzV0
UE JGL    (2024-07-22 19:58:10)
Desarrollo de productos como maquetas, dioramas, presentaciones
artísticas y/o científicas y/o culturales</t>
      </text>
    </comment>
    <comment authorId="0" ref="F10">
      <text>
        <t xml:space="preserve">======
ID#AAABZfUzzWI
UE JGL    (2024-07-22 19:58:10)
Pruebas de base estructurada integrales abiertas y/o cerradas</t>
      </text>
    </comment>
    <comment authorId="0" ref="BL10">
      <text>
        <t xml:space="preserve">======
ID#AAABZfUzzX8
UE JGL    (2024-07-22 19:58:10)
Lecciones de revisión o retroalimentación orales y/o escritas</t>
      </text>
    </comment>
    <comment authorId="0" ref="T11">
      <text>
        <t xml:space="preserve">======
ID#AAABZfUzzY0
Jessenia G S    (2024-07-22 19:58:10)
Ingrese el criterio de evaluación para 
el refuerzo</t>
      </text>
    </comment>
    <comment authorId="0" ref="BP10">
      <text>
        <t xml:space="preserve">======
ID#AAABZfUzzZc
UE JGL    (2024-07-22 19:58:10)
Tareas/Ejercicios en clase</t>
      </text>
    </comment>
    <comment authorId="0" ref="P10">
      <text>
        <t xml:space="preserve">======
ID#AAABZfUzza0
UE JGL    (2024-07-22 19:58:10)
Talleres</t>
      </text>
    </comment>
  </commentList>
  <extLst>
    <ext uri="GoogleSheetsCustomDataVersion2">
      <go:sheetsCustomData xmlns:go="http://customooxmlschemas.google.com/" r:id="rId1" roundtripDataSignature="AMtx7mgK+LafGAzht0f9j/Zi92XUZlPIgw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======
ID#AAABl8fBd2k
UE JGL    (2024-07-22 19:58:11)
Exposiciones, foros, debates y resentaciones artísticas y/o científicas</t>
      </text>
    </comment>
    <comment authorId="0" ref="J10">
      <text>
        <t xml:space="preserve">======
ID#AAABl8fBd3k
UE JGL    (2024-07-22 19:58:11)
Proyectos y/o investigaciones</t>
      </text>
    </comment>
    <comment authorId="0" ref="AL10">
      <text>
        <t xml:space="preserve">======
ID#AAABl8fBd3o
UE JGL    (2024-07-22 19:58:11)
Tareas/Ejercicios en clase</t>
      </text>
    </comment>
    <comment authorId="0" ref="CB8">
      <text>
        <t xml:space="preserve">======
ID#AAABl8fBd2w
Luis Javier De La Cruz Perero    (2024-07-22 19:58:11)
Reemplaza a cualquier insumo del promedio</t>
      </text>
    </comment>
    <comment authorId="0" ref="AR10">
      <text>
        <t xml:space="preserve">======
ID#AAABl8fBd3Y
UE JGL    (2024-07-22 19:58:11)
Exposiciones, foros, debates y resentaciones artísticas y/o científicas</t>
      </text>
    </comment>
    <comment authorId="0" ref="AT10">
      <text>
        <t xml:space="preserve">======
ID#AAABl8fBd3c
UE JGL    (2024-07-22 19:58:11)
Talleres</t>
      </text>
    </comment>
    <comment authorId="0" ref="AV10">
      <text>
        <t xml:space="preserve">======
ID#AAABl8fBdy0
UE JGL    (2024-07-22 19:58:11)
Desarrollo de productos como maquetas, dioramas, presentaciones
artísticas y/o científicas y/o culturales</t>
      </text>
    </comment>
    <comment authorId="0" ref="AH10">
      <text>
        <t xml:space="preserve">======
ID#AAABl8fBd14
UE JGL    (2024-07-22 19:58:11)
Lecciones de revisión o retroalimentación orales y/o escritas</t>
      </text>
    </comment>
    <comment authorId="0" ref="T8">
      <text>
        <t xml:space="preserve">======
ID#AAABl8fBd08
Luis Javier De La Cruz Perero    (2024-07-22 19:58:11)
Reemplaza a cualquier insumo del promedio</t>
      </text>
    </comment>
    <comment authorId="0" ref="AX8">
      <text>
        <t xml:space="preserve">======
ID#AAABl8fBd1I
Luis Javier De La Cruz Perero    (2024-07-22 19:58:11)
Reemplaza a cualquier insumo del promedio</t>
      </text>
    </comment>
    <comment authorId="0" ref="L10">
      <text>
        <t xml:space="preserve">======
ID#AAABl8fBd1U
UE JGL    (2024-07-22 19:58:11)
Proyectos y/o Investigaciones dentro de la institución educativa</t>
      </text>
    </comment>
    <comment authorId="0" ref="AX11">
      <text>
        <t xml:space="preserve">======
ID#AAABl8fBd2E
Jessenia G S    (2024-07-22 19:58:11)
Ingrese el criterio de evaluación para 
el refuerzo</t>
      </text>
    </comment>
    <comment authorId="0" ref="BX10">
      <text>
        <t xml:space="preserve">======
ID#AAABl8fBdyo
UE JGL    (2024-07-22 19:58:11)
Talleres</t>
      </text>
    </comment>
    <comment authorId="0" ref="H10">
      <text>
        <t xml:space="preserve">======
ID#AAABl8fBd2g
UE JGL    (2024-07-22 19:58:10)
Tareas/Ejercicios en clase</t>
      </text>
    </comment>
    <comment authorId="0" ref="BR10">
      <text>
        <t xml:space="preserve">======
ID#AAABl8fBd2Y
UE JGL    (2024-07-22 19:58:10)
Proyectos y/o investigaciones</t>
      </text>
    </comment>
    <comment authorId="0" ref="BN10">
      <text>
        <t xml:space="preserve">======
ID#AAABl8fBd2c
UE JGL    (2024-07-22 19:58:10)
Pruebas de base estructurada integrales abiertas y/o cerradas</t>
      </text>
    </comment>
    <comment authorId="0" ref="BV10">
      <text>
        <t xml:space="preserve">======
ID#AAABl8fBd3g
UE JGL    (2024-07-22 19:58:10)
Exposiciones, foros, debates y resentaciones artísticas y/o científicas</t>
      </text>
    </comment>
    <comment authorId="0" ref="D10">
      <text>
        <t xml:space="preserve">======
ID#AAABl8fBdy8
UE JGL    (2024-07-22 19:58:10)
Lecciones de revisión o retroalimentación orales y/o escritas</t>
      </text>
    </comment>
    <comment authorId="0" ref="AJ10">
      <text>
        <t xml:space="preserve">======
ID#AAABl8fBd04
UE JGL    (2024-07-22 19:58:10)
Pruebas de base estructurada integrales abiertas y/o cerradas</t>
      </text>
    </comment>
    <comment authorId="0" ref="R10">
      <text>
        <t xml:space="preserve">======
ID#AAABl8fBd0k
UE JGL    (2024-07-22 19:58:10)
Desarrollo de productos como maquetas, dioramas, presentaciones
artísticas y/o científicas y/o culturales</t>
      </text>
    </comment>
    <comment authorId="0" ref="AP10">
      <text>
        <t xml:space="preserve">======
ID#AAABl8fBd1M
UE JGL    (2024-07-22 19:58:10)
Proyectos y/o Investigaciones dentro de la institución educativa</t>
      </text>
    </comment>
    <comment authorId="0" ref="T11">
      <text>
        <t xml:space="preserve">======
ID#AAABl8fBd24
Jessenia G S    (2024-07-22 19:58:10)
Ingrese el criterio de evaluación para 
el refuerzo</t>
      </text>
    </comment>
    <comment authorId="0" ref="BZ10">
      <text>
        <t xml:space="preserve">======
ID#AAABl8fBd0c
UE JGL    (2024-07-22 19:58:10)
Desarrollo de productos como maquetas, dioramas, presentaciones
artísticas y/o científicas y/o culturales</t>
      </text>
    </comment>
    <comment authorId="0" ref="BP10">
      <text>
        <t xml:space="preserve">======
ID#AAABl8fBd1E
UE JGL    (2024-07-22 19:58:10)
Tareas/Ejercicios en clase</t>
      </text>
    </comment>
    <comment authorId="0" ref="AN10">
      <text>
        <t xml:space="preserve">======
ID#AAABl8fBdyU
UE JGL    (2024-07-22 19:58:10)
Proyectos y/o investigaciones</t>
      </text>
    </comment>
    <comment authorId="0" ref="BT10">
      <text>
        <t xml:space="preserve">======
ID#AAABl8fBdzU
UE JGL    (2024-07-22 19:58:10)
Proyectos y/o Investigaciones dentro de la institución educativa</t>
      </text>
    </comment>
    <comment authorId="0" ref="P10">
      <text>
        <t xml:space="preserve">======
ID#AAABl8fBdyw
UE JGL    (2024-07-22 19:58:10)
Talleres</t>
      </text>
    </comment>
    <comment authorId="0" ref="F10">
      <text>
        <t xml:space="preserve">======
ID#AAABl8fBdyc
UE JGL    (2024-07-22 19:58:10)
Pruebas de base estructurada integrales abiertas y/o cerradas</t>
      </text>
    </comment>
    <comment authorId="0" ref="CB11">
      <text>
        <t xml:space="preserve">======
ID#AAABl8fBdzg
Jessenia G S    (2024-07-22 19:58:10)
Ingrese el criterio de evaluación para 
el refuerzo</t>
      </text>
    </comment>
    <comment authorId="0" ref="BL10">
      <text>
        <t xml:space="preserve">======
ID#AAABl8fBdzk
UE JGL    (2024-07-22 19:58:10)
Lecciones de revisión o retroalimentación orales y/o escritas</t>
      </text>
    </comment>
  </commentList>
  <extLst>
    <ext uri="GoogleSheetsCustomDataVersion2">
      <go:sheetsCustomData xmlns:go="http://customooxmlschemas.google.com/" r:id="rId1" roundtripDataSignature="AMtx7mj4e4TSeJvAvg6pF7Vf+ir2cycKKQ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10">
      <text>
        <t xml:space="preserve">======
ID#AAABl8fBd3w
UE JGL    (2024-07-22 19:58:11)
Exposiciones, foros, debates y resentaciones artísticas y/o científicas</t>
      </text>
    </comment>
    <comment authorId="0" ref="T8">
      <text>
        <t xml:space="preserve">======
ID#AAABl8fBd0E
Luis Javier De La Cruz Perero    (2024-07-22 19:58:11)
Reemplaza a cualquier insumo del promedio</t>
      </text>
    </comment>
    <comment authorId="0" ref="CB8">
      <text>
        <t xml:space="preserve">======
ID#AAABl8fBd0o
Luis Javier De La Cruz Perero    (2024-07-22 19:58:11)
Reemplaza a cualquier insumo del promedio</t>
      </text>
    </comment>
    <comment authorId="0" ref="BX10">
      <text>
        <t xml:space="preserve">======
ID#AAABl8fBd20
UE JGL    (2024-07-22 19:58:11)
Talleres</t>
      </text>
    </comment>
    <comment authorId="0" ref="L10">
      <text>
        <t xml:space="preserve">======
ID#AAABl8fBd0Y
UE JGL    (2024-07-22 19:58:11)
Proyectos y/o Investigaciones dentro de la institución educativa</t>
      </text>
    </comment>
    <comment authorId="0" ref="AV10">
      <text>
        <t xml:space="preserve">======
ID#AAABl8fBd2Q
UE JGL    (2024-07-22 19:58:11)
Desarrollo de productos como maquetas, dioramas, presentaciones
artísticas y/o científicas y/o culturales</t>
      </text>
    </comment>
    <comment authorId="0" ref="AX8">
      <text>
        <t xml:space="preserve">======
ID#AAABl8fBd1o
Luis Javier De La Cruz Perero    (2024-07-22 19:58:11)
Reemplaza a cualquier insumo del promedio</t>
      </text>
    </comment>
    <comment authorId="0" ref="AT10">
      <text>
        <t xml:space="preserve">======
ID#AAABl8fBd34
UE JGL    (2024-07-22 19:58:11)
Talleres</t>
      </text>
    </comment>
    <comment authorId="0" ref="J10">
      <text>
        <t xml:space="preserve">======
ID#AAABl8fBd1Y
UE JGL    (2024-07-22 19:58:11)
Proyectos y/o investigaciones</t>
      </text>
    </comment>
    <comment authorId="0" ref="N10">
      <text>
        <t xml:space="preserve">======
ID#AAABl8fBd1c
UE JGL    (2024-07-22 19:58:11)
Exposiciones, foros, debates y resentaciones artísticas y/o científicas</t>
      </text>
    </comment>
    <comment authorId="0" ref="AX11">
      <text>
        <t xml:space="preserve">======
ID#AAABl8fBdz0
Jessenia G S    (2024-07-22 19:58:11)
Ingrese el criterio de evaluación para 
el refuerzo</t>
      </text>
    </comment>
    <comment authorId="0" ref="AH10">
      <text>
        <t xml:space="preserve">======
ID#AAABl8fBdz8
UE JGL    (2024-07-22 19:58:11)
Lecciones de revisión o retroalimentación orales y/o escritas</t>
      </text>
    </comment>
    <comment authorId="0" ref="AL10">
      <text>
        <t xml:space="preserve">======
ID#AAABl8fBdzs
UE JGL    (2024-07-22 19:58:11)
Tareas/Ejercicios en clase</t>
      </text>
    </comment>
    <comment authorId="0" ref="AP10">
      <text>
        <t xml:space="preserve">======
ID#AAABl8fBd3M
UE JGL    (2024-07-22 19:58:10)
Proyectos y/o Investigaciones dentro de la institución educativa</t>
      </text>
    </comment>
    <comment authorId="0" ref="BR10">
      <text>
        <t xml:space="preserve">======
ID#AAABl8fBdy4
UE JGL    (2024-07-22 19:58:10)
Proyectos y/o investigaciones</t>
      </text>
    </comment>
    <comment authorId="0" ref="P10">
      <text>
        <t xml:space="preserve">======
ID#AAABl8fBd00
UE JGL    (2024-07-22 19:58:10)
Talleres</t>
      </text>
    </comment>
    <comment authorId="0" ref="BT10">
      <text>
        <t xml:space="preserve">======
ID#AAABl8fBd0M
UE JGL    (2024-07-22 19:58:10)
Proyectos y/o Investigaciones dentro de la institución educativa</t>
      </text>
    </comment>
    <comment authorId="0" ref="D10">
      <text>
        <t xml:space="preserve">======
ID#AAABl8fBd0g
UE JGL    (2024-07-22 19:58:10)
Lecciones de revisión o retroalimentación orales y/o escritas</t>
      </text>
    </comment>
    <comment authorId="0" ref="AJ10">
      <text>
        <t xml:space="preserve">======
ID#AAABl8fBd1Q
UE JGL    (2024-07-22 19:58:10)
Pruebas de base estructurada integrales abiertas y/o cerradas</t>
      </text>
    </comment>
    <comment authorId="0" ref="BZ10">
      <text>
        <t xml:space="preserve">======
ID#AAABl8fBd2M
UE JGL    (2024-07-22 19:58:10)
Desarrollo de productos como maquetas, dioramas, presentaciones
artísticas y/o científicas y/o culturales</t>
      </text>
    </comment>
    <comment authorId="0" ref="F10">
      <text>
        <t xml:space="preserve">======
ID#AAABl8fBd0w
UE JGL    (2024-07-22 19:58:10)
Pruebas de base estructurada integrales abiertas y/o cerradas</t>
      </text>
    </comment>
    <comment authorId="0" ref="CB11">
      <text>
        <t xml:space="preserve">======
ID#AAABl8fBd28
Jessenia G S    (2024-07-22 19:58:10)
Ingrese el criterio de evaluación para 
el refuerzo</t>
      </text>
    </comment>
    <comment authorId="0" ref="BV10">
      <text>
        <t xml:space="preserve">======
ID#AAABl8fBd2A
UE JGL    (2024-07-22 19:58:10)
Exposiciones, foros, debates y resentaciones artísticas y/o científicas</t>
      </text>
    </comment>
    <comment authorId="0" ref="R10">
      <text>
        <t xml:space="preserve">======
ID#AAABl8fBdz4
UE JGL    (2024-07-22 19:58:10)
Desarrollo de productos como maquetas, dioramas, presentaciones
artísticas y/o científicas y/o culturales</t>
      </text>
    </comment>
    <comment authorId="0" ref="BL10">
      <text>
        <t xml:space="preserve">======
ID#AAABl8fBdzY
UE JGL    (2024-07-22 19:58:10)
Lecciones de revisión o retroalimentación orales y/o escritas</t>
      </text>
    </comment>
    <comment authorId="0" ref="T11">
      <text>
        <t xml:space="preserve">======
ID#AAABl8fBdzA
Jessenia G S    (2024-07-22 19:58:10)
Ingrese el criterio de evaluación para 
el refuerzo</t>
      </text>
    </comment>
    <comment authorId="0" ref="BN10">
      <text>
        <t xml:space="preserve">======
ID#AAABl8fBdzE
UE JGL    (2024-07-22 19:58:10)
Pruebas de base estructurada integrales abiertas y/o cerradas</t>
      </text>
    </comment>
    <comment authorId="0" ref="BP10">
      <text>
        <t xml:space="preserve">======
ID#AAABl8fBdzI
UE JGL    (2024-07-22 19:58:10)
Tareas/Ejercicios en clase</t>
      </text>
    </comment>
    <comment authorId="0" ref="H10">
      <text>
        <t xml:space="preserve">======
ID#AAABl8fBdzw
UE JGL    (2024-07-22 19:58:10)
Tareas/Ejercicios en clase</t>
      </text>
    </comment>
    <comment authorId="0" ref="AN10">
      <text>
        <t xml:space="preserve">======
ID#AAABl8fBdzc
UE JGL    (2024-07-22 19:58:10)
Proyectos y/o investigaciones</t>
      </text>
    </comment>
  </commentList>
  <extLst>
    <ext uri="GoogleSheetsCustomDataVersion2">
      <go:sheetsCustomData xmlns:go="http://customooxmlschemas.google.com/" r:id="rId1" roundtripDataSignature="AMtx7mhR8OUJ4l2D1DfBQS9lSv26xsw99A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8">
      <text>
        <t xml:space="preserve">======
ID#AAABl8fBd3I
Luis Javier De La Cruz Perero    (2024-07-22 19:58:11)
Reemplaza a cualquier insumo del promedio</t>
      </text>
    </comment>
    <comment authorId="0" ref="AR10">
      <text>
        <t xml:space="preserve">======
ID#AAABl8fBd3Q
UE JGL    (2024-07-22 19:58:11)
Exposiciones, foros, debates y resentaciones artísticas y/o científicas</t>
      </text>
    </comment>
    <comment authorId="0" ref="J10">
      <text>
        <t xml:space="preserve">======
ID#AAABl8fBd1w
UE JGL    (2024-07-22 19:58:11)
Proyectos y/o investigaciones</t>
      </text>
    </comment>
    <comment authorId="0" ref="AV10">
      <text>
        <t xml:space="preserve">======
ID#AAABl8fBd3s
UE JGL    (2024-07-22 19:58:11)
Desarrollo de productos como maquetas, dioramas, presentaciones
artísticas y/o científicas y/o culturales</t>
      </text>
    </comment>
    <comment authorId="0" ref="AX8">
      <text>
        <t xml:space="preserve">======
ID#AAABl8fBd0Q
Luis Javier De La Cruz Perero    (2024-07-22 19:58:11)
Reemplaza a cualquier insumo del promedio</t>
      </text>
    </comment>
    <comment authorId="0" ref="AT10">
      <text>
        <t xml:space="preserve">======
ID#AAABl8fBd0A
UE JGL    (2024-07-22 19:58:11)
Talleres</t>
      </text>
    </comment>
    <comment authorId="0" ref="AH10">
      <text>
        <t xml:space="preserve">======
ID#AAABl8fBd18
UE JGL    (2024-07-22 19:58:11)
Lecciones de revisión o retroalimentación orales y/o escritas</t>
      </text>
    </comment>
    <comment authorId="0" ref="AL10">
      <text>
        <t xml:space="preserve">======
ID#AAABl8fBd0U
UE JGL    (2024-07-22 19:58:11)
Tareas/Ejercicios en clase</t>
      </text>
    </comment>
    <comment authorId="0" ref="N10">
      <text>
        <t xml:space="preserve">======
ID#AAABl8fBd1g
UE JGL    (2024-07-22 19:58:11)
Exposiciones, foros, debates y resentaciones artísticas y/o científicas</t>
      </text>
    </comment>
    <comment authorId="0" ref="L10">
      <text>
        <t xml:space="preserve">======
ID#AAABl8fBd1k
UE JGL    (2024-07-22 19:58:11)
Proyectos y/o Investigaciones dentro de la institución educativa</t>
      </text>
    </comment>
    <comment authorId="0" ref="AX11">
      <text>
        <t xml:space="preserve">======
ID#AAABl8fBd2U
Jessenia G S    (2024-07-22 19:58:11)
Ingrese el criterio de evaluación para 
el refuerzo</t>
      </text>
    </comment>
    <comment authorId="0" ref="BX10">
      <text>
        <t xml:space="preserve">======
ID#AAABl8fBdyY
UE JGL    (2024-07-22 19:58:11)
Talleres</t>
      </text>
    </comment>
    <comment authorId="0" ref="CB8">
      <text>
        <t xml:space="preserve">======
ID#AAABl8fBdyg
Luis Javier De La Cruz Perero    (2024-07-22 19:58:11)
Reemplaza a cualquier insumo del promedio</t>
      </text>
    </comment>
    <comment authorId="0" ref="H10">
      <text>
        <t xml:space="preserve">======
ID#AAABl8fBd2o
UE JGL    (2024-07-22 19:58:10)
Tareas/Ejercicios en clase</t>
      </text>
    </comment>
    <comment authorId="0" ref="P10">
      <text>
        <t xml:space="preserve">======
ID#AAABl8fBd2s
UE JGL    (2024-07-22 19:58:10)
Talleres</t>
      </text>
    </comment>
    <comment authorId="0" ref="CB11">
      <text>
        <t xml:space="preserve">======
ID#AAABl8fBd3U
Jessenia G S    (2024-07-22 19:58:10)
Ingrese el criterio de evaluación para 
el refuerzo</t>
      </text>
    </comment>
    <comment authorId="0" ref="F10">
      <text>
        <t xml:space="preserve">======
ID#AAABl8fBd3A
UE JGL    (2024-07-22 19:58:10)
Pruebas de base estructurada integrales abiertas y/o cerradas</t>
      </text>
    </comment>
    <comment authorId="0" ref="BR10">
      <text>
        <t xml:space="preserve">======
ID#AAABl8fBd3E
UE JGL    (2024-07-22 19:58:10)
Proyectos y/o investigaciones</t>
      </text>
    </comment>
    <comment authorId="0" ref="R10">
      <text>
        <t xml:space="preserve">======
ID#AAABl8fBd0I
UE JGL    (2024-07-22 19:58:10)
Desarrollo de productos como maquetas, dioramas, presentaciones
artísticas y/o científicas y/o culturales</t>
      </text>
    </comment>
    <comment authorId="0" ref="T11">
      <text>
        <t xml:space="preserve">======
ID#AAABl8fBd10
Jessenia G S    (2024-07-22 19:58:10)
Ingrese el criterio de evaluación para 
el refuerzo</t>
      </text>
    </comment>
    <comment authorId="0" ref="AP10">
      <text>
        <t xml:space="preserve">======
ID#AAABl8fBd0s
UE JGL    (2024-07-22 19:58:10)
Proyectos y/o Investigaciones dentro de la institución educativa</t>
      </text>
    </comment>
    <comment authorId="0" ref="BV10">
      <text>
        <t xml:space="preserve">======
ID#AAABl8fBd1A
UE JGL    (2024-07-22 19:58:10)
Exposiciones, foros, debates y resentaciones artísticas y/o científicas</t>
      </text>
    </comment>
    <comment authorId="0" ref="D10">
      <text>
        <t xml:space="preserve">======
ID#AAABl8fBd2I
UE JGL    (2024-07-22 19:58:10)
Lecciones de revisión o retroalimentación orales y/o escritas</t>
      </text>
    </comment>
    <comment authorId="0" ref="BL10">
      <text>
        <t xml:space="preserve">======
ID#AAABl8fBd30
UE JGL    (2024-07-22 19:58:10)
Lecciones de revisión o retroalimentación orales y/o escritas</t>
      </text>
    </comment>
    <comment authorId="0" ref="BT10">
      <text>
        <t xml:space="preserve">======
ID#AAABl8fBd1s
UE JGL    (2024-07-22 19:58:10)
Proyectos y/o Investigaciones dentro de la institución educativa</t>
      </text>
    </comment>
    <comment authorId="0" ref="BN10">
      <text>
        <t xml:space="preserve">======
ID#AAABl8fBdzQ
UE JGL    (2024-07-22 19:58:10)
Pruebas de base estructurada integrales abiertas y/o cerradas</t>
      </text>
    </comment>
    <comment authorId="0" ref="BZ10">
      <text>
        <t xml:space="preserve">======
ID#AAABl8fBdys
UE JGL    (2024-07-22 19:58:10)
Desarrollo de productos como maquetas, dioramas, presentaciones
artísticas y/o científicas y/o culturales</t>
      </text>
    </comment>
    <comment authorId="0" ref="AN10">
      <text>
        <t xml:space="preserve">======
ID#AAABl8fBdzM
UE JGL    (2024-07-22 19:58:10)
Proyectos y/o investigaciones</t>
      </text>
    </comment>
    <comment authorId="0" ref="AJ10">
      <text>
        <t xml:space="preserve">======
ID#AAABl8fBdyk
UE JGL    (2024-07-22 19:58:10)
Pruebas de base estructurada integrales abiertas y/o cerradas</t>
      </text>
    </comment>
    <comment authorId="0" ref="BP10">
      <text>
        <t xml:space="preserve">======
ID#AAABl8fBdzo
UE JGL    (2024-07-22 19:58:10)
Tareas/Ejercicios en clase</t>
      </text>
    </comment>
  </commentList>
  <extLst>
    <ext uri="GoogleSheetsCustomDataVersion2">
      <go:sheetsCustomData xmlns:go="http://customooxmlschemas.google.com/" r:id="rId1" roundtripDataSignature="AMtx7mhOa2fJ0qKkK1duL8r/QRNI967mNA=="/>
    </ext>
  </extLst>
</comments>
</file>

<file path=xl/sharedStrings.xml><?xml version="1.0" encoding="utf-8"?>
<sst xmlns="http://schemas.openxmlformats.org/spreadsheetml/2006/main" count="2956" uniqueCount="230">
  <si>
    <t>INSTITUCIÓN:</t>
  </si>
  <si>
    <t xml:space="preserve">UNIDAD EDUCATIVA EMILIO ISAIAS ABIHANNA </t>
  </si>
  <si>
    <t>DOCENTE TUTOR:</t>
  </si>
  <si>
    <t>Stalin Ochoa</t>
  </si>
  <si>
    <t>GRADO:</t>
  </si>
  <si>
    <t xml:space="preserve">1ERO TECNICO </t>
  </si>
  <si>
    <t xml:space="preserve">PARALELO:  </t>
  </si>
  <si>
    <t>B</t>
  </si>
  <si>
    <t>CALIFICACION DEL PROYECTO INTERDISCIPLINARIO</t>
  </si>
  <si>
    <t>FASE 1</t>
  </si>
  <si>
    <t>FASE 2</t>
  </si>
  <si>
    <t>FASE 3</t>
  </si>
  <si>
    <t>ESTUDIANTES</t>
  </si>
  <si>
    <t>MATERIAS QUE INTERVIENEN</t>
  </si>
  <si>
    <t>TOTAL PROYECTO</t>
  </si>
  <si>
    <t>PROYECTO INTERDISCIPLINARIO TOTAL 10%</t>
  </si>
  <si>
    <t>PROYECTO INTERDISCIPLINARIO</t>
  </si>
  <si>
    <t>TOTAL TRIMESTRAL FASE 1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</si>
  <si>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15%)</t>
    </r>
  </si>
  <si>
    <t>TOTAL TRIMESTRAL FASE 2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</si>
  <si>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15%)</t>
    </r>
  </si>
  <si>
    <t>TOTAL TRIMESTRAL FASE 3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</si>
  <si>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15%)</t>
    </r>
  </si>
  <si>
    <t>Nº</t>
  </si>
  <si>
    <t>CÉDULA</t>
  </si>
  <si>
    <t>APELLIDOS/NOMBRES</t>
  </si>
  <si>
    <t>LENGUAJE</t>
  </si>
  <si>
    <t>MATEMATICA</t>
  </si>
  <si>
    <t>INGLES</t>
  </si>
  <si>
    <t>QUIMICA</t>
  </si>
  <si>
    <t>FISICA</t>
  </si>
  <si>
    <t>ED. FISICA</t>
  </si>
  <si>
    <t xml:space="preserve">CONTABILIDAD GENERAL </t>
  </si>
  <si>
    <t>BIOLOGIA</t>
  </si>
  <si>
    <t>HISTORIOA</t>
  </si>
  <si>
    <t xml:space="preserve">	E.C.A</t>
  </si>
  <si>
    <t>FILOSOFIA</t>
  </si>
  <si>
    <t>EMP. Y GESTION</t>
  </si>
  <si>
    <t xml:space="preserve">EDUCACION PARA LA CIUDADANIA </t>
  </si>
  <si>
    <t xml:space="preserve">PAQUETES CONTABLES </t>
  </si>
  <si>
    <t xml:space="preserve">TRIBUTACION </t>
  </si>
  <si>
    <t>Almeida Alvarado Ariana Guisela</t>
  </si>
  <si>
    <t>Alvarado Vargas Dacmar Alejandra</t>
  </si>
  <si>
    <t>Ampuero Cornejo Cesar Jeanpierre</t>
  </si>
  <si>
    <t>Aylla Murillo Kerly Kristhel</t>
  </si>
  <si>
    <t>Campuzano Meza Naydelyn Odeth</t>
  </si>
  <si>
    <t>Cantos Zúñiga a Hernán Snayder</t>
  </si>
  <si>
    <t>Carranza Dumes Genesis Daniela</t>
  </si>
  <si>
    <t>Castro De La Rosa Cristopher Ruben</t>
  </si>
  <si>
    <t>Chamba Maurad Joshelyn Juleixi</t>
  </si>
  <si>
    <t>Cedeño Sanchez Josué</t>
  </si>
  <si>
    <t>Espinoza Martinez Stefano Juliano</t>
  </si>
  <si>
    <t>Espinoza Morante Melany Ginger</t>
  </si>
  <si>
    <t>Garrido franco Génesis Lissette</t>
  </si>
  <si>
    <t>Gonzalez Gonzalez Jean Carlos</t>
  </si>
  <si>
    <t>Guevara Benites Jean Pierre</t>
  </si>
  <si>
    <t>Mero Carcamo Adriana Carolina</t>
  </si>
  <si>
    <t>Moreira Villamar Darwin Matias</t>
  </si>
  <si>
    <t>Peña Macias Enrique Alexander</t>
  </si>
  <si>
    <t>Roman Arreaga Stefani Asley</t>
  </si>
  <si>
    <t>Sánchez Ponce Sandra Stefania</t>
  </si>
  <si>
    <t>Torres Vera Anderson</t>
  </si>
  <si>
    <t>Valero Pefiafiel Carlos José</t>
  </si>
  <si>
    <t>Veliz chicaiza Alex isaac</t>
  </si>
  <si>
    <t>Zambrano Zhicay Victor Humberto</t>
  </si>
  <si>
    <t xml:space="preserve">UNIDAD EDUCATIVA EMILIO ISAÍAS ABIHANNA </t>
  </si>
  <si>
    <t>DOCENTE:</t>
  </si>
  <si>
    <t>LIC. XIMENA NAULA YUQUILEMA, MAG.</t>
  </si>
  <si>
    <t>1ER. AÑO DE BACHILLERATO TECNICO</t>
  </si>
  <si>
    <t xml:space="preserve">PRIMER TRIMESTRE </t>
  </si>
  <si>
    <t xml:space="preserve">SEGUNDO TRIMESTRE </t>
  </si>
  <si>
    <t xml:space="preserve">TERCER TRIMESTRE </t>
  </si>
  <si>
    <t>CALIFICACIONES TRIMESTRALES</t>
  </si>
  <si>
    <t>SUPLETORIO</t>
  </si>
  <si>
    <t>MATERIA: LENGUAJE</t>
  </si>
  <si>
    <t>EVALUACIÓN FORMATIVA</t>
  </si>
  <si>
    <t>REFUERZO PEDAGÓGICO</t>
  </si>
  <si>
    <t>TOTAL 70%</t>
  </si>
  <si>
    <t>EXAMEN DEL PRIMER TRIMESTRE</t>
  </si>
  <si>
    <t>EVALUACIÓN SUMATIVA (PROMEDIO DE EXAMEN+PROYECTO INTERDISCIPLINARIO)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</si>
  <si>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</si>
  <si>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</si>
  <si>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</si>
  <si>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APORTES DISCIPLINARES O INTERDISCIPLINARES INDIVIDUALES</t>
  </si>
  <si>
    <t>APORTES DISCIPLINARES O INTERDISCIPLINARES GRUPALES</t>
  </si>
  <si>
    <t>Lecciones</t>
  </si>
  <si>
    <t xml:space="preserve">Pruebas </t>
  </si>
  <si>
    <t>Tareas</t>
  </si>
  <si>
    <t>Proyectos</t>
  </si>
  <si>
    <t>Exposiciones</t>
  </si>
  <si>
    <t>Talleres</t>
  </si>
  <si>
    <t>Productos</t>
  </si>
  <si>
    <t>TRIMESTRES</t>
  </si>
  <si>
    <t>NOTA FINAL (100%)</t>
  </si>
  <si>
    <t>OBSERVACIÓN</t>
  </si>
  <si>
    <t xml:space="preserve">CUANTIFICACION DE NOTA FINAL /ANUAL </t>
  </si>
  <si>
    <t>INSUMO 1</t>
  </si>
  <si>
    <t>INSUMO 2</t>
  </si>
  <si>
    <t>1er</t>
  </si>
  <si>
    <t>2do</t>
  </si>
  <si>
    <t>3er</t>
  </si>
  <si>
    <t xml:space="preserve">CALF. FINAL </t>
  </si>
  <si>
    <t>EXA. SUPLET</t>
  </si>
  <si>
    <t>FINAL ANUAL</t>
  </si>
  <si>
    <t>ESTUDIANTES:</t>
  </si>
  <si>
    <t xml:space="preserve">PROMEDIO DE RENDIMIENTO </t>
  </si>
  <si>
    <t xml:space="preserve">CALIFICACIÓN ANUAL </t>
  </si>
  <si>
    <t>RANGOS</t>
  </si>
  <si>
    <t>Esc.</t>
  </si>
  <si>
    <t>Cant.</t>
  </si>
  <si>
    <t>RANGO (10-9 PTS) D.A.R</t>
  </si>
  <si>
    <t>D.A.R</t>
  </si>
  <si>
    <t>RANGO (8,99-7 PTS) A.A.R</t>
  </si>
  <si>
    <t>A.A.R</t>
  </si>
  <si>
    <t>RANGO (6,99-4,01 PTS) P.A.A.R</t>
  </si>
  <si>
    <t>P.A.A.R</t>
  </si>
  <si>
    <t>RANGO (&lt;=4 PTS) N.A.A.R</t>
  </si>
  <si>
    <t>N.A.A.R</t>
  </si>
  <si>
    <t>TOTAL</t>
  </si>
  <si>
    <t>DOCENTE TUTOR (A)</t>
  </si>
  <si>
    <t>VICERRECTOR/A</t>
  </si>
  <si>
    <t>COCA AGURTO ESTEBENSON</t>
  </si>
  <si>
    <t>MATERIA: MATEMATICA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</si>
  <si>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</si>
  <si>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</si>
  <si>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</si>
  <si>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 xml:space="preserve">LCDA. SILVIA DURAN A </t>
  </si>
  <si>
    <t>MATERIA: QUIMICA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</si>
  <si>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</si>
  <si>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</si>
  <si>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</si>
  <si>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MSC. JESSICA AVILES</t>
  </si>
  <si>
    <t>MATERIA: INGLES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</si>
  <si>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</si>
  <si>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</si>
  <si>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EXAMEN DEL TERCER TRIMESTRE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</si>
  <si>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</si>
  <si>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MARIO GÓMEZ CORREA</t>
  </si>
  <si>
    <t>MATERIA: FISICA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</si>
  <si>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</si>
  <si>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</si>
  <si>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</si>
  <si>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Trabajo Individual MRUA</t>
  </si>
  <si>
    <t>Cuaderno</t>
  </si>
  <si>
    <t>Trabajo Grupal</t>
  </si>
  <si>
    <t>Trabajo Individual del Libro</t>
  </si>
  <si>
    <t>Trabajo Grupal del Libro</t>
  </si>
  <si>
    <t xml:space="preserve"> Movimiento, rapidez y velocidad</t>
  </si>
  <si>
    <t>Velocidad Media vs. Rapidez Media</t>
  </si>
  <si>
    <t>PRACTICA FÍSICA MOVIMIENTO RECTILINEO UNIFORME (MRU)</t>
  </si>
  <si>
    <t>LCDO MARIO ESPINOZA</t>
  </si>
  <si>
    <t xml:space="preserve">PRIMERO TECNICO </t>
  </si>
  <si>
    <t>MATERIA: EDUCACION FISICA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</si>
  <si>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</si>
  <si>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</si>
  <si>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</si>
  <si>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ALEXANDRA  FRANCO</t>
  </si>
  <si>
    <t xml:space="preserve">MATERIA: E.C.A. 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</si>
  <si>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</si>
  <si>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EXAMEN DEL SEGUNDO TRIMESTRE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</si>
  <si>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</si>
  <si>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</si>
  <si>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ING. ROLANDO OCHOA MENDOZA MSC.</t>
  </si>
  <si>
    <t xml:space="preserve">MATERIA: CONTABILIDAD GENERAL 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</si>
  <si>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</si>
  <si>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</si>
  <si>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</si>
  <si>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CUANTIFICACION DE NOTAS TRIMESTRALES / NOTA FINAL</t>
  </si>
  <si>
    <t>UNIDAD EDUCATIVA EMILIO ISAÍAS ABIHANNA</t>
  </si>
  <si>
    <t>REYNALDO LINDAO GALECIO</t>
  </si>
  <si>
    <t>MATERIA: HISTORIA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</si>
  <si>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</si>
  <si>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</si>
  <si>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</si>
  <si>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 xml:space="preserve">Lcda. Fanny Sobenis </t>
  </si>
  <si>
    <t>MATERIA: BIOLOGIA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</si>
  <si>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</si>
  <si>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</si>
  <si>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</si>
  <si>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Lic. Leticia Hernandez</t>
  </si>
  <si>
    <t xml:space="preserve">MATERIA: FILOSOFIA 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</si>
  <si>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</si>
  <si>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</si>
  <si>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</si>
  <si>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Ing. Eleana Pluas Pino, Mgter</t>
  </si>
  <si>
    <t>MATERIA: EMPRENDIMIENTO Y GESTION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</si>
  <si>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</si>
  <si>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</si>
  <si>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</si>
  <si>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MATERIA: EDUCACION PARA LA CIUDADANIA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</si>
  <si>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</si>
  <si>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</si>
  <si>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</si>
  <si>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 xml:space="preserve">   </t>
  </si>
  <si>
    <t xml:space="preserve">MATERIA: PAQUETES CONTABLES 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</si>
  <si>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</si>
  <si>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</si>
  <si>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</si>
  <si>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Econ. Hugo Donoso Reinoso, Mgtr.</t>
  </si>
  <si>
    <t xml:space="preserve">MATERIA: TRIBUTACION </t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</si>
  <si>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</si>
  <si>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</si>
  <si>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r>
      <rPr>
        <rFont val="Arial"/>
        <color rgb="FFFFFF00"/>
        <sz val="8.0"/>
      </rPr>
      <t>TOTAL TRIMESTRE (</t>
    </r>
    <r>
      <rPr>
        <rFont val="Arial"/>
        <color rgb="FFFFFF00"/>
        <sz val="9.0"/>
      </rPr>
      <t>100%)</t>
    </r>
  </si>
  <si>
    <t>SABANA DE CALIFICACION DEL SEGUNDO TRIMESTRE</t>
  </si>
  <si>
    <t xml:space="preserve">Stalin Ochoa                                                                                              LCDA. SILVIA DURAN A.                                    </t>
  </si>
  <si>
    <t>SABANA DE CALIFICACION DEL PRIMER TRIMESTRE</t>
  </si>
  <si>
    <t>SABANA DE CALIFICACION DEL TERCER TRIMESTRE</t>
  </si>
  <si>
    <t>PROMEDIO PRIMER TRIMESTRE</t>
  </si>
  <si>
    <t>ASIGNATURA</t>
  </si>
  <si>
    <t>PROMEDIO SEGUNDO TRIMESTRE</t>
  </si>
  <si>
    <t>PROMEDIO TERCER TRIMESTRE</t>
  </si>
  <si>
    <t>A</t>
  </si>
  <si>
    <t>ASIGNATURAS</t>
  </si>
  <si>
    <t>PROMEDIO FINAL</t>
  </si>
  <si>
    <t>CONTABILIDAD GENERAL</t>
  </si>
  <si>
    <t>HISTORIA</t>
  </si>
  <si>
    <t xml:space="preserve">E.C.A. </t>
  </si>
  <si>
    <t xml:space="preserve">FILOSOFIA </t>
  </si>
  <si>
    <t>EMPRENDIMIENTO Y GESTION</t>
  </si>
  <si>
    <t>EDUCACION PARA LA CIUDADANIA</t>
  </si>
  <si>
    <t>PAQUETES CONTABLES</t>
  </si>
  <si>
    <t>1T</t>
  </si>
  <si>
    <t>2T</t>
  </si>
  <si>
    <t>3T</t>
  </si>
  <si>
    <t>P</t>
  </si>
  <si>
    <t>S</t>
  </si>
  <si>
    <t>PF</t>
  </si>
  <si>
    <t>SABANA DE CALIFICACION RESUMEN FINAL</t>
  </si>
  <si>
    <t>ASIGNATURAS RECIBIDAS</t>
  </si>
  <si>
    <t>PROMEDIO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</si>
</sst>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6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sz val="12.0"/>
      <color rgb="FFFFFFFF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24.0"/>
      <color rgb="FFFFFFFF"/>
      <name val="Arial"/>
    </font>
    <font>
      <b/>
      <sz val="24.0"/>
      <color rgb="FFFFFFFF"/>
      <name val="Bahnschrift SemiLight SemiConde"/>
    </font>
    <font>
      <b/>
      <sz val="18.0"/>
      <color rgb="FFFFFFFF"/>
      <name val="Arial"/>
    </font>
    <font>
      <b/>
      <sz val="18.0"/>
      <color rgb="FFFFFFFF"/>
      <name val="Bahnschrift SemiLight SemiConde"/>
    </font>
    <font>
      <sz val="16.0"/>
      <color rgb="FFFFFFFF"/>
      <name val="Overlock"/>
    </font>
    <font>
      <sz val="20.0"/>
      <color rgb="FFFFFFFF"/>
      <name val="Arial Narrow"/>
    </font>
    <font>
      <b/>
      <sz val="10.0"/>
      <color rgb="FFFFFFFF"/>
      <name val="Bahnschrift SemiLight SemiConde"/>
    </font>
    <font>
      <b/>
      <sz val="9.0"/>
      <color rgb="FFFFFFFF"/>
      <name val="Bahnschrift SemiLight SemiConde"/>
    </font>
    <font>
      <sz val="10.0"/>
      <color rgb="FFFFFFFF"/>
      <name val="Arial"/>
    </font>
    <font>
      <sz val="8.0"/>
      <color rgb="FFFFFF00"/>
      <name val="Arial"/>
    </font>
    <font>
      <sz val="11.0"/>
      <color rgb="FF0C0C0C"/>
      <name val="Calibri"/>
    </font>
    <font>
      <b/>
      <sz val="10.0"/>
      <color theme="0"/>
      <name val="Bahnschrift SemiLight SemiConde"/>
    </font>
    <font>
      <b/>
      <sz val="10.0"/>
      <color rgb="FF002060"/>
      <name val="Bahnschrift SemiLight SemiConde"/>
    </font>
    <font>
      <b/>
      <sz val="10.0"/>
      <color theme="1"/>
      <name val="Bahnschrift SemiLight SemiConde"/>
    </font>
    <font>
      <sz val="9.0"/>
      <color rgb="FF000000"/>
      <name val="Calibri"/>
    </font>
    <font>
      <sz val="9.0"/>
      <color rgb="FF000000"/>
      <name val="SansSerif"/>
    </font>
    <font>
      <sz val="8.0"/>
      <color rgb="FF000000"/>
      <name val="Times New Roman"/>
    </font>
    <font>
      <sz val="8.0"/>
      <color theme="1"/>
      <name val="Times New Roman"/>
    </font>
    <font>
      <sz val="11.0"/>
      <color theme="1"/>
      <name val="Calibri"/>
    </font>
    <font>
      <sz val="9.0"/>
      <color rgb="FF000000"/>
      <name val="Arial"/>
    </font>
    <font>
      <color theme="1"/>
      <name val="Calibri"/>
      <scheme val="minor"/>
    </font>
    <font>
      <b/>
      <sz val="14.0"/>
      <color rgb="FFFFFFFF"/>
      <name val="Bahnschrift SemiLight SemiConde"/>
    </font>
    <font>
      <sz val="8.0"/>
      <color rgb="FF000000"/>
      <name val="Arial Narrow"/>
    </font>
    <font>
      <b/>
      <sz val="8.0"/>
      <color rgb="FFFFFFFF"/>
      <name val="Bahnschrift SemiLight SemiConde"/>
    </font>
    <font>
      <b/>
      <sz val="8.0"/>
      <color rgb="FF002864"/>
      <name val="Arial"/>
    </font>
    <font>
      <b/>
      <sz val="8.0"/>
      <color rgb="FFFFFFFF"/>
      <name val="Arial"/>
    </font>
    <font>
      <b/>
      <sz val="18.0"/>
      <color rgb="FFFFFF00"/>
      <name val="Bahnschrift SemiLight SemiConde"/>
    </font>
    <font>
      <sz val="10.0"/>
      <color rgb="FF000000"/>
      <name val="Arial Narrow"/>
    </font>
    <font>
      <sz val="10.0"/>
      <color rgb="FFFFFFFF"/>
      <name val="Arial Narrow"/>
    </font>
    <font>
      <b/>
      <sz val="12.0"/>
      <color rgb="FF002060"/>
      <name val="Calibri"/>
    </font>
    <font>
      <b/>
      <sz val="9.0"/>
      <color rgb="FFFFFFFF"/>
      <name val="Arial"/>
    </font>
    <font>
      <sz val="8.0"/>
      <color rgb="FFFFFFFF"/>
      <name val="Arial"/>
    </font>
    <font>
      <sz val="11.0"/>
      <color rgb="FFFFFF00"/>
      <name val="Calibri"/>
    </font>
    <font>
      <b/>
      <sz val="12.0"/>
      <color rgb="FFFFFFFF"/>
      <name val="Calibri"/>
    </font>
    <font>
      <b/>
      <sz val="12.0"/>
      <color rgb="FFFFFF00"/>
      <name val="Calibri"/>
    </font>
    <font>
      <sz val="10.0"/>
      <color rgb="FF002060"/>
      <name val="Bahnschrift SemiLight SemiConde"/>
    </font>
    <font>
      <sz val="10.0"/>
      <color rgb="FF000000"/>
      <name val="SansSerif"/>
    </font>
    <font>
      <sz val="10.0"/>
      <color rgb="FF000000"/>
      <name val="Times New Roman"/>
    </font>
    <font>
      <sz val="8.0"/>
      <color rgb="FF000000"/>
      <name val="Calibri"/>
    </font>
    <font>
      <b/>
      <sz val="8.0"/>
      <color rgb="FF000000"/>
      <name val="Calibri"/>
    </font>
    <font>
      <sz val="8.0"/>
      <color rgb="FF000000"/>
      <name val="Arial"/>
    </font>
    <font>
      <b/>
      <sz val="8.0"/>
      <color rgb="FF002060"/>
      <name val="Calibri"/>
    </font>
    <font>
      <b/>
      <sz val="8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b/>
      <sz val="10.0"/>
      <color rgb="FF000000"/>
      <name val="Calibri"/>
    </font>
    <font>
      <b/>
      <sz val="9.0"/>
      <color rgb="FFFFFFFF"/>
      <name val="Calibri"/>
    </font>
    <font>
      <b/>
      <sz val="9.0"/>
      <color rgb="FFFFFFFF"/>
      <name val="Times New Roman"/>
    </font>
    <font>
      <b/>
      <sz val="9.0"/>
      <color rgb="FF000000"/>
      <name val="Calibri"/>
    </font>
    <font>
      <sz val="8.0"/>
      <color rgb="FF000000"/>
      <name val="SansSerif"/>
    </font>
    <font>
      <sz val="8.0"/>
      <color rgb="FF000000"/>
      <name val="&quot;Times New Roman&quot;"/>
    </font>
    <font>
      <sz val="8.0"/>
      <color rgb="FF9C0006"/>
      <name val="&quot;Times New Roman&quot;"/>
    </font>
    <font>
      <sz val="8.0"/>
      <color rgb="FF9C0006"/>
      <name val="Times New Roman"/>
    </font>
    <font>
      <b/>
      <i/>
      <sz val="11.0"/>
      <color rgb="FF000000"/>
      <name val="Calibri"/>
    </font>
    <font>
      <sz val="10.0"/>
      <color rgb="FF002060"/>
      <name val="Arial"/>
    </font>
    <font>
      <b/>
      <sz val="10.0"/>
      <color rgb="FF002060"/>
      <name val="Arial"/>
    </font>
    <font>
      <sz val="12.0"/>
      <color rgb="FF000000"/>
      <name val="Calibri"/>
    </font>
    <font>
      <b/>
      <sz val="20.0"/>
      <color rgb="FFFFFFFF"/>
      <name val="Bahnschrift SemiLight SemiConde"/>
    </font>
    <font>
      <b/>
      <sz val="20.0"/>
      <color rgb="FFFFFFFF"/>
      <name val="Arial"/>
    </font>
    <font>
      <b/>
      <sz val="20.0"/>
      <color rgb="FFFFFFFF"/>
      <name val="Arial Narrow"/>
    </font>
    <font>
      <b/>
      <sz val="10.0"/>
      <color rgb="FFFFFFFF"/>
      <name val="Arial"/>
    </font>
  </fonts>
  <fills count="55">
    <fill>
      <patternFill patternType="none"/>
    </fill>
    <fill>
      <patternFill patternType="lightGray"/>
    </fill>
    <fill>
      <patternFill patternType="solid">
        <fgColor rgb="FF3333CC"/>
        <bgColor rgb="FF3333CC"/>
      </patternFill>
    </fill>
    <fill>
      <patternFill patternType="solid">
        <fgColor rgb="FFD0CECE"/>
        <bgColor rgb="FFD0CECE"/>
      </patternFill>
    </fill>
    <fill>
      <patternFill patternType="solid">
        <fgColor rgb="FF002346"/>
        <bgColor rgb="FF002346"/>
      </patternFill>
    </fill>
    <fill>
      <patternFill patternType="solid">
        <fgColor rgb="FFDEEAF6"/>
        <bgColor rgb="FFDEEAF6"/>
      </patternFill>
    </fill>
    <fill>
      <patternFill patternType="solid">
        <fgColor rgb="FF003366"/>
        <bgColor rgb="FF003366"/>
      </patternFill>
    </fill>
    <fill>
      <patternFill patternType="solid">
        <fgColor rgb="FF222A35"/>
        <bgColor rgb="FF222A35"/>
      </patternFill>
    </fill>
    <fill>
      <patternFill patternType="solid">
        <fgColor rgb="FF4473C4"/>
        <bgColor rgb="FF4473C4"/>
      </patternFill>
    </fill>
    <fill>
      <patternFill patternType="solid">
        <fgColor rgb="FF002C58"/>
        <bgColor rgb="FF002C58"/>
      </patternFill>
    </fill>
    <fill>
      <patternFill patternType="solid">
        <fgColor rgb="FF006666"/>
        <bgColor rgb="FF006666"/>
      </patternFill>
    </fill>
    <fill>
      <patternFill patternType="solid">
        <fgColor rgb="FF004846"/>
        <bgColor rgb="FF004846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BF9000"/>
        <bgColor rgb="FFBF9000"/>
      </patternFill>
    </fill>
    <fill>
      <patternFill patternType="solid">
        <fgColor rgb="FF0070C0"/>
        <bgColor rgb="FF0070C0"/>
      </patternFill>
    </fill>
    <fill>
      <patternFill patternType="solid">
        <fgColor rgb="FF833C0B"/>
        <bgColor rgb="FF833C0B"/>
      </patternFill>
    </fill>
    <fill>
      <patternFill patternType="solid">
        <fgColor rgb="FF7F6000"/>
        <bgColor rgb="FF7F6000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262626"/>
        <bgColor rgb="FF262626"/>
      </patternFill>
    </fill>
    <fill>
      <patternFill patternType="solid">
        <fgColor rgb="FF002938"/>
        <bgColor rgb="FF002938"/>
      </patternFill>
    </fill>
    <fill>
      <patternFill patternType="solid">
        <fgColor rgb="FF9CC2E5"/>
        <bgColor rgb="FF9CC2E5"/>
      </patternFill>
    </fill>
    <fill>
      <patternFill patternType="solid">
        <fgColor rgb="FF1F3864"/>
        <bgColor rgb="FF1F3864"/>
      </patternFill>
    </fill>
    <fill>
      <patternFill patternType="solid">
        <fgColor rgb="FF183D5E"/>
        <bgColor rgb="FF183D5E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003060"/>
        <bgColor rgb="FF003060"/>
      </patternFill>
    </fill>
    <fill>
      <patternFill patternType="solid">
        <fgColor rgb="FF00458A"/>
        <bgColor rgb="FF00458A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ADADA"/>
        <bgColor rgb="FFDADADA"/>
      </patternFill>
    </fill>
    <fill>
      <patternFill patternType="solid">
        <fgColor rgb="FF2E75B5"/>
        <bgColor rgb="FF2E75B5"/>
      </patternFill>
    </fill>
    <fill>
      <patternFill patternType="solid">
        <fgColor rgb="FFFFC7CE"/>
        <bgColor rgb="FFFFC7CE"/>
      </patternFill>
    </fill>
    <fill>
      <patternFill patternType="solid">
        <fgColor rgb="FFCC66FF"/>
        <bgColor rgb="FFCC66FF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C8C8C8"/>
        <bgColor rgb="FFC8C8C8"/>
      </patternFill>
    </fill>
  </fills>
  <borders count="133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top/>
    </border>
    <border>
      <top/>
    </border>
    <border>
      <right style="thin">
        <color rgb="FFFFFFFF"/>
      </right>
      <top/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double">
        <color rgb="FF002060"/>
      </right>
      <top style="thin">
        <color rgb="FFFFFFFF"/>
      </top>
    </border>
    <border>
      <left/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double">
        <color rgb="FF002060"/>
      </right>
    </border>
    <border>
      <left/>
      <bottom style="thin">
        <color rgb="FF2F5496"/>
      </bottom>
    </border>
    <border>
      <bottom style="thin">
        <color rgb="FF2F5496"/>
      </bottom>
    </border>
    <border>
      <right style="thin">
        <color rgb="FFFFFFFF"/>
      </right>
      <bottom style="thin">
        <color rgb="FF2F5496"/>
      </bottom>
    </border>
    <border>
      <left style="thin">
        <color rgb="FFFFFFFF"/>
      </left>
      <bottom/>
    </border>
    <border>
      <bottom/>
    </border>
    <border>
      <right style="thin">
        <color rgb="FFFFFFFF"/>
      </right>
      <bottom/>
    </border>
    <border>
      <left style="thin">
        <color rgb="FF2F5496"/>
      </left>
      <right style="thin">
        <color rgb="FF2F5496"/>
      </right>
      <top style="thin">
        <color rgb="FF2F5496"/>
      </top>
      <bottom/>
    </border>
    <border>
      <left style="thin">
        <color rgb="FF2F5496"/>
      </left>
      <right/>
      <top style="thin">
        <color rgb="FF2F549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double">
        <color rgb="FF002060"/>
      </right>
      <bottom style="thin">
        <color rgb="FFFFFFFF"/>
      </bottom>
    </border>
    <border>
      <left style="thin">
        <color rgb="FF8496B0"/>
      </left>
      <right/>
      <top style="thin">
        <color rgb="FF8496B0"/>
      </top>
      <bottom style="thin">
        <color rgb="FF8496B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2F5496"/>
      </right>
      <top/>
      <bottom style="thin">
        <color rgb="FF2F5496"/>
      </bottom>
    </border>
    <border>
      <left style="thin">
        <color rgb="FF2F5496"/>
      </left>
      <right style="thin">
        <color rgb="FF2F5496"/>
      </right>
      <top/>
      <bottom style="thin">
        <color rgb="FF2F5496"/>
      </bottom>
    </border>
    <border>
      <left style="thin">
        <color rgb="FF2F5496"/>
      </left>
      <right/>
      <top/>
      <bottom style="thin">
        <color rgb="FF2F5496"/>
      </bottom>
    </border>
    <border>
      <left style="thin">
        <color rgb="FF2F5496"/>
      </left>
      <right style="double">
        <color rgb="FF002060"/>
      </right>
      <top style="thin">
        <color rgb="FFFFFFFF"/>
      </top>
      <bottom style="thin">
        <color rgb="FF2F549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/>
      <bottom/>
    </border>
    <border>
      <left style="thin">
        <color rgb="FFFFFFFF"/>
      </left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 style="thin">
        <color rgb="FFFFFFFF"/>
      </left>
      <top style="thin">
        <color rgb="FFFFFFFF"/>
      </top>
      <bottom/>
    </border>
    <border>
      <right style="thin">
        <color rgb="FFFFFFFF"/>
      </right>
      <top style="thin">
        <color rgb="FFFFFFFF"/>
      </top>
      <bottom/>
    </border>
    <border>
      <left style="thin">
        <color rgb="FFFFFFFF"/>
      </left>
      <bottom style="thin">
        <color rgb="FF0070C0"/>
      </bottom>
    </border>
    <border>
      <right style="thin">
        <color rgb="FFFFFFFF"/>
      </right>
      <bottom style="thin">
        <color rgb="FF0070C0"/>
      </bottom>
    </border>
    <border>
      <left style="thin">
        <color rgb="FF002060"/>
      </left>
      <top/>
      <bottom style="thin">
        <color rgb="FF2F5496"/>
      </bottom>
    </border>
    <border>
      <top/>
      <bottom style="thin">
        <color rgb="FF2F5496"/>
      </bottom>
    </border>
    <border>
      <right style="thin">
        <color rgb="FFFFFFFF"/>
      </right>
      <top/>
      <bottom style="thin">
        <color rgb="FF2F5496"/>
      </bottom>
    </border>
    <border>
      <left style="thin">
        <color rgb="FFFFFFFF"/>
      </left>
      <right/>
      <top style="thin">
        <color rgb="FFFFFFFF"/>
      </top>
    </border>
    <border>
      <left/>
      <right/>
      <top/>
      <bottom style="thin">
        <color rgb="FF2F5496"/>
      </bottom>
    </border>
    <border>
      <left/>
      <top/>
      <bottom style="double">
        <color rgb="FFFFFFFF"/>
      </bottom>
    </border>
    <border>
      <top/>
      <bottom style="double">
        <color rgb="FFFFFFFF"/>
      </bottom>
    </border>
    <border>
      <right style="double">
        <color rgb="FF0070C0"/>
      </right>
      <top/>
      <bottom style="double">
        <color rgb="FFFFFFFF"/>
      </bottom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2060"/>
      </left>
      <right style="thin">
        <color rgb="FF2F5496"/>
      </right>
      <top style="thin">
        <color rgb="FF2F5496"/>
      </top>
      <bottom style="thin">
        <color rgb="FF2F5496"/>
      </bottom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</border>
    <border>
      <left style="thin">
        <color rgb="FF2F5496"/>
      </left>
      <right/>
      <top style="thin">
        <color rgb="FF2F5496"/>
      </top>
      <bottom style="thin">
        <color rgb="FF2F549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bottom style="thin">
        <color rgb="FFFFFFFF"/>
      </bottom>
    </border>
    <border>
      <left/>
      <right/>
      <top style="double">
        <color rgb="FFFFFFFF"/>
      </top>
      <bottom/>
    </border>
    <border>
      <left style="thin">
        <color rgb="FF2F5496"/>
      </left>
      <right style="thin">
        <color rgb="FF2F5496"/>
      </right>
      <top style="thin">
        <color rgb="FF0070C0"/>
      </top>
      <bottom style="thin">
        <color rgb="FF2F5496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top/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right style="double">
        <color rgb="FF002060"/>
      </right>
      <top/>
    </border>
    <border>
      <left style="thin">
        <color rgb="FF2F5496"/>
      </left>
      <right style="thin">
        <color rgb="FF2F5496"/>
      </right>
      <bottom style="thin">
        <color rgb="FF2F5496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70C0"/>
      </left>
      <right/>
      <top style="thin">
        <color rgb="FF0070C0"/>
      </top>
      <bottom style="thin">
        <color rgb="FF0070C0"/>
      </bottom>
    </border>
    <border>
      <right/>
      <top style="thin">
        <color rgb="FFFFFFFF"/>
      </top>
    </border>
    <border>
      <left/>
      <right/>
      <top style="thin">
        <color rgb="FFFFFFFF"/>
      </top>
      <bottom/>
    </border>
    <border>
      <right/>
      <top/>
    </border>
    <border>
      <left/>
      <right/>
      <top/>
    </border>
    <border>
      <right/>
    </border>
    <border>
      <left/>
      <right/>
    </border>
    <border>
      <bottom style="thin">
        <color rgb="FF0070C0"/>
      </bottom>
    </border>
    <border>
      <right/>
      <bottom style="thin">
        <color rgb="FF0070C0"/>
      </bottom>
    </border>
    <border>
      <left/>
      <bottom/>
    </border>
    <border>
      <right/>
      <bottom/>
    </border>
    <border>
      <left/>
      <bottom style="thin">
        <color rgb="FF0070C0"/>
      </bottom>
    </border>
    <border>
      <left style="thin">
        <color rgb="FF2F5496"/>
      </left>
      <top style="thin">
        <color rgb="FF2F5496"/>
      </top>
    </border>
    <border>
      <left/>
      <right/>
      <bottom/>
    </border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bottom style="thin">
        <color theme="0"/>
      </bottom>
    </border>
    <border>
      <left style="thin">
        <color rgb="FFFFFFFF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/>
      <right style="thin">
        <color rgb="FF000000"/>
      </right>
      <top/>
    </border>
    <border>
      <right style="thin">
        <color theme="0"/>
      </right>
    </border>
    <border>
      <left/>
      <right style="thin">
        <color rgb="FF000000"/>
      </right>
    </border>
    <border>
      <right style="thin">
        <color theme="0"/>
      </right>
      <bottom/>
    </border>
    <border>
      <left style="thin">
        <color rgb="FF2F5496"/>
      </left>
      <right style="thin">
        <color rgb="FF2F5496"/>
      </right>
      <top style="thin">
        <color rgb="FF2F5496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70C0"/>
      </bottom>
    </border>
    <border>
      <top style="medium">
        <color rgb="FF000000"/>
      </top>
      <bottom style="thin">
        <color rgb="FF0070C0"/>
      </bottom>
    </border>
    <border>
      <right style="medium">
        <color rgb="FF000000"/>
      </right>
      <top style="medium">
        <color rgb="FF000000"/>
      </top>
      <bottom style="thin">
        <color rgb="FF0070C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2F5496"/>
      </right>
      <top/>
      <bottom style="thin">
        <color rgb="FF2F5496"/>
      </bottom>
    </border>
    <border>
      <left style="thin">
        <color rgb="FF2F5496"/>
      </left>
      <right style="medium">
        <color rgb="FF000000"/>
      </right>
      <top/>
      <bottom style="thin">
        <color rgb="FF2F5496"/>
      </bottom>
    </border>
    <border>
      <left style="thin">
        <color rgb="FF2F5496"/>
      </left>
      <right style="thin">
        <color rgb="FF2F5496"/>
      </right>
      <top style="medium">
        <color rgb="FF000000"/>
      </top>
      <bottom style="thin">
        <color rgb="FF2F5496"/>
      </bottom>
    </border>
    <border>
      <left style="thin">
        <color rgb="FF2F5496"/>
      </left>
      <right/>
      <top style="medium">
        <color rgb="FF000000"/>
      </top>
      <bottom style="thin">
        <color rgb="FF2F5496"/>
      </bottom>
    </border>
    <border>
      <left/>
      <right style="thin">
        <color rgb="FF2F5496"/>
      </right>
      <top style="medium">
        <color rgb="FF000000"/>
      </top>
      <bottom style="thin">
        <color rgb="FF2F5496"/>
      </bottom>
    </border>
    <border>
      <left/>
      <right/>
      <top style="medium">
        <color rgb="FF000000"/>
      </top>
      <bottom style="thin">
        <color rgb="FF2F5496"/>
      </bottom>
    </border>
    <border>
      <left style="medium">
        <color rgb="FF000000"/>
      </left>
      <right style="thin">
        <color rgb="FF2F5496"/>
      </right>
      <top style="medium">
        <color rgb="FF000000"/>
      </top>
      <bottom style="thin">
        <color rgb="FF2F5496"/>
      </bottom>
    </border>
    <border>
      <left style="thin">
        <color rgb="FFFFFFFF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left" vertical="center"/>
    </xf>
    <xf borderId="3" fillId="0" fontId="3" numFmtId="0" xfId="0" applyAlignment="1" applyBorder="1" applyFont="1">
      <alignment vertical="center"/>
    </xf>
    <xf borderId="2" fillId="4" fontId="4" numFmtId="0" xfId="0" applyAlignment="1" applyBorder="1" applyFill="1" applyFont="1">
      <alignment horizontal="left" vertical="center"/>
    </xf>
    <xf borderId="4" fillId="0" fontId="3" numFmtId="0" xfId="0" applyAlignment="1" applyBorder="1" applyFont="1">
      <alignment vertical="center"/>
    </xf>
    <xf borderId="2" fillId="5" fontId="5" numFmtId="0" xfId="0" applyAlignment="1" applyBorder="1" applyFill="1" applyFont="1">
      <alignment horizontal="left" readingOrder="0" vertical="center"/>
    </xf>
    <xf borderId="2" fillId="5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left" readingOrder="0" vertical="center"/>
    </xf>
    <xf borderId="2" fillId="3" fontId="2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left" vertical="center"/>
    </xf>
    <xf borderId="2" fillId="6" fontId="7" numFmtId="0" xfId="0" applyAlignment="1" applyBorder="1" applyFill="1" applyFont="1">
      <alignment horizontal="center" readingOrder="0" vertical="center"/>
    </xf>
    <xf borderId="2" fillId="6" fontId="8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readingOrder="0" vertical="center"/>
    </xf>
    <xf borderId="2" fillId="4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8" fontId="12" numFmtId="164" xfId="0" applyAlignment="1" applyBorder="1" applyFill="1" applyFont="1" applyNumberForma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9" fontId="13" numFmtId="0" xfId="0" applyAlignment="1" applyBorder="1" applyFill="1" applyFont="1">
      <alignment horizontal="center" shrinkToFit="0" textRotation="90" vertical="center" wrapText="1"/>
    </xf>
    <xf borderId="11" fillId="10" fontId="14" numFmtId="0" xfId="0" applyAlignment="1" applyBorder="1" applyFill="1" applyFont="1">
      <alignment horizontal="center" shrinkToFit="0" textRotation="90" vertical="center" wrapText="1"/>
    </xf>
    <xf borderId="11" fillId="10" fontId="15" numFmtId="9" xfId="0" applyAlignment="1" applyBorder="1" applyFont="1" applyNumberFormat="1">
      <alignment horizontal="center" shrinkToFit="0" vertical="center" wrapText="1"/>
    </xf>
    <xf borderId="12" fillId="11" fontId="16" numFmtId="9" xfId="0" applyAlignment="1" applyBorder="1" applyFill="1" applyFont="1" applyNumberForma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12" fontId="17" numFmtId="0" xfId="0" applyAlignment="1" applyBorder="1" applyFill="1" applyFont="1">
      <alignment horizontal="center" vertical="center"/>
    </xf>
    <xf borderId="25" fillId="12" fontId="17" numFmtId="0" xfId="0" applyAlignment="1" applyBorder="1" applyFont="1">
      <alignment horizontal="center" vertical="center"/>
    </xf>
    <xf borderId="26" fillId="13" fontId="18" numFmtId="0" xfId="0" applyAlignment="1" applyBorder="1" applyFill="1" applyFont="1">
      <alignment horizontal="center" shrinkToFit="0" textRotation="90" vertical="center" wrapText="1"/>
    </xf>
    <xf borderId="26" fillId="14" fontId="19" numFmtId="0" xfId="0" applyAlignment="1" applyBorder="1" applyFill="1" applyFont="1">
      <alignment horizontal="center" shrinkToFit="0" textRotation="90" vertical="center" wrapText="1"/>
    </xf>
    <xf borderId="26" fillId="15" fontId="19" numFmtId="0" xfId="0" applyAlignment="1" applyBorder="1" applyFill="1" applyFont="1">
      <alignment horizontal="center" shrinkToFit="0" textRotation="90" vertical="center" wrapText="1"/>
    </xf>
    <xf borderId="26" fillId="16" fontId="19" numFmtId="0" xfId="0" applyAlignment="1" applyBorder="1" applyFill="1" applyFont="1">
      <alignment horizontal="center" shrinkToFit="0" textRotation="90" vertical="center" wrapText="1"/>
    </xf>
    <xf borderId="26" fillId="17" fontId="18" numFmtId="0" xfId="0" applyAlignment="1" applyBorder="1" applyFill="1" applyFont="1">
      <alignment horizontal="center" shrinkToFit="0" textRotation="90" vertical="center" wrapText="1"/>
    </xf>
    <xf borderId="26" fillId="18" fontId="19" numFmtId="0" xfId="0" applyAlignment="1" applyBorder="1" applyFill="1" applyFont="1">
      <alignment horizontal="center" shrinkToFit="0" textRotation="90" vertical="center" wrapText="1"/>
    </xf>
    <xf borderId="26" fillId="19" fontId="19" numFmtId="0" xfId="0" applyAlignment="1" applyBorder="1" applyFill="1" applyFont="1">
      <alignment horizontal="center" shrinkToFit="0" textRotation="90" vertical="center" wrapText="1"/>
    </xf>
    <xf borderId="26" fillId="20" fontId="19" numFmtId="0" xfId="0" applyAlignment="1" applyBorder="1" applyFill="1" applyFont="1">
      <alignment horizontal="center" shrinkToFit="0" textRotation="90" vertical="center" wrapText="1"/>
    </xf>
    <xf borderId="26" fillId="21" fontId="19" numFmtId="0" xfId="0" applyAlignment="1" applyBorder="1" applyFill="1" applyFont="1">
      <alignment horizontal="center" shrinkToFit="0" textRotation="90" vertical="center" wrapText="1"/>
    </xf>
    <xf borderId="26" fillId="22" fontId="19" numFmtId="0" xfId="0" applyAlignment="1" applyBorder="1" applyFill="1" applyFont="1">
      <alignment horizontal="center" shrinkToFit="0" textRotation="90" vertical="center" wrapText="1"/>
    </xf>
    <xf borderId="27" fillId="23" fontId="18" numFmtId="0" xfId="0" applyAlignment="1" applyBorder="1" applyFill="1" applyFont="1">
      <alignment horizontal="center" shrinkToFit="0" textRotation="90" vertical="center" wrapText="1"/>
    </xf>
    <xf borderId="27" fillId="24" fontId="18" numFmtId="0" xfId="0" applyAlignment="1" applyBorder="1" applyFill="1" applyFont="1">
      <alignment horizontal="center" shrinkToFit="0" textRotation="90" vertical="center" wrapText="1"/>
    </xf>
    <xf borderId="27" fillId="25" fontId="18" numFmtId="0" xfId="0" applyAlignment="1" applyBorder="1" applyFill="1" applyFont="1">
      <alignment horizontal="center" shrinkToFit="0" textRotation="90" vertical="center" wrapText="1"/>
    </xf>
    <xf borderId="27" fillId="26" fontId="20" numFmtId="0" xfId="0" applyAlignment="1" applyBorder="1" applyFill="1" applyFont="1">
      <alignment horizontal="center" shrinkToFit="0" textRotation="90" vertical="center" wrapText="1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12" fontId="21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left" shrinkToFit="0" vertical="center" wrapText="1"/>
    </xf>
    <xf borderId="31" fillId="0" fontId="22" numFmtId="0" xfId="0" applyAlignment="1" applyBorder="1" applyFont="1">
      <alignment horizontal="left" readingOrder="0" shrinkToFit="0" vertical="center" wrapText="1"/>
    </xf>
    <xf borderId="27" fillId="27" fontId="23" numFmtId="2" xfId="0" applyAlignment="1" applyBorder="1" applyFill="1" applyFont="1" applyNumberFormat="1">
      <alignment readingOrder="0" vertical="bottom"/>
    </xf>
    <xf borderId="27" fillId="27" fontId="23" numFmtId="2" xfId="0" applyAlignment="1" applyBorder="1" applyFont="1" applyNumberFormat="1">
      <alignment vertical="bottom"/>
    </xf>
    <xf borderId="32" fillId="28" fontId="23" numFmtId="2" xfId="0" applyAlignment="1" applyBorder="1" applyFill="1" applyFont="1" applyNumberFormat="1">
      <alignment vertical="bottom"/>
    </xf>
    <xf borderId="33" fillId="29" fontId="23" numFmtId="2" xfId="0" applyAlignment="1" applyBorder="1" applyFill="1" applyFont="1" applyNumberFormat="1">
      <alignment vertical="bottom"/>
    </xf>
    <xf borderId="34" fillId="29" fontId="23" numFmtId="2" xfId="0" applyAlignment="1" applyBorder="1" applyFont="1" applyNumberFormat="1">
      <alignment vertical="bottom"/>
    </xf>
    <xf borderId="35" fillId="30" fontId="23" numFmtId="2" xfId="0" applyAlignment="1" applyBorder="1" applyFill="1" applyFont="1" applyNumberFormat="1">
      <alignment vertical="bottom"/>
    </xf>
    <xf borderId="31" fillId="0" fontId="22" numFmtId="0" xfId="0" applyAlignment="1" applyBorder="1" applyFont="1">
      <alignment horizontal="left" shrinkToFit="0" vertical="center" wrapText="1"/>
    </xf>
    <xf borderId="27" fillId="31" fontId="23" numFmtId="2" xfId="0" applyAlignment="1" applyBorder="1" applyFill="1" applyFont="1" applyNumberFormat="1">
      <alignment readingOrder="0" vertical="bottom"/>
    </xf>
    <xf borderId="27" fillId="31" fontId="23" numFmtId="2" xfId="0" applyAlignment="1" applyBorder="1" applyFont="1" applyNumberFormat="1">
      <alignment vertical="bottom"/>
    </xf>
    <xf borderId="27" fillId="27" fontId="24" numFmtId="2" xfId="0" applyAlignment="1" applyBorder="1" applyFont="1" applyNumberFormat="1">
      <alignment horizontal="right" vertical="bottom"/>
    </xf>
    <xf borderId="27" fillId="27" fontId="25" numFmtId="2" xfId="0" applyAlignment="1" applyBorder="1" applyFont="1" applyNumberFormat="1">
      <alignment vertical="bottom"/>
    </xf>
    <xf borderId="31" fillId="0" fontId="26" numFmtId="0" xfId="0" applyAlignment="1" applyBorder="1" applyFont="1">
      <alignment horizontal="left" readingOrder="0" shrinkToFit="0" vertical="center" wrapText="1"/>
    </xf>
    <xf borderId="1" fillId="32" fontId="1" numFmtId="0" xfId="0" applyAlignment="1" applyBorder="1" applyFill="1" applyFont="1">
      <alignment vertical="center"/>
    </xf>
    <xf borderId="1" fillId="32" fontId="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2" fillId="33" fontId="2" numFmtId="0" xfId="0" applyAlignment="1" applyBorder="1" applyFill="1" applyFont="1">
      <alignment horizontal="left" vertical="center"/>
    </xf>
    <xf borderId="1" fillId="5" fontId="5" numFmtId="0" xfId="0" applyAlignment="1" applyBorder="1" applyFont="1">
      <alignment vertical="center"/>
    </xf>
    <xf borderId="2" fillId="33" fontId="2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36" fillId="34" fontId="28" numFmtId="0" xfId="0" applyAlignment="1" applyBorder="1" applyFill="1" applyFont="1">
      <alignment horizontal="center" vertical="center"/>
    </xf>
    <xf borderId="37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8" fillId="15" fontId="29" numFmtId="164" xfId="0" applyAlignment="1" applyBorder="1" applyFont="1" applyNumberFormat="1">
      <alignment horizontal="center" shrinkToFit="0" vertical="center" wrapText="1"/>
    </xf>
    <xf borderId="11" fillId="10" fontId="30" numFmtId="0" xfId="0" applyAlignment="1" applyBorder="1" applyFont="1">
      <alignment horizontal="center" shrinkToFit="0" textRotation="90" vertical="center" wrapText="1"/>
    </xf>
    <xf borderId="36" fillId="29" fontId="31" numFmtId="0" xfId="0" applyAlignment="1" applyBorder="1" applyFont="1">
      <alignment horizontal="center" shrinkToFit="0" vertical="center" wrapText="1"/>
    </xf>
    <xf borderId="36" fillId="35" fontId="32" numFmtId="0" xfId="0" applyAlignment="1" applyBorder="1" applyFill="1" applyFont="1">
      <alignment horizontal="center" shrinkToFit="0" vertical="center" wrapText="1"/>
    </xf>
    <xf borderId="2" fillId="6" fontId="33" numFmtId="0" xfId="0" applyAlignment="1" applyBorder="1" applyFont="1">
      <alignment horizontal="center" vertical="center"/>
    </xf>
    <xf borderId="39" fillId="0" fontId="3" numFmtId="0" xfId="0" applyAlignment="1" applyBorder="1" applyFont="1">
      <alignment vertical="center"/>
    </xf>
    <xf borderId="40" fillId="4" fontId="4" numFmtId="0" xfId="0" applyAlignment="1" applyBorder="1" applyFont="1">
      <alignment horizontal="center" vertical="center"/>
    </xf>
    <xf borderId="41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43" fillId="15" fontId="34" numFmtId="164" xfId="0" applyAlignment="1" applyBorder="1" applyFont="1" applyNumberFormat="1">
      <alignment horizontal="center" shrinkToFit="0" vertical="center" wrapText="1"/>
    </xf>
    <xf borderId="44" fillId="0" fontId="3" numFmtId="0" xfId="0" applyAlignment="1" applyBorder="1" applyFont="1">
      <alignment vertical="center"/>
    </xf>
    <xf borderId="43" fillId="9" fontId="35" numFmtId="164" xfId="0" applyAlignment="1" applyBorder="1" applyFont="1" applyNumberFormat="1">
      <alignment horizontal="center" shrinkToFit="0" vertical="center" wrapText="1"/>
    </xf>
    <xf borderId="45" fillId="0" fontId="3" numFmtId="0" xfId="0" applyAlignment="1" applyBorder="1" applyFont="1">
      <alignment vertical="center"/>
    </xf>
    <xf borderId="46" fillId="0" fontId="3" numFmtId="0" xfId="0" applyAlignment="1" applyBorder="1" applyFont="1">
      <alignment vertical="center"/>
    </xf>
    <xf borderId="47" fillId="36" fontId="36" numFmtId="0" xfId="0" applyAlignment="1" applyBorder="1" applyFill="1" applyFont="1">
      <alignment horizontal="center" vertical="center"/>
    </xf>
    <xf borderId="4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36" fillId="4" fontId="37" numFmtId="0" xfId="0" applyAlignment="1" applyBorder="1" applyFont="1">
      <alignment horizontal="center" vertical="center"/>
    </xf>
    <xf borderId="11" fillId="4" fontId="38" numFmtId="0" xfId="0" applyAlignment="1" applyBorder="1" applyFont="1">
      <alignment horizontal="center" shrinkToFit="0" vertical="center" wrapText="1"/>
    </xf>
    <xf borderId="50" fillId="4" fontId="39" numFmtId="0" xfId="0" applyAlignment="1" applyBorder="1" applyFont="1">
      <alignment horizontal="center" vertical="center"/>
    </xf>
    <xf borderId="51" fillId="37" fontId="40" numFmtId="0" xfId="0" applyAlignment="1" applyBorder="1" applyFill="1" applyFont="1">
      <alignment horizontal="center" vertical="center"/>
    </xf>
    <xf borderId="51" fillId="38" fontId="40" numFmtId="0" xfId="0" applyAlignment="1" applyBorder="1" applyFill="1" applyFont="1">
      <alignment horizontal="center" vertical="center"/>
    </xf>
    <xf borderId="52" fillId="4" fontId="41" numFmtId="0" xfId="0" applyAlignment="1" applyBorder="1" applyFont="1">
      <alignment horizontal="center" vertical="center"/>
    </xf>
    <xf borderId="53" fillId="0" fontId="3" numFmtId="0" xfId="0" applyAlignment="1" applyBorder="1" applyFont="1">
      <alignment vertical="center"/>
    </xf>
    <xf borderId="54" fillId="0" fontId="3" numFmtId="0" xfId="0" applyAlignment="1" applyBorder="1" applyFont="1">
      <alignment vertical="center"/>
    </xf>
    <xf borderId="55" fillId="27" fontId="42" numFmtId="0" xfId="0" applyAlignment="1" applyBorder="1" applyFont="1">
      <alignment horizontal="center" shrinkToFit="0" textRotation="90" vertical="center" wrapText="1"/>
    </xf>
    <xf borderId="55" fillId="29" fontId="42" numFmtId="0" xfId="0" applyAlignment="1" applyBorder="1" applyFont="1">
      <alignment horizontal="center" shrinkToFit="0" textRotation="90" vertical="center" wrapText="1"/>
    </xf>
    <xf borderId="55" fillId="28" fontId="42" numFmtId="0" xfId="0" applyAlignment="1" applyBorder="1" applyFont="1">
      <alignment horizontal="center" shrinkToFit="0" textRotation="90" vertical="center" wrapText="1"/>
    </xf>
    <xf borderId="56" fillId="39" fontId="17" numFmtId="0" xfId="0" applyAlignment="1" applyBorder="1" applyFill="1" applyFont="1">
      <alignment horizontal="center" vertical="center"/>
    </xf>
    <xf borderId="57" fillId="39" fontId="17" numFmtId="0" xfId="0" applyAlignment="1" applyBorder="1" applyFont="1">
      <alignment horizontal="center" vertical="center"/>
    </xf>
    <xf borderId="58" fillId="39" fontId="17" numFmtId="0" xfId="0" applyAlignment="1" applyBorder="1" applyFont="1">
      <alignment horizontal="center" vertical="center"/>
    </xf>
    <xf borderId="59" fillId="4" fontId="32" numFmtId="0" xfId="0" applyAlignment="1" applyBorder="1" applyFont="1">
      <alignment horizontal="center" shrinkToFit="0" vertical="center" wrapText="1"/>
    </xf>
    <xf borderId="60" fillId="0" fontId="3" numFmtId="0" xfId="0" applyAlignment="1" applyBorder="1" applyFont="1">
      <alignment vertical="center"/>
    </xf>
    <xf borderId="57" fillId="40" fontId="1" numFmtId="0" xfId="0" applyAlignment="1" applyBorder="1" applyFill="1" applyFont="1">
      <alignment horizontal="center" vertical="center"/>
    </xf>
    <xf borderId="58" fillId="40" fontId="1" numFmtId="0" xfId="0" applyAlignment="1" applyBorder="1" applyFont="1">
      <alignment horizontal="center" vertical="center"/>
    </xf>
    <xf borderId="61" fillId="41" fontId="32" numFmtId="0" xfId="0" applyAlignment="1" applyBorder="1" applyFill="1" applyFont="1">
      <alignment horizontal="center" shrinkToFit="0" vertical="center" wrapText="1"/>
    </xf>
    <xf borderId="1" fillId="31" fontId="32" numFmtId="0" xfId="0" applyAlignment="1" applyBorder="1" applyFont="1">
      <alignment horizontal="center" shrinkToFit="0" vertical="center" wrapText="1"/>
    </xf>
    <xf borderId="61" fillId="42" fontId="32" numFmtId="0" xfId="0" applyAlignment="1" applyBorder="1" applyFill="1" applyFont="1">
      <alignment horizontal="center" shrinkToFit="0" vertical="center" wrapText="1"/>
    </xf>
    <xf borderId="33" fillId="27" fontId="23" numFmtId="2" xfId="0" applyAlignment="1" applyBorder="1" applyFont="1" applyNumberFormat="1">
      <alignment readingOrder="0" vertical="bottom"/>
    </xf>
    <xf borderId="33" fillId="27" fontId="23" numFmtId="2" xfId="0" applyAlignment="1" applyBorder="1" applyFont="1" applyNumberFormat="1">
      <alignment vertical="bottom"/>
    </xf>
    <xf borderId="33" fillId="29" fontId="23" numFmtId="2" xfId="0" applyAlignment="1" applyBorder="1" applyFont="1" applyNumberFormat="1">
      <alignment readingOrder="0" vertical="bottom"/>
    </xf>
    <xf borderId="33" fillId="28" fontId="23" numFmtId="2" xfId="0" applyAlignment="1" applyBorder="1" applyFont="1" applyNumberFormat="1">
      <alignment vertical="bottom"/>
    </xf>
    <xf borderId="33" fillId="43" fontId="23" numFmtId="2" xfId="0" applyAlignment="1" applyBorder="1" applyFill="1" applyFont="1" applyNumberFormat="1">
      <alignment vertical="bottom"/>
    </xf>
    <xf borderId="57" fillId="12" fontId="23" numFmtId="0" xfId="0" applyAlignment="1" applyBorder="1" applyFont="1">
      <alignment horizontal="right" vertical="bottom"/>
    </xf>
    <xf borderId="31" fillId="0" fontId="43" numFmtId="0" xfId="0" applyAlignment="1" applyBorder="1" applyFont="1">
      <alignment horizontal="left" shrinkToFit="0" vertical="center" wrapText="1"/>
    </xf>
    <xf borderId="57" fillId="44" fontId="21" numFmtId="0" xfId="0" applyAlignment="1" applyBorder="1" applyFill="1" applyFont="1">
      <alignment horizontal="center" vertical="center"/>
    </xf>
    <xf borderId="62" fillId="44" fontId="44" numFmtId="0" xfId="0" applyAlignment="1" applyBorder="1" applyFont="1">
      <alignment horizontal="right" vertical="bottom"/>
    </xf>
    <xf borderId="57" fillId="44" fontId="1" numFmtId="0" xfId="0" applyAlignment="1" applyBorder="1" applyFont="1">
      <alignment vertical="bottom"/>
    </xf>
    <xf borderId="33" fillId="45" fontId="23" numFmtId="2" xfId="0" applyAlignment="1" applyBorder="1" applyFill="1" applyFont="1" applyNumberFormat="1">
      <alignment vertical="bottom"/>
    </xf>
    <xf borderId="33" fillId="46" fontId="23" numFmtId="2" xfId="0" applyAlignment="1" applyBorder="1" applyFill="1" applyFont="1" applyNumberFormat="1">
      <alignment vertical="bottom"/>
    </xf>
    <xf borderId="63" fillId="0" fontId="45" numFmtId="0" xfId="0" applyAlignment="1" applyBorder="1" applyFont="1">
      <alignment horizontal="center" vertical="center"/>
    </xf>
    <xf borderId="57" fillId="29" fontId="21" numFmtId="0" xfId="0" applyAlignment="1" applyBorder="1" applyFont="1">
      <alignment horizontal="center" vertical="center"/>
    </xf>
    <xf borderId="62" fillId="12" fontId="44" numFmtId="0" xfId="0" applyAlignment="1" applyBorder="1" applyFont="1">
      <alignment horizontal="right" vertical="bottom"/>
    </xf>
    <xf borderId="58" fillId="29" fontId="45" numFmtId="0" xfId="0" applyAlignment="1" applyBorder="1" applyFont="1">
      <alignment vertical="bottom"/>
    </xf>
    <xf borderId="27" fillId="45" fontId="23" numFmtId="2" xfId="0" applyAlignment="1" applyBorder="1" applyFont="1" applyNumberFormat="1">
      <alignment horizontal="center" vertical="center"/>
    </xf>
    <xf borderId="27" fillId="0" fontId="23" numFmtId="0" xfId="0" applyAlignment="1" applyBorder="1" applyFont="1">
      <alignment horizontal="center" vertical="center"/>
    </xf>
    <xf borderId="27" fillId="5" fontId="46" numFmtId="2" xfId="0" applyAlignment="1" applyBorder="1" applyFont="1" applyNumberFormat="1">
      <alignment horizontal="center" vertical="center"/>
    </xf>
    <xf borderId="27" fillId="45" fontId="47" numFmtId="2" xfId="0" applyAlignment="1" applyBorder="1" applyFont="1" applyNumberFormat="1">
      <alignment horizontal="center" vertical="center"/>
    </xf>
    <xf borderId="57" fillId="27" fontId="23" numFmtId="2" xfId="0" applyAlignment="1" applyBorder="1" applyFont="1" applyNumberFormat="1">
      <alignment readingOrder="0" vertical="bottom"/>
    </xf>
    <xf borderId="57" fillId="27" fontId="23" numFmtId="2" xfId="0" applyAlignment="1" applyBorder="1" applyFont="1" applyNumberFormat="1">
      <alignment vertical="bottom"/>
    </xf>
    <xf borderId="57" fillId="28" fontId="23" numFmtId="2" xfId="0" applyAlignment="1" applyBorder="1" applyFont="1" applyNumberFormat="1">
      <alignment vertical="bottom"/>
    </xf>
    <xf borderId="27" fillId="0" fontId="23" numFmtId="2" xfId="0" applyAlignment="1" applyBorder="1" applyFont="1" applyNumberFormat="1">
      <alignment horizontal="center" vertical="center"/>
    </xf>
    <xf borderId="57" fillId="29" fontId="23" numFmtId="2" xfId="0" applyAlignment="1" applyBorder="1" applyFont="1" applyNumberFormat="1">
      <alignment vertical="bottom"/>
    </xf>
    <xf borderId="57" fillId="29" fontId="23" numFmtId="2" xfId="0" applyAlignment="1" applyBorder="1" applyFont="1" applyNumberFormat="1">
      <alignment readingOrder="0" vertical="bottom"/>
    </xf>
    <xf borderId="57" fillId="28" fontId="23" numFmtId="2" xfId="0" applyAlignment="1" applyBorder="1" applyFont="1" applyNumberFormat="1">
      <alignment readingOrder="0" vertical="bottom"/>
    </xf>
    <xf borderId="27" fillId="39" fontId="46" numFmtId="0" xfId="0" applyAlignment="1" applyBorder="1" applyFont="1">
      <alignment vertical="bottom"/>
    </xf>
    <xf borderId="64" fillId="36" fontId="48" numFmtId="0" xfId="0" applyAlignment="1" applyBorder="1" applyFont="1">
      <alignment horizontal="center" vertical="bottom"/>
    </xf>
    <xf borderId="0" fillId="0" fontId="46" numFmtId="0" xfId="0" applyAlignment="1" applyFont="1">
      <alignment horizontal="right" vertical="bottom"/>
    </xf>
    <xf borderId="64" fillId="47" fontId="49" numFmtId="2" xfId="0" applyAlignment="1" applyBorder="1" applyFill="1" applyFont="1" applyNumberFormat="1">
      <alignment horizontal="center" vertical="bottom"/>
    </xf>
    <xf borderId="0" fillId="0" fontId="46" numFmtId="2" xfId="0" applyAlignment="1" applyFont="1" applyNumberFormat="1">
      <alignment horizontal="right" vertical="bottom"/>
    </xf>
    <xf borderId="1" fillId="4" fontId="50" numFmtId="0" xfId="0" applyAlignment="1" applyBorder="1" applyFont="1">
      <alignment horizontal="center" vertical="center"/>
    </xf>
    <xf borderId="2" fillId="4" fontId="51" numFmtId="0" xfId="0" applyAlignment="1" applyBorder="1" applyFont="1">
      <alignment horizontal="center" vertical="center"/>
    </xf>
    <xf borderId="65" fillId="39" fontId="52" numFmtId="0" xfId="0" applyAlignment="1" applyBorder="1" applyFont="1">
      <alignment horizontal="center" vertical="center"/>
    </xf>
    <xf borderId="65" fillId="39" fontId="46" numFmtId="0" xfId="0" applyAlignment="1" applyBorder="1" applyFont="1">
      <alignment horizontal="center" vertical="center"/>
    </xf>
    <xf borderId="27" fillId="39" fontId="45" numFmtId="0" xfId="0" applyAlignment="1" applyBorder="1" applyFont="1">
      <alignment vertical="bottom"/>
    </xf>
    <xf borderId="27" fillId="0" fontId="45" numFmtId="1" xfId="0" applyAlignment="1" applyBorder="1" applyFont="1" applyNumberFormat="1">
      <alignment horizontal="left" vertical="bottom"/>
    </xf>
    <xf borderId="27" fillId="0" fontId="23" numFmtId="1" xfId="0" applyAlignment="1" applyBorder="1" applyFont="1" applyNumberFormat="1">
      <alignment horizontal="center" vertical="bottom"/>
    </xf>
    <xf borderId="27" fillId="39" fontId="45" numFmtId="0" xfId="0" applyAlignment="1" applyBorder="1" applyFont="1">
      <alignment horizontal="left" vertical="bottom"/>
    </xf>
    <xf borderId="66" fillId="0" fontId="23" numFmtId="1" xfId="0" applyAlignment="1" applyBorder="1" applyFont="1" applyNumberFormat="1">
      <alignment horizontal="center" vertical="bottom"/>
    </xf>
    <xf borderId="1" fillId="4" fontId="53" numFmtId="0" xfId="0" applyAlignment="1" applyBorder="1" applyFont="1">
      <alignment horizontal="center" vertical="center"/>
    </xf>
    <xf borderId="1" fillId="4" fontId="54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bottom"/>
    </xf>
    <xf borderId="67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67" fillId="0" fontId="3" numFmtId="0" xfId="0" applyAlignment="1" applyBorder="1" applyFont="1">
      <alignment vertical="center"/>
    </xf>
    <xf borderId="0" fillId="0" fontId="55" numFmtId="0" xfId="0" applyAlignment="1" applyFont="1">
      <alignment horizontal="center" vertical="center"/>
    </xf>
    <xf borderId="1" fillId="4" fontId="4" numFmtId="0" xfId="0" applyAlignment="1" applyBorder="1" applyFont="1">
      <alignment vertical="center"/>
    </xf>
    <xf borderId="1" fillId="4" fontId="10" numFmtId="0" xfId="0" applyAlignment="1" applyBorder="1" applyFont="1">
      <alignment horizontal="center" vertical="center"/>
    </xf>
    <xf borderId="40" fillId="34" fontId="28" numFmtId="0" xfId="0" applyAlignment="1" applyBorder="1" applyFont="1">
      <alignment horizontal="center" vertical="center"/>
    </xf>
    <xf borderId="68" fillId="0" fontId="3" numFmtId="0" xfId="0" applyAlignment="1" applyBorder="1" applyFont="1">
      <alignment vertical="center"/>
    </xf>
    <xf borderId="69" fillId="15" fontId="29" numFmtId="164" xfId="0" applyAlignment="1" applyBorder="1" applyFont="1" applyNumberFormat="1">
      <alignment horizontal="center" shrinkToFit="0" vertical="center" wrapText="1"/>
    </xf>
    <xf borderId="70" fillId="9" fontId="13" numFmtId="0" xfId="0" applyAlignment="1" applyBorder="1" applyFont="1">
      <alignment horizontal="center" shrinkToFit="0" textRotation="90" vertical="center" wrapText="1"/>
    </xf>
    <xf borderId="70" fillId="10" fontId="14" numFmtId="0" xfId="0" applyAlignment="1" applyBorder="1" applyFont="1">
      <alignment horizontal="center" shrinkToFit="0" textRotation="90" vertical="center" wrapText="1"/>
    </xf>
    <xf borderId="70" fillId="10" fontId="30" numFmtId="0" xfId="0" applyAlignment="1" applyBorder="1" applyFont="1">
      <alignment horizontal="center" shrinkToFit="0" textRotation="90" vertical="center" wrapText="1"/>
    </xf>
    <xf borderId="70" fillId="10" fontId="15" numFmtId="9" xfId="0" applyAlignment="1" applyBorder="1" applyFont="1" applyNumberFormat="1">
      <alignment horizontal="center" shrinkToFit="0" vertical="center" wrapText="1"/>
    </xf>
    <xf borderId="71" fillId="11" fontId="16" numFmtId="9" xfId="0" applyAlignment="1" applyBorder="1" applyFont="1" applyNumberFormat="1">
      <alignment horizontal="center" shrinkToFit="0" vertical="center" wrapText="1"/>
    </xf>
    <xf borderId="33" fillId="27" fontId="23" numFmtId="2" xfId="0" applyAlignment="1" applyBorder="1" applyFont="1" applyNumberFormat="1">
      <alignment horizontal="right" vertical="bottom"/>
    </xf>
    <xf borderId="33" fillId="27" fontId="45" numFmtId="2" xfId="0" applyAlignment="1" applyBorder="1" applyFont="1" applyNumberFormat="1">
      <alignment readingOrder="0" vertical="bottom"/>
    </xf>
    <xf borderId="33" fillId="27" fontId="45" numFmtId="2" xfId="0" applyAlignment="1" applyBorder="1" applyFont="1" applyNumberFormat="1">
      <alignment vertical="bottom"/>
    </xf>
    <xf borderId="33" fillId="27" fontId="23" numFmtId="2" xfId="0" applyAlignment="1" applyBorder="1" applyFont="1" applyNumberFormat="1">
      <alignment horizontal="right" readingOrder="0" vertical="bottom"/>
    </xf>
    <xf borderId="33" fillId="29" fontId="45" numFmtId="2" xfId="0" applyAlignment="1" applyBorder="1" applyFont="1" applyNumberFormat="1">
      <alignment vertical="bottom"/>
    </xf>
    <xf borderId="33" fillId="29" fontId="23" numFmtId="2" xfId="0" applyAlignment="1" applyBorder="1" applyFont="1" applyNumberFormat="1">
      <alignment horizontal="right" vertical="bottom"/>
    </xf>
    <xf borderId="33" fillId="29" fontId="23" numFmtId="2" xfId="0" applyAlignment="1" applyBorder="1" applyFont="1" applyNumberFormat="1">
      <alignment horizontal="right" readingOrder="0" vertical="bottom"/>
    </xf>
    <xf borderId="57" fillId="27" fontId="45" numFmtId="2" xfId="0" applyAlignment="1" applyBorder="1" applyFont="1" applyNumberFormat="1">
      <alignment readingOrder="0" vertical="bottom"/>
    </xf>
    <xf borderId="57" fillId="27" fontId="45" numFmtId="2" xfId="0" applyAlignment="1" applyBorder="1" applyFont="1" applyNumberFormat="1">
      <alignment vertical="bottom"/>
    </xf>
    <xf borderId="57" fillId="29" fontId="45" numFmtId="2" xfId="0" applyAlignment="1" applyBorder="1" applyFont="1" applyNumberFormat="1">
      <alignment vertical="bottom"/>
    </xf>
    <xf borderId="57" fillId="29" fontId="23" numFmtId="2" xfId="0" applyAlignment="1" applyBorder="1" applyFont="1" applyNumberFormat="1">
      <alignment horizontal="right" vertical="bottom"/>
    </xf>
    <xf borderId="31" fillId="0" fontId="56" numFmtId="0" xfId="0" applyAlignment="1" applyBorder="1" applyFont="1">
      <alignment horizontal="left" shrinkToFit="0" vertical="center" wrapText="1"/>
    </xf>
    <xf borderId="35" fillId="30" fontId="23" numFmtId="2" xfId="0" applyAlignment="1" applyBorder="1" applyFont="1" applyNumberFormat="1">
      <alignment readingOrder="0" vertical="bottom"/>
    </xf>
    <xf borderId="57" fillId="27" fontId="1" numFmtId="2" xfId="0" applyAlignment="1" applyBorder="1" applyFont="1" applyNumberFormat="1">
      <alignment vertical="bottom"/>
    </xf>
    <xf borderId="33" fillId="29" fontId="1" numFmtId="2" xfId="0" applyAlignment="1" applyBorder="1" applyFont="1" applyNumberFormat="1">
      <alignment vertical="bottom"/>
    </xf>
    <xf borderId="57" fillId="29" fontId="1" numFmtId="2" xfId="0" applyAlignment="1" applyBorder="1" applyFont="1" applyNumberFormat="1">
      <alignment vertical="bottom"/>
    </xf>
    <xf borderId="33" fillId="27" fontId="1" numFmtId="2" xfId="0" applyAlignment="1" applyBorder="1" applyFont="1" applyNumberFormat="1">
      <alignment vertical="bottom"/>
    </xf>
    <xf borderId="33" fillId="27" fontId="23" numFmtId="0" xfId="0" applyAlignment="1" applyBorder="1" applyFont="1">
      <alignment vertical="bottom"/>
    </xf>
    <xf borderId="72" fillId="29" fontId="57" numFmtId="2" xfId="0" applyAlignment="1" applyBorder="1" applyFont="1" applyNumberFormat="1">
      <alignment horizontal="right" readingOrder="0" shrinkToFit="0" vertical="bottom" wrapText="0"/>
    </xf>
    <xf borderId="72" fillId="27" fontId="57" numFmtId="2" xfId="0" applyAlignment="1" applyBorder="1" applyFont="1" applyNumberFormat="1">
      <alignment horizontal="right" readingOrder="0" shrinkToFit="0" vertical="bottom" wrapText="0"/>
    </xf>
    <xf borderId="57" fillId="27" fontId="57" numFmtId="2" xfId="0" applyAlignment="1" applyBorder="1" applyFont="1" applyNumberFormat="1">
      <alignment horizontal="right" readingOrder="0" shrinkToFit="0" vertical="bottom" wrapText="0"/>
    </xf>
    <xf borderId="33" fillId="29" fontId="23" numFmtId="0" xfId="0" applyAlignment="1" applyBorder="1" applyFont="1">
      <alignment vertical="bottom"/>
    </xf>
    <xf borderId="57" fillId="48" fontId="58" numFmtId="2" xfId="0" applyAlignment="1" applyBorder="1" applyFill="1" applyFont="1" applyNumberFormat="1">
      <alignment readingOrder="0" shrinkToFit="0" vertical="bottom" wrapText="0"/>
    </xf>
    <xf borderId="72" fillId="29" fontId="57" numFmtId="2" xfId="0" applyAlignment="1" applyBorder="1" applyFont="1" applyNumberFormat="1">
      <alignment readingOrder="0" shrinkToFit="0" vertical="bottom" wrapText="0"/>
    </xf>
    <xf borderId="57" fillId="48" fontId="59" numFmtId="2" xfId="0" applyAlignment="1" applyBorder="1" applyFont="1" applyNumberFormat="1">
      <alignment horizontal="right" vertical="bottom"/>
    </xf>
    <xf borderId="57" fillId="27" fontId="24" numFmtId="2" xfId="0" applyAlignment="1" applyBorder="1" applyFont="1" applyNumberFormat="1">
      <alignment horizontal="right" vertical="bottom"/>
    </xf>
    <xf borderId="57" fillId="27" fontId="25" numFmtId="2" xfId="0" applyAlignment="1" applyBorder="1" applyFont="1" applyNumberFormat="1">
      <alignment vertical="bottom"/>
    </xf>
    <xf borderId="33" fillId="29" fontId="24" numFmtId="2" xfId="0" applyAlignment="1" applyBorder="1" applyFont="1" applyNumberFormat="1">
      <alignment horizontal="right" vertical="bottom"/>
    </xf>
    <xf borderId="0" fillId="0" fontId="27" numFmtId="0" xfId="0" applyAlignment="1" applyFont="1">
      <alignment readingOrder="0" vertical="center"/>
    </xf>
    <xf borderId="11" fillId="10" fontId="37" numFmtId="0" xfId="0" applyAlignment="1" applyBorder="1" applyFont="1">
      <alignment horizontal="center" shrinkToFit="0" textRotation="90" vertical="center" wrapText="1"/>
    </xf>
    <xf borderId="27" fillId="44" fontId="1" numFmtId="2" xfId="0" applyAlignment="1" applyBorder="1" applyFont="1" applyNumberFormat="1">
      <alignment horizontal="center" readingOrder="0" vertical="bottom"/>
    </xf>
    <xf borderId="27" fillId="49" fontId="1" numFmtId="2" xfId="0" applyAlignment="1" applyBorder="1" applyFill="1" applyFont="1" applyNumberFormat="1">
      <alignment horizontal="center" readingOrder="0" vertical="bottom"/>
    </xf>
    <xf borderId="73" fillId="49" fontId="1" numFmtId="2" xfId="0" applyAlignment="1" applyBorder="1" applyFont="1" applyNumberFormat="1">
      <alignment horizontal="center" vertical="bottom"/>
    </xf>
    <xf borderId="73" fillId="49" fontId="1" numFmtId="2" xfId="0" applyAlignment="1" applyBorder="1" applyFont="1" applyNumberFormat="1">
      <alignment horizontal="right" vertical="bottom"/>
    </xf>
    <xf borderId="27" fillId="0" fontId="1" numFmtId="2" xfId="0" applyAlignment="1" applyBorder="1" applyFont="1" applyNumberFormat="1">
      <alignment horizontal="center" readingOrder="0" vertical="bottom"/>
    </xf>
    <xf borderId="27" fillId="44" fontId="60" numFmtId="2" xfId="0" applyAlignment="1" applyBorder="1" applyFont="1" applyNumberFormat="1">
      <alignment horizontal="center" vertical="bottom"/>
    </xf>
    <xf borderId="27" fillId="0" fontId="1" numFmtId="0" xfId="0" applyAlignment="1" applyBorder="1" applyFont="1">
      <alignment horizontal="center" readingOrder="0" vertical="bottom"/>
    </xf>
    <xf borderId="65" fillId="49" fontId="1" numFmtId="2" xfId="0" applyAlignment="1" applyBorder="1" applyFont="1" applyNumberFormat="1">
      <alignment horizontal="center" readingOrder="0" vertical="bottom"/>
    </xf>
    <xf borderId="74" fillId="49" fontId="1" numFmtId="2" xfId="0" applyAlignment="1" applyBorder="1" applyFont="1" applyNumberFormat="1">
      <alignment horizontal="center" vertical="bottom"/>
    </xf>
    <xf borderId="74" fillId="49" fontId="1" numFmtId="2" xfId="0" applyAlignment="1" applyBorder="1" applyFont="1" applyNumberFormat="1">
      <alignment horizontal="right" vertical="bottom"/>
    </xf>
    <xf borderId="75" fillId="0" fontId="1" numFmtId="0" xfId="0" applyAlignment="1" applyBorder="1" applyFont="1">
      <alignment horizontal="center" readingOrder="0" vertical="bottom"/>
    </xf>
    <xf borderId="73" fillId="44" fontId="60" numFmtId="2" xfId="0" applyAlignment="1" applyBorder="1" applyFont="1" applyNumberFormat="1">
      <alignment horizontal="center" vertical="bottom"/>
    </xf>
    <xf borderId="65" fillId="44" fontId="60" numFmtId="2" xfId="0" applyAlignment="1" applyBorder="1" applyFont="1" applyNumberFormat="1">
      <alignment horizontal="center" vertical="bottom"/>
    </xf>
    <xf borderId="74" fillId="44" fontId="60" numFmtId="2" xfId="0" applyAlignment="1" applyBorder="1" applyFont="1" applyNumberFormat="1">
      <alignment horizontal="center" vertical="bottom"/>
    </xf>
    <xf borderId="74" fillId="49" fontId="1" numFmtId="2" xfId="0" applyAlignment="1" applyBorder="1" applyFont="1" applyNumberFormat="1">
      <alignment vertical="bottom"/>
    </xf>
    <xf borderId="74" fillId="49" fontId="1" numFmtId="0" xfId="0" applyAlignment="1" applyBorder="1" applyFont="1">
      <alignment vertical="bottom"/>
    </xf>
    <xf borderId="65" fillId="44" fontId="1" numFmtId="2" xfId="0" applyAlignment="1" applyBorder="1" applyFont="1" applyNumberFormat="1">
      <alignment horizontal="center" vertical="bottom"/>
    </xf>
    <xf borderId="74" fillId="44" fontId="1" numFmtId="2" xfId="0" applyAlignment="1" applyBorder="1" applyFont="1" applyNumberFormat="1">
      <alignment horizontal="center" vertical="bottom"/>
    </xf>
    <xf borderId="65" fillId="49" fontId="1" numFmtId="2" xfId="0" applyAlignment="1" applyBorder="1" applyFont="1" applyNumberFormat="1">
      <alignment horizontal="center" vertical="bottom"/>
    </xf>
    <xf borderId="75" fillId="0" fontId="1" numFmtId="0" xfId="0" applyAlignment="1" applyBorder="1" applyFont="1">
      <alignment horizontal="center" vertical="bottom"/>
    </xf>
    <xf borderId="57" fillId="44" fontId="23" numFmtId="2" xfId="0" applyAlignment="1" applyBorder="1" applyFont="1" applyNumberFormat="1">
      <alignment vertical="bottom"/>
    </xf>
    <xf borderId="27" fillId="44" fontId="1" numFmtId="2" xfId="0" applyAlignment="1" applyBorder="1" applyFont="1" applyNumberFormat="1">
      <alignment horizontal="center" vertical="bottom"/>
    </xf>
    <xf borderId="73" fillId="44" fontId="1" numFmtId="2" xfId="0" applyAlignment="1" applyBorder="1" applyFont="1" applyNumberFormat="1">
      <alignment horizontal="center" vertical="bottom"/>
    </xf>
    <xf borderId="27" fillId="49" fontId="1" numFmtId="2" xfId="0" applyAlignment="1" applyBorder="1" applyFont="1" applyNumberFormat="1">
      <alignment horizontal="center" vertical="bottom"/>
    </xf>
    <xf borderId="27" fillId="0" fontId="1" numFmtId="2" xfId="0" applyAlignment="1" applyBorder="1" applyFont="1" applyNumberFormat="1">
      <alignment horizontal="center" vertical="bottom"/>
    </xf>
    <xf borderId="57" fillId="12" fontId="45" numFmtId="0" xfId="0" applyAlignment="1" applyBorder="1" applyFont="1">
      <alignment vertical="bottom"/>
    </xf>
    <xf borderId="1" fillId="3" fontId="2" numFmtId="0" xfId="0" applyAlignment="1" applyBorder="1" applyFont="1">
      <alignment horizontal="left" vertical="center"/>
    </xf>
    <xf borderId="55" fillId="27" fontId="61" numFmtId="0" xfId="0" applyAlignment="1" applyBorder="1" applyFont="1">
      <alignment horizontal="center" readingOrder="0" shrinkToFit="0" textRotation="90" vertical="center" wrapText="1"/>
    </xf>
    <xf borderId="55" fillId="29" fontId="61" numFmtId="0" xfId="0" applyAlignment="1" applyBorder="1" applyFont="1">
      <alignment horizontal="center" readingOrder="0" shrinkToFit="0" textRotation="90" vertical="center" wrapText="1"/>
    </xf>
    <xf borderId="55" fillId="27" fontId="62" numFmtId="0" xfId="0" applyAlignment="1" applyBorder="1" applyFont="1">
      <alignment horizontal="center" readingOrder="0" shrinkToFit="0" textRotation="90" vertical="center" wrapText="1"/>
    </xf>
    <xf borderId="55" fillId="29" fontId="62" numFmtId="0" xfId="0" applyAlignment="1" applyBorder="1" applyFont="1">
      <alignment horizontal="center" readingOrder="0" shrinkToFit="0" textRotation="90" vertical="center" wrapText="1"/>
    </xf>
    <xf borderId="55" fillId="27" fontId="62" numFmtId="0" xfId="0" applyAlignment="1" applyBorder="1" applyFont="1">
      <alignment horizontal="center" shrinkToFit="0" textRotation="90" vertical="center" wrapText="1"/>
    </xf>
    <xf borderId="55" fillId="27" fontId="19" numFmtId="0" xfId="0" applyAlignment="1" applyBorder="1" applyFont="1">
      <alignment horizontal="center" shrinkToFit="0" textRotation="90" vertical="center" wrapText="1"/>
    </xf>
    <xf borderId="31" fillId="44" fontId="43" numFmtId="0" xfId="0" applyAlignment="1" applyBorder="1" applyFont="1">
      <alignment horizontal="left" shrinkToFit="0" vertical="center" wrapText="1"/>
    </xf>
    <xf borderId="31" fillId="14" fontId="43" numFmtId="0" xfId="0" applyAlignment="1" applyBorder="1" applyFont="1">
      <alignment horizontal="left" shrinkToFit="0" vertical="center" wrapText="1"/>
    </xf>
    <xf borderId="35" fillId="50" fontId="23" numFmtId="2" xfId="0" applyAlignment="1" applyBorder="1" applyFill="1" applyFont="1" applyNumberFormat="1">
      <alignment vertical="bottom"/>
    </xf>
    <xf borderId="27" fillId="0" fontId="22" numFmtId="0" xfId="0" applyAlignment="1" applyBorder="1" applyFont="1">
      <alignment vertical="bottom"/>
    </xf>
    <xf borderId="76" fillId="45" fontId="23" numFmtId="2" xfId="0" applyAlignment="1" applyBorder="1" applyFont="1" applyNumberFormat="1">
      <alignment horizontal="center" vertical="center"/>
    </xf>
    <xf borderId="27" fillId="51" fontId="46" numFmtId="2" xfId="0" applyAlignment="1" applyBorder="1" applyFill="1" applyFont="1" applyNumberFormat="1">
      <alignment horizontal="center" vertical="center"/>
    </xf>
    <xf borderId="30" fillId="32" fontId="21" numFmtId="0" xfId="0" applyAlignment="1" applyBorder="1" applyFont="1">
      <alignment horizontal="center" vertical="center"/>
    </xf>
    <xf borderId="57" fillId="32" fontId="23" numFmtId="2" xfId="0" applyAlignment="1" applyBorder="1" applyFont="1" applyNumberFormat="1">
      <alignment readingOrder="0" vertical="bottom"/>
    </xf>
    <xf borderId="57" fillId="32" fontId="23" numFmtId="2" xfId="0" applyAlignment="1" applyBorder="1" applyFont="1" applyNumberFormat="1">
      <alignment vertical="bottom"/>
    </xf>
    <xf borderId="1" fillId="32" fontId="25" numFmtId="0" xfId="0" applyAlignment="1" applyBorder="1" applyFont="1">
      <alignment vertical="center"/>
    </xf>
    <xf borderId="57" fillId="32" fontId="24" numFmtId="2" xfId="0" applyAlignment="1" applyBorder="1" applyFont="1" applyNumberFormat="1">
      <alignment readingOrder="0" vertical="bottom"/>
    </xf>
    <xf borderId="57" fillId="32" fontId="24" numFmtId="2" xfId="0" applyAlignment="1" applyBorder="1" applyFont="1" applyNumberFormat="1">
      <alignment vertical="bottom"/>
    </xf>
    <xf borderId="57" fillId="27" fontId="23" numFmtId="2" xfId="0" applyAlignment="1" applyBorder="1" applyFont="1" applyNumberFormat="1">
      <alignment horizontal="right" vertical="bottom"/>
    </xf>
    <xf borderId="0" fillId="0" fontId="25" numFmtId="0" xfId="0" applyAlignment="1" applyFont="1">
      <alignment vertical="center"/>
    </xf>
    <xf borderId="40" fillId="4" fontId="40" numFmtId="0" xfId="0" applyAlignment="1" applyBorder="1" applyFont="1">
      <alignment horizontal="center" vertical="center"/>
    </xf>
    <xf borderId="0" fillId="0" fontId="27" numFmtId="165" xfId="0" applyAlignment="1" applyFont="1" applyNumberFormat="1">
      <alignment vertical="center"/>
    </xf>
    <xf borderId="1" fillId="4" fontId="6" numFmtId="165" xfId="0" applyAlignment="1" applyBorder="1" applyFont="1" applyNumberFormat="1">
      <alignment horizontal="center" vertical="center"/>
    </xf>
    <xf borderId="1" fillId="5" fontId="5" numFmtId="165" xfId="0" applyAlignment="1" applyBorder="1" applyFont="1" applyNumberFormat="1">
      <alignment horizontal="left" vertical="center"/>
    </xf>
    <xf borderId="1" fillId="5" fontId="5" numFmtId="165" xfId="0" applyAlignment="1" applyBorder="1" applyFont="1" applyNumberFormat="1">
      <alignment vertical="center"/>
    </xf>
    <xf borderId="1" fillId="5" fontId="1" numFmtId="165" xfId="0" applyAlignment="1" applyBorder="1" applyFont="1" applyNumberFormat="1">
      <alignment horizontal="center" vertical="center"/>
    </xf>
    <xf borderId="11" fillId="10" fontId="14" numFmtId="165" xfId="0" applyAlignment="1" applyBorder="1" applyFont="1" applyNumberFormat="1">
      <alignment horizontal="center" shrinkToFit="0" textRotation="90" vertical="center" wrapText="1"/>
    </xf>
    <xf borderId="43" fillId="15" fontId="34" numFmtId="165" xfId="0" applyAlignment="1" applyBorder="1" applyFont="1" applyNumberFormat="1">
      <alignment horizontal="center" shrinkToFit="0" vertical="center" wrapText="1"/>
    </xf>
    <xf borderId="55" fillId="27" fontId="42" numFmtId="165" xfId="0" applyAlignment="1" applyBorder="1" applyFont="1" applyNumberFormat="1">
      <alignment horizontal="center" shrinkToFit="0" textRotation="90" vertical="center" wrapText="1"/>
    </xf>
    <xf borderId="27" fillId="44" fontId="63" numFmtId="2" xfId="0" applyAlignment="1" applyBorder="1" applyFont="1" applyNumberFormat="1">
      <alignment horizontal="left" readingOrder="0" vertical="center"/>
    </xf>
    <xf borderId="27" fillId="44" fontId="63" numFmtId="165" xfId="0" applyAlignment="1" applyBorder="1" applyFont="1" applyNumberFormat="1">
      <alignment horizontal="left" readingOrder="0" vertical="center"/>
    </xf>
    <xf borderId="33" fillId="43" fontId="23" numFmtId="2" xfId="0" applyAlignment="1" applyBorder="1" applyFont="1" applyNumberFormat="1">
      <alignment readingOrder="0" vertical="bottom"/>
    </xf>
    <xf borderId="27" fillId="44" fontId="63" numFmtId="2" xfId="0" applyAlignment="1" applyBorder="1" applyFont="1" applyNumberFormat="1">
      <alignment horizontal="left" vertical="center"/>
    </xf>
    <xf borderId="27" fillId="44" fontId="63" numFmtId="165" xfId="0" applyAlignment="1" applyBorder="1" applyFont="1" applyNumberFormat="1">
      <alignment horizontal="left" vertical="center"/>
    </xf>
    <xf borderId="57" fillId="27" fontId="23" numFmtId="165" xfId="0" applyAlignment="1" applyBorder="1" applyFont="1" applyNumberFormat="1">
      <alignment vertical="bottom"/>
    </xf>
    <xf borderId="33" fillId="29" fontId="23" numFmtId="165" xfId="0" applyAlignment="1" applyBorder="1" applyFont="1" applyNumberFormat="1">
      <alignment vertical="bottom"/>
    </xf>
    <xf borderId="33" fillId="28" fontId="23" numFmtId="2" xfId="0" applyAlignment="1" applyBorder="1" applyFont="1" applyNumberFormat="1">
      <alignment readingOrder="0" vertical="bottom"/>
    </xf>
    <xf borderId="35" fillId="14" fontId="23" numFmtId="2" xfId="0" applyAlignment="1" applyBorder="1" applyFont="1" applyNumberFormat="1">
      <alignment vertical="bottom"/>
    </xf>
    <xf borderId="57" fillId="27" fontId="57" numFmtId="2" xfId="0" applyAlignment="1" applyBorder="1" applyFont="1" applyNumberFormat="1">
      <alignment readingOrder="0" shrinkToFit="0" vertical="bottom" wrapText="0"/>
    </xf>
    <xf borderId="2" fillId="6" fontId="64" numFmtId="0" xfId="0" applyAlignment="1" applyBorder="1" applyFont="1">
      <alignment horizontal="center" vertical="center"/>
    </xf>
    <xf borderId="2" fillId="6" fontId="65" numFmtId="0" xfId="0" applyAlignment="1" applyBorder="1" applyFont="1">
      <alignment horizontal="center" vertical="center"/>
    </xf>
    <xf borderId="8" fillId="8" fontId="12" numFmtId="0" xfId="0" applyAlignment="1" applyBorder="1" applyFont="1">
      <alignment horizontal="center" readingOrder="0" shrinkToFit="0" vertical="center" wrapText="1"/>
    </xf>
    <xf borderId="77" fillId="0" fontId="3" numFmtId="0" xfId="0" applyAlignment="1" applyBorder="1" applyFont="1">
      <alignment vertical="center"/>
    </xf>
    <xf borderId="78" fillId="8" fontId="12" numFmtId="164" xfId="0" applyAlignment="1" applyBorder="1" applyFont="1" applyNumberFormat="1">
      <alignment horizontal="center" shrinkToFit="0" vertical="center" wrapText="1"/>
    </xf>
    <xf borderId="79" fillId="0" fontId="3" numFmtId="0" xfId="0" applyAlignment="1" applyBorder="1" applyFont="1">
      <alignment vertical="center"/>
    </xf>
    <xf borderId="5" fillId="8" fontId="12" numFmtId="164" xfId="0" applyAlignment="1" applyBorder="1" applyFont="1" applyNumberFormat="1">
      <alignment horizontal="center" shrinkToFit="0" vertical="center" wrapText="1"/>
    </xf>
    <xf borderId="1" fillId="8" fontId="12" numFmtId="164" xfId="0" applyAlignment="1" applyBorder="1" applyFont="1" applyNumberFormat="1">
      <alignment horizontal="center" shrinkToFit="0" vertical="center" wrapText="1"/>
    </xf>
    <xf borderId="80" fillId="9" fontId="13" numFmtId="0" xfId="0" applyAlignment="1" applyBorder="1" applyFont="1">
      <alignment horizontal="center" shrinkToFit="0" textRotation="90" vertical="center" wrapText="1"/>
    </xf>
    <xf borderId="81" fillId="0" fontId="3" numFmtId="0" xfId="0" applyAlignment="1" applyBorder="1" applyFont="1">
      <alignment vertical="center"/>
    </xf>
    <xf borderId="82" fillId="0" fontId="3" numFmtId="0" xfId="0" applyAlignment="1" applyBorder="1" applyFont="1">
      <alignment vertical="center"/>
    </xf>
    <xf borderId="83" fillId="0" fontId="3" numFmtId="0" xfId="0" applyAlignment="1" applyBorder="1" applyFont="1">
      <alignment vertical="center"/>
    </xf>
    <xf borderId="84" fillId="0" fontId="3" numFmtId="0" xfId="0" applyAlignment="1" applyBorder="1" applyFont="1">
      <alignment vertical="center"/>
    </xf>
    <xf borderId="85" fillId="0" fontId="3" numFmtId="0" xfId="0" applyAlignment="1" applyBorder="1" applyFont="1">
      <alignment vertical="center"/>
    </xf>
    <xf borderId="86" fillId="0" fontId="3" numFmtId="0" xfId="0" applyAlignment="1" applyBorder="1" applyFont="1">
      <alignment vertical="center"/>
    </xf>
    <xf borderId="87" fillId="0" fontId="3" numFmtId="0" xfId="0" applyAlignment="1" applyBorder="1" applyFont="1">
      <alignment vertical="center"/>
    </xf>
    <xf borderId="24" fillId="12" fontId="23" numFmtId="0" xfId="0" applyAlignment="1" applyBorder="1" applyFont="1">
      <alignment horizontal="right" vertical="bottom"/>
    </xf>
    <xf borderId="88" fillId="0" fontId="43" numFmtId="0" xfId="0" applyAlignment="1" applyBorder="1" applyFont="1">
      <alignment horizontal="left" shrinkToFit="0" vertical="center" wrapText="1"/>
    </xf>
    <xf borderId="89" fillId="0" fontId="3" numFmtId="0" xfId="0" applyAlignment="1" applyBorder="1" applyFont="1">
      <alignment vertical="center"/>
    </xf>
    <xf borderId="0" fillId="0" fontId="1" numFmtId="2" xfId="0" applyAlignment="1" applyFont="1" applyNumberFormat="1">
      <alignment vertical="bottom"/>
    </xf>
    <xf borderId="1" fillId="3" fontId="2" numFmtId="0" xfId="0" applyAlignment="1" applyBorder="1" applyFont="1">
      <alignment horizontal="center" vertical="center"/>
    </xf>
    <xf borderId="90" fillId="4" fontId="10" numFmtId="0" xfId="0" applyAlignment="1" applyBorder="1" applyFont="1">
      <alignment horizontal="center" vertical="center"/>
    </xf>
    <xf borderId="91" fillId="0" fontId="3" numFmtId="0" xfId="0" applyAlignment="1" applyBorder="1" applyFont="1">
      <alignment vertical="center"/>
    </xf>
    <xf borderId="92" fillId="0" fontId="3" numFmtId="0" xfId="0" applyAlignment="1" applyBorder="1" applyFont="1">
      <alignment vertical="center"/>
    </xf>
    <xf borderId="93" fillId="0" fontId="1" numFmtId="0" xfId="0" applyAlignment="1" applyBorder="1" applyFont="1">
      <alignment vertical="center"/>
    </xf>
    <xf borderId="94" fillId="8" fontId="12" numFmtId="164" xfId="0" applyAlignment="1" applyBorder="1" applyFont="1" applyNumberFormat="1">
      <alignment horizontal="center" shrinkToFit="0" vertical="center" wrapText="1"/>
    </xf>
    <xf borderId="95" fillId="0" fontId="3" numFmtId="0" xfId="0" applyAlignment="1" applyBorder="1" applyFont="1">
      <alignment vertical="center"/>
    </xf>
    <xf borderId="96" fillId="0" fontId="3" numFmtId="0" xfId="0" applyAlignment="1" applyBorder="1" applyFont="1">
      <alignment vertical="center"/>
    </xf>
    <xf borderId="97" fillId="9" fontId="13" numFmtId="0" xfId="0" applyAlignment="1" applyBorder="1" applyFont="1">
      <alignment horizontal="center" shrinkToFit="0" textRotation="90" vertical="center" wrapText="1"/>
    </xf>
    <xf borderId="0" fillId="0" fontId="1" numFmtId="0" xfId="0" applyAlignment="1" applyFont="1">
      <alignment vertical="center"/>
    </xf>
    <xf borderId="98" fillId="0" fontId="3" numFmtId="0" xfId="0" applyAlignment="1" applyBorder="1" applyFont="1">
      <alignment vertical="center"/>
    </xf>
    <xf borderId="99" fillId="0" fontId="3" numFmtId="0" xfId="0" applyAlignment="1" applyBorder="1" applyFont="1">
      <alignment vertical="center"/>
    </xf>
    <xf borderId="100" fillId="0" fontId="3" numFmtId="0" xfId="0" applyAlignment="1" applyBorder="1" applyFont="1">
      <alignment vertical="center"/>
    </xf>
    <xf borderId="101" fillId="12" fontId="17" numFmtId="0" xfId="0" applyAlignment="1" applyBorder="1" applyFont="1">
      <alignment horizontal="center" vertical="center"/>
    </xf>
    <xf borderId="102" fillId="52" fontId="42" numFmtId="0" xfId="0" applyAlignment="1" applyBorder="1" applyFill="1" applyFont="1">
      <alignment horizontal="center" shrinkToFit="0" textRotation="90" vertical="center" wrapText="1"/>
    </xf>
    <xf borderId="103" fillId="0" fontId="3" numFmtId="0" xfId="0" applyAlignment="1" applyBorder="1" applyFont="1">
      <alignment vertical="center"/>
    </xf>
    <xf borderId="104" fillId="0" fontId="3" numFmtId="0" xfId="0" applyAlignment="1" applyBorder="1" applyFont="1">
      <alignment vertical="center"/>
    </xf>
    <xf borderId="105" fillId="14" fontId="42" numFmtId="0" xfId="0" applyAlignment="1" applyBorder="1" applyFont="1">
      <alignment horizontal="center" shrinkToFit="0" textRotation="90" vertical="center" wrapText="1"/>
    </xf>
    <xf borderId="106" fillId="0" fontId="3" numFmtId="0" xfId="0" applyAlignment="1" applyBorder="1" applyFont="1">
      <alignment vertical="center"/>
    </xf>
    <xf borderId="107" fillId="0" fontId="3" numFmtId="0" xfId="0" applyAlignment="1" applyBorder="1" applyFont="1">
      <alignment vertical="center"/>
    </xf>
    <xf borderId="105" fillId="26" fontId="42" numFmtId="0" xfId="0" applyAlignment="1" applyBorder="1" applyFont="1">
      <alignment horizontal="center" shrinkToFit="0" textRotation="90" vertical="center" wrapText="1"/>
    </xf>
    <xf borderId="105" fillId="53" fontId="42" numFmtId="0" xfId="0" applyAlignment="1" applyBorder="1" applyFill="1" applyFont="1">
      <alignment horizontal="center" shrinkToFit="0" textRotation="90" vertical="center" wrapText="1"/>
    </xf>
    <xf borderId="105" fillId="17" fontId="42" numFmtId="0" xfId="0" applyAlignment="1" applyBorder="1" applyFont="1">
      <alignment horizontal="center" shrinkToFit="0" textRotation="90" vertical="center" wrapText="1"/>
    </xf>
    <xf borderId="105" fillId="54" fontId="42" numFmtId="0" xfId="0" applyAlignment="1" applyBorder="1" applyFill="1" applyFont="1">
      <alignment horizontal="center" shrinkToFit="0" textRotation="90" vertical="center" wrapText="1"/>
    </xf>
    <xf borderId="105" fillId="30" fontId="42" numFmtId="0" xfId="0" applyAlignment="1" applyBorder="1" applyFont="1">
      <alignment horizontal="center" shrinkToFit="0" textRotation="90" vertical="center" wrapText="1"/>
    </xf>
    <xf borderId="105" fillId="20" fontId="42" numFmtId="0" xfId="0" applyAlignment="1" applyBorder="1" applyFont="1">
      <alignment horizontal="center" shrinkToFit="0" textRotation="90" vertical="center" wrapText="1"/>
    </xf>
    <xf borderId="105" fillId="21" fontId="42" numFmtId="0" xfId="0" applyAlignment="1" applyBorder="1" applyFont="1">
      <alignment horizontal="center" shrinkToFit="0" textRotation="90" vertical="center" wrapText="1"/>
    </xf>
    <xf borderId="105" fillId="22" fontId="42" numFmtId="0" xfId="0" applyAlignment="1" applyBorder="1" applyFont="1">
      <alignment horizontal="center" shrinkToFit="0" textRotation="90" vertical="center" wrapText="1"/>
    </xf>
    <xf borderId="108" fillId="47" fontId="42" numFmtId="0" xfId="0" applyAlignment="1" applyBorder="1" applyFont="1">
      <alignment horizontal="center" shrinkToFit="0" textRotation="90" vertical="center" wrapText="1"/>
    </xf>
    <xf borderId="109" fillId="0" fontId="3" numFmtId="0" xfId="0" applyAlignment="1" applyBorder="1" applyFont="1">
      <alignment vertical="center"/>
    </xf>
    <xf borderId="110" fillId="0" fontId="3" numFmtId="0" xfId="0" applyAlignment="1" applyBorder="1" applyFont="1">
      <alignment vertical="center"/>
    </xf>
    <xf borderId="108" fillId="24" fontId="42" numFmtId="0" xfId="0" applyAlignment="1" applyBorder="1" applyFont="1">
      <alignment horizontal="center" shrinkToFit="0" textRotation="90" vertical="center" wrapText="1"/>
    </xf>
    <xf borderId="108" fillId="25" fontId="42" numFmtId="0" xfId="0" applyAlignment="1" applyBorder="1" applyFont="1">
      <alignment horizontal="center" shrinkToFit="0" textRotation="90" vertical="center" wrapText="1"/>
    </xf>
    <xf borderId="108" fillId="26" fontId="42" numFmtId="0" xfId="0" applyAlignment="1" applyBorder="1" applyFont="1">
      <alignment horizontal="center" shrinkToFit="0" textRotation="90" vertical="center" wrapText="1"/>
    </xf>
    <xf borderId="111" fillId="0" fontId="3" numFmtId="0" xfId="0" applyAlignment="1" applyBorder="1" applyFont="1">
      <alignment vertical="center"/>
    </xf>
    <xf borderId="1" fillId="12" fontId="17" numFmtId="0" xfId="0" applyAlignment="1" applyBorder="1" applyFont="1">
      <alignment horizontal="center" vertical="center"/>
    </xf>
    <xf borderId="72" fillId="0" fontId="3" numFmtId="0" xfId="0" applyAlignment="1" applyBorder="1" applyFont="1">
      <alignment vertical="center"/>
    </xf>
    <xf borderId="112" fillId="52" fontId="42" numFmtId="0" xfId="0" applyAlignment="1" applyBorder="1" applyFont="1">
      <alignment horizontal="center" shrinkToFit="0" textRotation="90" vertical="center" wrapText="1"/>
    </xf>
    <xf borderId="113" fillId="52" fontId="42" numFmtId="0" xfId="0" applyAlignment="1" applyBorder="1" applyFont="1">
      <alignment horizontal="center" shrinkToFit="0" textRotation="90" vertical="center" wrapText="1"/>
    </xf>
    <xf borderId="114" fillId="52" fontId="42" numFmtId="0" xfId="0" applyAlignment="1" applyBorder="1" applyFont="1">
      <alignment horizontal="center" shrinkToFit="0" textRotation="90" vertical="center" wrapText="1"/>
    </xf>
    <xf borderId="115" fillId="52" fontId="42" numFmtId="0" xfId="0" applyAlignment="1" applyBorder="1" applyFont="1">
      <alignment horizontal="center" shrinkToFit="0" textRotation="90" vertical="center" wrapText="1"/>
    </xf>
    <xf borderId="116" fillId="52" fontId="42" numFmtId="0" xfId="0" applyAlignment="1" applyBorder="1" applyFont="1">
      <alignment horizontal="center" shrinkToFit="0" textRotation="90" vertical="center" wrapText="1"/>
    </xf>
    <xf borderId="117" fillId="14" fontId="42" numFmtId="0" xfId="0" applyAlignment="1" applyBorder="1" applyFont="1">
      <alignment horizontal="center" shrinkToFit="0" textRotation="90" vertical="center" wrapText="1"/>
    </xf>
    <xf borderId="27" fillId="14" fontId="42" numFmtId="0" xfId="0" applyAlignment="1" applyBorder="1" applyFont="1">
      <alignment horizontal="center" shrinkToFit="0" textRotation="90" vertical="center" wrapText="1"/>
    </xf>
    <xf borderId="118" fillId="14" fontId="42" numFmtId="0" xfId="0" applyAlignment="1" applyBorder="1" applyFont="1">
      <alignment horizontal="center" shrinkToFit="0" textRotation="90" vertical="center" wrapText="1"/>
    </xf>
    <xf borderId="117" fillId="26" fontId="42" numFmtId="0" xfId="0" applyAlignment="1" applyBorder="1" applyFont="1">
      <alignment horizontal="center" shrinkToFit="0" textRotation="90" vertical="center" wrapText="1"/>
    </xf>
    <xf borderId="27" fillId="26" fontId="42" numFmtId="0" xfId="0" applyAlignment="1" applyBorder="1" applyFont="1">
      <alignment horizontal="center" shrinkToFit="0" textRotation="90" vertical="center" wrapText="1"/>
    </xf>
    <xf borderId="118" fillId="26" fontId="42" numFmtId="0" xfId="0" applyAlignment="1" applyBorder="1" applyFont="1">
      <alignment horizontal="center" shrinkToFit="0" textRotation="90" vertical="center" wrapText="1"/>
    </xf>
    <xf borderId="117" fillId="53" fontId="42" numFmtId="0" xfId="0" applyAlignment="1" applyBorder="1" applyFont="1">
      <alignment horizontal="center" shrinkToFit="0" textRotation="90" vertical="center" wrapText="1"/>
    </xf>
    <xf borderId="27" fillId="53" fontId="42" numFmtId="0" xfId="0" applyAlignment="1" applyBorder="1" applyFont="1">
      <alignment horizontal="center" shrinkToFit="0" textRotation="90" vertical="center" wrapText="1"/>
    </xf>
    <xf borderId="118" fillId="53" fontId="42" numFmtId="0" xfId="0" applyAlignment="1" applyBorder="1" applyFont="1">
      <alignment horizontal="center" shrinkToFit="0" textRotation="90" vertical="center" wrapText="1"/>
    </xf>
    <xf borderId="117" fillId="17" fontId="42" numFmtId="0" xfId="0" applyAlignment="1" applyBorder="1" applyFont="1">
      <alignment horizontal="center" shrinkToFit="0" textRotation="90" vertical="center" wrapText="1"/>
    </xf>
    <xf borderId="27" fillId="17" fontId="42" numFmtId="0" xfId="0" applyAlignment="1" applyBorder="1" applyFont="1">
      <alignment horizontal="center" shrinkToFit="0" textRotation="90" vertical="center" wrapText="1"/>
    </xf>
    <xf borderId="118" fillId="17" fontId="42" numFmtId="0" xfId="0" applyAlignment="1" applyBorder="1" applyFont="1">
      <alignment horizontal="center" shrinkToFit="0" textRotation="90" vertical="center" wrapText="1"/>
    </xf>
    <xf borderId="117" fillId="54" fontId="42" numFmtId="0" xfId="0" applyAlignment="1" applyBorder="1" applyFont="1">
      <alignment horizontal="center" shrinkToFit="0" textRotation="90" vertical="center" wrapText="1"/>
    </xf>
    <xf borderId="27" fillId="54" fontId="42" numFmtId="0" xfId="0" applyAlignment="1" applyBorder="1" applyFont="1">
      <alignment horizontal="center" shrinkToFit="0" textRotation="90" vertical="center" wrapText="1"/>
    </xf>
    <xf borderId="118" fillId="54" fontId="42" numFmtId="0" xfId="0" applyAlignment="1" applyBorder="1" applyFont="1">
      <alignment horizontal="center" shrinkToFit="0" textRotation="90" vertical="center" wrapText="1"/>
    </xf>
    <xf borderId="117" fillId="30" fontId="42" numFmtId="0" xfId="0" applyAlignment="1" applyBorder="1" applyFont="1">
      <alignment horizontal="center" shrinkToFit="0" textRotation="90" vertical="center" wrapText="1"/>
    </xf>
    <xf borderId="27" fillId="30" fontId="42" numFmtId="0" xfId="0" applyAlignment="1" applyBorder="1" applyFont="1">
      <alignment horizontal="center" shrinkToFit="0" textRotation="90" vertical="center" wrapText="1"/>
    </xf>
    <xf borderId="118" fillId="30" fontId="42" numFmtId="0" xfId="0" applyAlignment="1" applyBorder="1" applyFont="1">
      <alignment horizontal="center" shrinkToFit="0" textRotation="90" vertical="center" wrapText="1"/>
    </xf>
    <xf borderId="119" fillId="20" fontId="42" numFmtId="0" xfId="0" applyAlignment="1" applyBorder="1" applyFont="1">
      <alignment horizontal="center" shrinkToFit="0" textRotation="90" vertical="center" wrapText="1"/>
    </xf>
    <xf borderId="26" fillId="20" fontId="42" numFmtId="0" xfId="0" applyAlignment="1" applyBorder="1" applyFont="1">
      <alignment horizontal="center" shrinkToFit="0" textRotation="90" vertical="center" wrapText="1"/>
    </xf>
    <xf borderId="120" fillId="20" fontId="42" numFmtId="0" xfId="0" applyAlignment="1" applyBorder="1" applyFont="1">
      <alignment horizontal="center" shrinkToFit="0" textRotation="90" vertical="center" wrapText="1"/>
    </xf>
    <xf borderId="119" fillId="21" fontId="42" numFmtId="0" xfId="0" applyAlignment="1" applyBorder="1" applyFont="1">
      <alignment horizontal="center" shrinkToFit="0" textRotation="90" vertical="center" wrapText="1"/>
    </xf>
    <xf borderId="26" fillId="21" fontId="42" numFmtId="0" xfId="0" applyAlignment="1" applyBorder="1" applyFont="1">
      <alignment horizontal="center" shrinkToFit="0" textRotation="90" vertical="center" wrapText="1"/>
    </xf>
    <xf borderId="120" fillId="21" fontId="42" numFmtId="0" xfId="0" applyAlignment="1" applyBorder="1" applyFont="1">
      <alignment horizontal="center" shrinkToFit="0" textRotation="90" vertical="center" wrapText="1"/>
    </xf>
    <xf borderId="119" fillId="22" fontId="42" numFmtId="0" xfId="0" applyAlignment="1" applyBorder="1" applyFont="1">
      <alignment horizontal="center" shrinkToFit="0" textRotation="90" vertical="center" wrapText="1"/>
    </xf>
    <xf borderId="26" fillId="22" fontId="42" numFmtId="0" xfId="0" applyAlignment="1" applyBorder="1" applyFont="1">
      <alignment horizontal="center" shrinkToFit="0" textRotation="90" vertical="center" wrapText="1"/>
    </xf>
    <xf borderId="120" fillId="22" fontId="42" numFmtId="0" xfId="0" applyAlignment="1" applyBorder="1" applyFont="1">
      <alignment horizontal="center" shrinkToFit="0" textRotation="90" vertical="center" wrapText="1"/>
    </xf>
    <xf borderId="119" fillId="14" fontId="42" numFmtId="0" xfId="0" applyAlignment="1" applyBorder="1" applyFont="1">
      <alignment horizontal="center" shrinkToFit="0" textRotation="90" vertical="center" wrapText="1"/>
    </xf>
    <xf borderId="26" fillId="14" fontId="42" numFmtId="0" xfId="0" applyAlignment="1" applyBorder="1" applyFont="1">
      <alignment horizontal="center" shrinkToFit="0" textRotation="90" vertical="center" wrapText="1"/>
    </xf>
    <xf borderId="120" fillId="14" fontId="42" numFmtId="0" xfId="0" applyAlignment="1" applyBorder="1" applyFont="1">
      <alignment horizontal="center" shrinkToFit="0" textRotation="90" vertical="center" wrapText="1"/>
    </xf>
    <xf borderId="119" fillId="30" fontId="42" numFmtId="0" xfId="0" applyAlignment="1" applyBorder="1" applyFont="1">
      <alignment horizontal="center" shrinkToFit="0" textRotation="90" vertical="center" wrapText="1"/>
    </xf>
    <xf borderId="26" fillId="30" fontId="42" numFmtId="0" xfId="0" applyAlignment="1" applyBorder="1" applyFont="1">
      <alignment horizontal="center" shrinkToFit="0" textRotation="90" vertical="center" wrapText="1"/>
    </xf>
    <xf borderId="121" fillId="30" fontId="42" numFmtId="0" xfId="0" applyAlignment="1" applyBorder="1" applyFont="1">
      <alignment horizontal="center" shrinkToFit="0" textRotation="90" vertical="center" wrapText="1"/>
    </xf>
    <xf borderId="122" fillId="0" fontId="3" numFmtId="0" xfId="0" applyAlignment="1" applyBorder="1" applyFont="1">
      <alignment vertical="center"/>
    </xf>
    <xf borderId="123" fillId="27" fontId="23" numFmtId="2" xfId="0" applyAlignment="1" applyBorder="1" applyFont="1" applyNumberFormat="1">
      <alignment vertical="bottom"/>
    </xf>
    <xf borderId="124" fillId="27" fontId="23" numFmtId="2" xfId="0" applyAlignment="1" applyBorder="1" applyFont="1" applyNumberFormat="1">
      <alignment vertical="bottom"/>
    </xf>
    <xf borderId="32" fillId="27" fontId="23" numFmtId="2" xfId="0" applyAlignment="1" applyBorder="1" applyFont="1" applyNumberFormat="1">
      <alignment vertical="bottom"/>
    </xf>
    <xf borderId="34" fillId="27" fontId="23" numFmtId="2" xfId="0" applyAlignment="1" applyBorder="1" applyFont="1" applyNumberFormat="1">
      <alignment vertical="bottom"/>
    </xf>
    <xf borderId="51" fillId="27" fontId="23" numFmtId="2" xfId="0" applyAlignment="1" applyBorder="1" applyFont="1" applyNumberFormat="1">
      <alignment vertical="bottom"/>
    </xf>
    <xf borderId="112" fillId="27" fontId="23" numFmtId="2" xfId="0" applyAlignment="1" applyBorder="1" applyFont="1" applyNumberFormat="1">
      <alignment vertical="bottom"/>
    </xf>
    <xf borderId="113" fillId="27" fontId="23" numFmtId="2" xfId="0" applyAlignment="1" applyBorder="1" applyFont="1" applyNumberFormat="1">
      <alignment vertical="bottom"/>
    </xf>
    <xf borderId="125" fillId="27" fontId="23" numFmtId="2" xfId="0" applyAlignment="1" applyBorder="1" applyFont="1" applyNumberFormat="1">
      <alignment vertical="bottom"/>
    </xf>
    <xf borderId="126" fillId="27" fontId="23" numFmtId="2" xfId="0" applyAlignment="1" applyBorder="1" applyFont="1" applyNumberFormat="1">
      <alignment vertical="bottom"/>
    </xf>
    <xf borderId="127" fillId="27" fontId="23" numFmtId="2" xfId="0" applyAlignment="1" applyBorder="1" applyFont="1" applyNumberFormat="1">
      <alignment vertical="bottom"/>
    </xf>
    <xf borderId="128" fillId="27" fontId="23" numFmtId="2" xfId="0" applyAlignment="1" applyBorder="1" applyFont="1" applyNumberFormat="1">
      <alignment vertical="bottom"/>
    </xf>
    <xf borderId="114" fillId="27" fontId="23" numFmtId="2" xfId="0" applyAlignment="1" applyBorder="1" applyFont="1" applyNumberFormat="1">
      <alignment vertical="bottom"/>
    </xf>
    <xf borderId="115" fillId="27" fontId="23" numFmtId="2" xfId="0" applyAlignment="1" applyBorder="1" applyFont="1" applyNumberFormat="1">
      <alignment vertical="bottom"/>
    </xf>
    <xf borderId="116" fillId="27" fontId="23" numFmtId="2" xfId="0" applyAlignment="1" applyBorder="1" applyFont="1" applyNumberFormat="1">
      <alignment vertical="bottom"/>
    </xf>
    <xf borderId="129" fillId="27" fontId="23" numFmtId="2" xfId="0" applyAlignment="1" applyBorder="1" applyFont="1" applyNumberFormat="1">
      <alignment vertical="bottom"/>
    </xf>
    <xf borderId="0" fillId="0" fontId="51" numFmtId="0" xfId="0" applyAlignment="1" applyFont="1">
      <alignment vertical="bottom"/>
    </xf>
    <xf borderId="8" fillId="8" fontId="66" numFmtId="164" xfId="0" applyAlignment="1" applyBorder="1" applyFont="1" applyNumberFormat="1">
      <alignment horizontal="center" shrinkToFit="0" vertical="center" wrapText="1"/>
    </xf>
    <xf borderId="11" fillId="9" fontId="67" numFmtId="0" xfId="0" applyAlignment="1" applyBorder="1" applyFont="1">
      <alignment horizontal="center" shrinkToFit="0" textRotation="90" vertical="center" wrapText="1"/>
    </xf>
    <xf borderId="130" fillId="0" fontId="3" numFmtId="0" xfId="0" applyAlignment="1" applyBorder="1" applyFont="1">
      <alignment vertical="center"/>
    </xf>
    <xf borderId="131" fillId="0" fontId="3" numFmtId="0" xfId="0" applyAlignment="1" applyBorder="1" applyFont="1">
      <alignment vertical="center"/>
    </xf>
    <xf borderId="132" fillId="0" fontId="3" numFmtId="0" xfId="0" applyAlignment="1" applyBorder="1" applyFont="1">
      <alignment vertical="center"/>
    </xf>
  </cellXfs>
  <cellStyles count="1">
    <cellStyle xfId="0" name="Normal" builtinId="0"/>
  </cellStyles>
  <dxfs count="11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FF0000"/>
      </font>
      <fill>
        <patternFill patternType="solid">
          <fgColor rgb="FFFFC7CE"/>
          <bgColor rgb="FFFFC7CE"/>
        </patternFill>
      </fill>
      <border/>
    </dxf>
    <dxf>
      <font>
        <color rgb="FF006666"/>
      </font>
      <fill>
        <patternFill patternType="solid">
          <fgColor rgb="FFC5E0B3"/>
          <bgColor rgb="FFC5E0B3"/>
        </patternFill>
      </fill>
      <border/>
    </dxf>
    <dxf>
      <font>
        <color rgb="FF002060"/>
      </font>
      <fill>
        <patternFill patternType="solid">
          <fgColor rgb="FFBDD6EE"/>
          <bgColor rgb="FFBDD6EE"/>
        </patternFill>
      </fill>
      <border/>
    </dxf>
    <dxf>
      <font>
        <color rgb="FFFF0000"/>
      </font>
      <fill>
        <patternFill patternType="solid">
          <fgColor rgb="FFFBE4D5"/>
          <bgColor rgb="FFFBE4D5"/>
        </patternFill>
      </fill>
      <border/>
    </dxf>
    <dxf>
      <font>
        <color rgb="FF7F6000"/>
      </font>
      <fill>
        <patternFill patternType="solid">
          <fgColor rgb="FFFEF2CB"/>
          <bgColor rgb="FFFEF2CB"/>
        </patternFill>
      </fill>
      <border/>
    </dxf>
    <dxf>
      <font>
        <color rgb="FF2F5496"/>
      </font>
      <fill>
        <patternFill patternType="solid">
          <fgColor rgb="FFD7E1FF"/>
          <bgColor rgb="FFD7E1FF"/>
        </patternFill>
      </fill>
      <border/>
    </dxf>
    <dxf>
      <font>
        <color rgb="FFFFFFFF"/>
      </font>
      <fill>
        <patternFill patternType="none"/>
      </fill>
      <border/>
    </dxf>
    <dxf>
      <font>
        <color rgb="FF002060"/>
      </font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63075" cy="828675"/>
    <xdr:grpSp>
      <xdr:nvGrpSpPr>
        <xdr:cNvPr id="2" name="Shape 2"/>
        <xdr:cNvGrpSpPr/>
      </xdr:nvGrpSpPr>
      <xdr:grpSpPr>
        <a:xfrm>
          <a:off x="664463" y="3365663"/>
          <a:ext cx="9363075" cy="828675"/>
          <a:chOff x="664463" y="3365663"/>
          <a:chExt cx="9363075" cy="828675"/>
        </a:xfrm>
      </xdr:grpSpPr>
      <xdr:grpSp>
        <xdr:nvGrpSpPr>
          <xdr:cNvPr id="3" name="Shape 3"/>
          <xdr:cNvGrpSpPr/>
        </xdr:nvGrpSpPr>
        <xdr:grpSpPr>
          <a:xfrm>
            <a:off x="664463" y="3365663"/>
            <a:ext cx="9363075" cy="828675"/>
            <a:chOff x="664463" y="3365663"/>
            <a:chExt cx="9363075" cy="828675"/>
          </a:xfrm>
        </xdr:grpSpPr>
        <xdr:sp>
          <xdr:nvSpPr>
            <xdr:cNvPr id="4" name="Shape 4"/>
            <xdr:cNvSpPr/>
          </xdr:nvSpPr>
          <xdr:spPr>
            <a:xfrm>
              <a:off x="664463" y="3365663"/>
              <a:ext cx="9363075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664463" y="3365663"/>
              <a:ext cx="9363075" cy="828675"/>
              <a:chOff x="664463" y="3365663"/>
              <a:chExt cx="9363075" cy="828675"/>
            </a:xfrm>
          </xdr:grpSpPr>
          <xdr:sp>
            <xdr:nvSpPr>
              <xdr:cNvPr id="6" name="Shape 6"/>
              <xdr:cNvSpPr/>
            </xdr:nvSpPr>
            <xdr:spPr>
              <a:xfrm>
                <a:off x="664463" y="3365663"/>
                <a:ext cx="9363075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64463" y="3365663"/>
                <a:ext cx="9363075" cy="828675"/>
                <a:chOff x="369188" y="3360900"/>
                <a:chExt cx="9953625" cy="8382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69188" y="3360900"/>
                  <a:ext cx="9953625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69188" y="3360900"/>
                  <a:ext cx="9953625" cy="838200"/>
                  <a:chOff x="192975" y="3356138"/>
                  <a:chExt cx="10306050" cy="84772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92975" y="3356138"/>
                    <a:ext cx="1030605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192975" y="3356138"/>
                    <a:ext cx="10306050" cy="847725"/>
                    <a:chOff x="0" y="-1"/>
                    <a:chExt cx="8599670" cy="553899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" name="Shape 1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4" name="Shape 1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5" name="Shape 1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6" name="Shape 1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0</xdr:row>
      <xdr:rowOff>66675</xdr:rowOff>
    </xdr:from>
    <xdr:ext cx="9344025" cy="828675"/>
    <xdr:grpSp>
      <xdr:nvGrpSpPr>
        <xdr:cNvPr id="2" name="Shape 2"/>
        <xdr:cNvGrpSpPr/>
      </xdr:nvGrpSpPr>
      <xdr:grpSpPr>
        <a:xfrm>
          <a:off x="673988" y="3365663"/>
          <a:ext cx="9344025" cy="828675"/>
          <a:chOff x="673988" y="3365663"/>
          <a:chExt cx="9344025" cy="828675"/>
        </a:xfrm>
      </xdr:grpSpPr>
      <xdr:grpSp>
        <xdr:nvGrpSpPr>
          <xdr:cNvPr id="17" name="Shape 17"/>
          <xdr:cNvGrpSpPr/>
        </xdr:nvGrpSpPr>
        <xdr:grpSpPr>
          <a:xfrm>
            <a:off x="673988" y="3365663"/>
            <a:ext cx="9344025" cy="828675"/>
            <a:chOff x="673988" y="3365663"/>
            <a:chExt cx="9344025" cy="828675"/>
          </a:xfrm>
        </xdr:grpSpPr>
        <xdr:sp>
          <xdr:nvSpPr>
            <xdr:cNvPr id="4" name="Shape 4"/>
            <xdr:cNvSpPr/>
          </xdr:nvSpPr>
          <xdr:spPr>
            <a:xfrm>
              <a:off x="673988" y="3365663"/>
              <a:ext cx="9344025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673988" y="3365663"/>
              <a:ext cx="9344025" cy="828675"/>
              <a:chOff x="673988" y="3365663"/>
              <a:chExt cx="9344025" cy="828675"/>
            </a:xfrm>
          </xdr:grpSpPr>
          <xdr:sp>
            <xdr:nvSpPr>
              <xdr:cNvPr id="19" name="Shape 19"/>
              <xdr:cNvSpPr/>
            </xdr:nvSpPr>
            <xdr:spPr>
              <a:xfrm>
                <a:off x="673988" y="3365663"/>
                <a:ext cx="9344025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" name="Shape 20"/>
              <xdr:cNvGrpSpPr/>
            </xdr:nvGrpSpPr>
            <xdr:grpSpPr>
              <a:xfrm>
                <a:off x="673988" y="3365663"/>
                <a:ext cx="9344025" cy="828675"/>
                <a:chOff x="350138" y="3360900"/>
                <a:chExt cx="9991725" cy="838200"/>
              </a:xfrm>
            </xdr:grpSpPr>
            <xdr:sp>
              <xdr:nvSpPr>
                <xdr:cNvPr id="21" name="Shape 21"/>
                <xdr:cNvSpPr/>
              </xdr:nvSpPr>
              <xdr:spPr>
                <a:xfrm>
                  <a:off x="350138" y="3360900"/>
                  <a:ext cx="9991725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2" name="Shape 22"/>
                <xdr:cNvGrpSpPr/>
              </xdr:nvGrpSpPr>
              <xdr:grpSpPr>
                <a:xfrm>
                  <a:off x="350138" y="3360900"/>
                  <a:ext cx="9991725" cy="838200"/>
                  <a:chOff x="121538" y="3356138"/>
                  <a:chExt cx="10448925" cy="847725"/>
                </a:xfrm>
              </xdr:grpSpPr>
              <xdr:sp>
                <xdr:nvSpPr>
                  <xdr:cNvPr id="23" name="Shape 23"/>
                  <xdr:cNvSpPr/>
                </xdr:nvSpPr>
                <xdr:spPr>
                  <a:xfrm>
                    <a:off x="121538" y="3356138"/>
                    <a:ext cx="10448925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4" name="Shape 24"/>
                  <xdr:cNvGrpSpPr/>
                </xdr:nvGrpSpPr>
                <xdr:grpSpPr>
                  <a:xfrm>
                    <a:off x="121538" y="3356138"/>
                    <a:ext cx="10448925" cy="847725"/>
                    <a:chOff x="0" y="-1"/>
                    <a:chExt cx="8599670" cy="553899"/>
                  </a:xfrm>
                </xdr:grpSpPr>
                <xdr:sp>
                  <xdr:nvSpPr>
                    <xdr:cNvPr id="25" name="Shape 25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6" name="Shape 26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7" name="Shape 2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8" name="Shape 2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9" name="Shape 29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54</xdr:col>
      <xdr:colOff>0</xdr:colOff>
      <xdr:row>0</xdr:row>
      <xdr:rowOff>66675</xdr:rowOff>
    </xdr:from>
    <xdr:ext cx="8953500" cy="828675"/>
    <xdr:grpSp>
      <xdr:nvGrpSpPr>
        <xdr:cNvPr id="2" name="Shape 2"/>
        <xdr:cNvGrpSpPr/>
      </xdr:nvGrpSpPr>
      <xdr:grpSpPr>
        <a:xfrm>
          <a:off x="869250" y="3365663"/>
          <a:ext cx="8953500" cy="828675"/>
          <a:chOff x="869250" y="3365663"/>
          <a:chExt cx="8953500" cy="828675"/>
        </a:xfrm>
      </xdr:grpSpPr>
      <xdr:grpSp>
        <xdr:nvGrpSpPr>
          <xdr:cNvPr id="30" name="Shape 30"/>
          <xdr:cNvGrpSpPr/>
        </xdr:nvGrpSpPr>
        <xdr:grpSpPr>
          <a:xfrm>
            <a:off x="869250" y="3365663"/>
            <a:ext cx="8953500" cy="828675"/>
            <a:chOff x="869250" y="3365663"/>
            <a:chExt cx="8953500" cy="828675"/>
          </a:xfrm>
        </xdr:grpSpPr>
        <xdr:sp>
          <xdr:nvSpPr>
            <xdr:cNvPr id="4" name="Shape 4"/>
            <xdr:cNvSpPr/>
          </xdr:nvSpPr>
          <xdr:spPr>
            <a:xfrm>
              <a:off x="869250" y="3365663"/>
              <a:ext cx="89535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" name="Shape 31"/>
            <xdr:cNvGrpSpPr/>
          </xdr:nvGrpSpPr>
          <xdr:grpSpPr>
            <a:xfrm>
              <a:off x="869250" y="3365663"/>
              <a:ext cx="8953500" cy="828675"/>
              <a:chOff x="869250" y="3365663"/>
              <a:chExt cx="8953500" cy="828675"/>
            </a:xfrm>
          </xdr:grpSpPr>
          <xdr:sp>
            <xdr:nvSpPr>
              <xdr:cNvPr id="32" name="Shape 32"/>
              <xdr:cNvSpPr/>
            </xdr:nvSpPr>
            <xdr:spPr>
              <a:xfrm>
                <a:off x="869250" y="3365663"/>
                <a:ext cx="89535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" name="Shape 33"/>
              <xdr:cNvGrpSpPr/>
            </xdr:nvGrpSpPr>
            <xdr:grpSpPr>
              <a:xfrm>
                <a:off x="869250" y="3365663"/>
                <a:ext cx="8953500" cy="828675"/>
                <a:chOff x="621600" y="3360900"/>
                <a:chExt cx="9448800" cy="838200"/>
              </a:xfrm>
            </xdr:grpSpPr>
            <xdr:sp>
              <xdr:nvSpPr>
                <xdr:cNvPr id="34" name="Shape 34"/>
                <xdr:cNvSpPr/>
              </xdr:nvSpPr>
              <xdr:spPr>
                <a:xfrm>
                  <a:off x="621600" y="3360900"/>
                  <a:ext cx="94488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5" name="Shape 35"/>
                <xdr:cNvGrpSpPr/>
              </xdr:nvGrpSpPr>
              <xdr:grpSpPr>
                <a:xfrm>
                  <a:off x="621600" y="3360900"/>
                  <a:ext cx="9448800" cy="838200"/>
                  <a:chOff x="459675" y="3356138"/>
                  <a:chExt cx="9772650" cy="847725"/>
                </a:xfrm>
              </xdr:grpSpPr>
              <xdr:sp>
                <xdr:nvSpPr>
                  <xdr:cNvPr id="36" name="Shape 36"/>
                  <xdr:cNvSpPr/>
                </xdr:nvSpPr>
                <xdr:spPr>
                  <a:xfrm>
                    <a:off x="459675" y="3356138"/>
                    <a:ext cx="977265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7" name="Shape 37"/>
                  <xdr:cNvGrpSpPr/>
                </xdr:nvGrpSpPr>
                <xdr:grpSpPr>
                  <a:xfrm>
                    <a:off x="459675" y="3356138"/>
                    <a:ext cx="9772650" cy="847725"/>
                    <a:chOff x="0" y="-1"/>
                    <a:chExt cx="8599670" cy="553899"/>
                  </a:xfrm>
                </xdr:grpSpPr>
                <xdr:sp>
                  <xdr:nvSpPr>
                    <xdr:cNvPr id="38" name="Shape 38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9" name="Shape 39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0" name="Shape 4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1" name="Shape 4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2" name="Shape 42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10001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762000</xdr:colOff>
      <xdr:row>0</xdr:row>
      <xdr:rowOff>209550</xdr:rowOff>
    </xdr:from>
    <xdr:ext cx="8763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0</xdr:row>
      <xdr:rowOff>247650</xdr:rowOff>
    </xdr:from>
    <xdr:ext cx="12668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762000</xdr:colOff>
      <xdr:row>0</xdr:row>
      <xdr:rowOff>209550</xdr:rowOff>
    </xdr:from>
    <xdr:ext cx="8667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171450</xdr:colOff>
      <xdr:row>0</xdr:row>
      <xdr:rowOff>247650</xdr:rowOff>
    </xdr:from>
    <xdr:ext cx="12668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247650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180975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333375</xdr:colOff>
      <xdr:row>0</xdr:row>
      <xdr:rowOff>114300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43" name="Shape 4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" name="Shape 4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45" name="Shape 4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6" name="Shape 4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47" name="Shape 4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8" name="Shape 4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49" name="Shape 4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0" name="Shape 5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1" name="Shape 5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2" name="Shape 5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3" name="Shape 5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4" name="Shape 5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5" name="Shape 5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6" name="Shape 5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" name="Shape 5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8" name="Shape 5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9" name="Shape 5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60" name="Shape 6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1" name="Shape 6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62" name="Shape 6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3" name="Shape 6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64" name="Shape 6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5" name="Shape 6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6" name="Shape 6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7" name="Shape 6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8" name="Shape 6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69" name="Shape 6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" name="Shape 7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1" name="Shape 7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2" name="Shape 7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3" name="Shape 7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4" name="Shape 7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5" name="Shape 7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6" name="Shape 7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7" name="Shape 7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8" name="Shape 7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9" name="Shape 7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0" name="Shape 8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1" name="Shape 8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82" name="Shape 8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3" name="Shape 8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84" name="Shape 8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5" name="Shape 8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86" name="Shape 8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7" name="Shape 8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88" name="Shape 8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9" name="Shape 8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90" name="Shape 9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1" name="Shape 9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2" name="Shape 9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3" name="Shape 9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4" name="Shape 9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95" name="Shape 9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6" name="Shape 9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97" name="Shape 9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8" name="Shape 9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99" name="Shape 9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0" name="Shape 10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101" name="Shape 10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2" name="Shape 10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103" name="Shape 10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4" name="Shape 10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5" name="Shape 10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6" name="Shape 10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7" name="Shape 10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285750</xdr:colOff>
      <xdr:row>0</xdr:row>
      <xdr:rowOff>171450</xdr:rowOff>
    </xdr:from>
    <xdr:ext cx="7905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0</xdr:row>
      <xdr:rowOff>180975</xdr:rowOff>
    </xdr:from>
    <xdr:ext cx="8096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219075</xdr:colOff>
      <xdr:row>0</xdr:row>
      <xdr:rowOff>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238125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561975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904875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685800" cy="8477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08" name="Shape 10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9" name="Shape 10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10" name="Shape 11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1" name="Shape 11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12" name="Shape 11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13" name="Shape 11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14" name="Shape 11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5" name="Shape 11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16" name="Shape 11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17" name="Shape 11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18" name="Shape 11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19" name="Shape 11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20" name="Shape 12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0140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21" name="Shape 12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2" name="Shape 12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23" name="Shape 12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4" name="Shape 12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25" name="Shape 12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26" name="Shape 12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27" name="Shape 12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28" name="Shape 12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29" name="Shape 12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0" name="Shape 13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1" name="Shape 13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2" name="Shape 13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3" name="Shape 13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34" name="Shape 13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5" name="Shape 13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36" name="Shape 13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7" name="Shape 13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38" name="Shape 13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39" name="Shape 13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40" name="Shape 14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41" name="Shape 14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42" name="Shape 14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43" name="Shape 14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44" name="Shape 14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45" name="Shape 14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46" name="Shape 14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147" name="Shape 14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8" name="Shape 14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149" name="Shape 14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0" name="Shape 15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151" name="Shape 15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2" name="Shape 15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153" name="Shape 15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54" name="Shape 15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155" name="Shape 15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56" name="Shape 15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57" name="Shape 15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58" name="Shape 15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59" name="Shape 15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160" name="Shape 16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1" name="Shape 16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162" name="Shape 16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63" name="Shape 16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164" name="Shape 16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65" name="Shape 16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166" name="Shape 16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67" name="Shape 16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168" name="Shape 16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69" name="Shape 16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70" name="Shape 17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71" name="Shape 17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72" name="Shape 17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7905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276225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247650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180975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838200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73" name="Shape 17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4" name="Shape 17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75" name="Shape 17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6" name="Shape 17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77" name="Shape 17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78" name="Shape 17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79" name="Shape 17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80" name="Shape 18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81" name="Shape 18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82" name="Shape 18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83" name="Shape 18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84" name="Shape 18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85" name="Shape 18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86" name="Shape 18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7" name="Shape 18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88" name="Shape 18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9" name="Shape 18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90" name="Shape 19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1" name="Shape 19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92" name="Shape 19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93" name="Shape 19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94" name="Shape 19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95" name="Shape 19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96" name="Shape 19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97" name="Shape 19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98" name="Shape 19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99" name="Shape 19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0" name="Shape 20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201" name="Shape 20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2" name="Shape 20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203" name="Shape 20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04" name="Shape 20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205" name="Shape 20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06" name="Shape 20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207" name="Shape 20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08" name="Shape 20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09" name="Shape 20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10" name="Shape 21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11" name="Shape 21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212" name="Shape 21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3" name="Shape 21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214" name="Shape 21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5" name="Shape 21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216" name="Shape 21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17" name="Shape 21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218" name="Shape 21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19" name="Shape 21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220" name="Shape 22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21" name="Shape 22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22" name="Shape 22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23" name="Shape 22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24" name="Shape 22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225" name="Shape 22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6" name="Shape 22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227" name="Shape 22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8" name="Shape 22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229" name="Shape 22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30" name="Shape 23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231" name="Shape 23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32" name="Shape 23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233" name="Shape 23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34" name="Shape 23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35" name="Shape 23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36" name="Shape 23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37" name="Shape 23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247650</xdr:colOff>
      <xdr:row>0</xdr:row>
      <xdr:rowOff>276225</xdr:rowOff>
    </xdr:from>
    <xdr:ext cx="790575" cy="1905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257175</xdr:colOff>
      <xdr:row>0</xdr:row>
      <xdr:rowOff>19050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190500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209550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771525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238" name="Shape 23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9" name="Shape 23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240" name="Shape 24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1" name="Shape 24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242" name="Shape 24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3" name="Shape 24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244" name="Shape 24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45" name="Shape 24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246" name="Shape 24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47" name="Shape 24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48" name="Shape 24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49" name="Shape 24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50" name="Shape 25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251" name="Shape 25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2" name="Shape 25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253" name="Shape 25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4" name="Shape 25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255" name="Shape 25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56" name="Shape 25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257" name="Shape 25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58" name="Shape 25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259" name="Shape 25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60" name="Shape 26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61" name="Shape 26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62" name="Shape 26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63" name="Shape 26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264" name="Shape 26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5" name="Shape 26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266" name="Shape 26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7" name="Shape 26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268" name="Shape 26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69" name="Shape 26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270" name="Shape 27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71" name="Shape 27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272" name="Shape 27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73" name="Shape 27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74" name="Shape 27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75" name="Shape 27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76" name="Shape 27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89</xdr:col>
      <xdr:colOff>190500</xdr:colOff>
      <xdr:row>0</xdr:row>
      <xdr:rowOff>152400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277" name="Shape 27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8" name="Shape 278" title="Drawing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279" name="Shape 27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0" name="Shape 28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281" name="Shape 28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82" name="Shape 28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283" name="Shape 28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84" name="Shape 28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285" name="Shape 28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86" name="Shape 28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87" name="Shape 28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88" name="Shape 28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89" name="Shape 28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290" name="Shape 29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1" name="Shape 29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292" name="Shape 29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3" name="Shape 29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294" name="Shape 29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95" name="Shape 29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296" name="Shape 29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97" name="Shape 29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298" name="Shape 29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99" name="Shape 29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00" name="Shape 30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01" name="Shape 30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02" name="Shape 30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7905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285750</xdr:colOff>
      <xdr:row>0</xdr:row>
      <xdr:rowOff>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133350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200025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361950</xdr:colOff>
      <xdr:row>0</xdr:row>
      <xdr:rowOff>95250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781050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591925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03" name="Shape 30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4" name="Shape 30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05" name="Shape 30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6" name="Shape 30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07" name="Shape 30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08" name="Shape 30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309" name="Shape 30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10" name="Shape 31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311" name="Shape 31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12" name="Shape 31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13" name="Shape 31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14" name="Shape 31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15" name="Shape 31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16" name="Shape 31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7" name="Shape 31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18" name="Shape 31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9" name="Shape 31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20" name="Shape 32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21" name="Shape 32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322" name="Shape 32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23" name="Shape 32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324" name="Shape 32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25" name="Shape 32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26" name="Shape 32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27" name="Shape 32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28" name="Shape 32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59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29" name="Shape 32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0" name="Shape 33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31" name="Shape 33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2" name="Shape 33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33" name="Shape 33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34" name="Shape 33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335" name="Shape 33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36" name="Shape 33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337" name="Shape 33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38" name="Shape 33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39" name="Shape 33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40" name="Shape 34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41" name="Shape 34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89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342" name="Shape 34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3" name="Shape 34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344" name="Shape 34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45" name="Shape 34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346" name="Shape 34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47" name="Shape 34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348" name="Shape 34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49" name="Shape 34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350" name="Shape 35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51" name="Shape 35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52" name="Shape 35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53" name="Shape 35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54" name="Shape 35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100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355" name="Shape 35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6" name="Shape 35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357" name="Shape 35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58" name="Shape 35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359" name="Shape 35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60" name="Shape 36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361" name="Shape 36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62" name="Shape 36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363" name="Shape 36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64" name="Shape 36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65" name="Shape 36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66" name="Shape 36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67" name="Shape 36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200025</xdr:colOff>
      <xdr:row>0</xdr:row>
      <xdr:rowOff>171450</xdr:rowOff>
    </xdr:from>
    <xdr:ext cx="762000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180975</xdr:rowOff>
    </xdr:from>
    <xdr:ext cx="8858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89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102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381000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152400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209550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96</xdr:col>
      <xdr:colOff>95250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809625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68" name="Shape 36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9" name="Shape 36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70" name="Shape 37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1" name="Shape 37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72" name="Shape 37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73" name="Shape 37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374" name="Shape 37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75" name="Shape 37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376" name="Shape 37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77" name="Shape 37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78" name="Shape 37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79" name="Shape 37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80" name="Shape 38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81" name="Shape 38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2" name="Shape 38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83" name="Shape 38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84" name="Shape 38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85" name="Shape 38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86" name="Shape 38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387" name="Shape 38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88" name="Shape 38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389" name="Shape 38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90" name="Shape 39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91" name="Shape 39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392" name="Shape 39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93" name="Shape 39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394" name="Shape 39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5" name="Shape 39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396" name="Shape 39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7" name="Shape 39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398" name="Shape 39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9" name="Shape 39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400" name="Shape 40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01" name="Shape 40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402" name="Shape 40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03" name="Shape 40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04" name="Shape 40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05" name="Shape 40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06" name="Shape 40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407" name="Shape 40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8" name="Shape 40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409" name="Shape 40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0" name="Shape 41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411" name="Shape 41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12" name="Shape 41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413" name="Shape 41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4" name="Shape 41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415" name="Shape 41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16" name="Shape 41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17" name="Shape 41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18" name="Shape 41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19" name="Shape 41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420" name="Shape 42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1" name="Shape 42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422" name="Shape 42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23" name="Shape 42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424" name="Shape 42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25" name="Shape 42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426" name="Shape 42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27" name="Shape 42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428" name="Shape 42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29" name="Shape 42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30" name="Shape 43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31" name="Shape 43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32" name="Shape 43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76200</xdr:colOff>
      <xdr:row>0</xdr:row>
      <xdr:rowOff>257175</xdr:rowOff>
    </xdr:from>
    <xdr:ext cx="7905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295275</xdr:rowOff>
    </xdr:from>
    <xdr:ext cx="8096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276225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152400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171450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371475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838200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433" name="Shape 43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4" name="Shape 43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435" name="Shape 43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6" name="Shape 43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437" name="Shape 43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38" name="Shape 43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439" name="Shape 43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40" name="Shape 44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441" name="Shape 44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42" name="Shape 44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43" name="Shape 44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44" name="Shape 44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45" name="Shape 44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446" name="Shape 44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7" name="Shape 44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448" name="Shape 44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9" name="Shape 44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450" name="Shape 45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51" name="Shape 45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452" name="Shape 45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53" name="Shape 45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454" name="Shape 45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55" name="Shape 45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56" name="Shape 45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57" name="Shape 45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58" name="Shape 45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459" name="Shape 45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0" name="Shape 46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461" name="Shape 46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62" name="Shape 46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463" name="Shape 46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64" name="Shape 46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465" name="Shape 46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66" name="Shape 46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467" name="Shape 46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68" name="Shape 46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69" name="Shape 46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70" name="Shape 47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71" name="Shape 47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472" name="Shape 47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3" name="Shape 47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474" name="Shape 47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75" name="Shape 47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476" name="Shape 47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77" name="Shape 47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478" name="Shape 47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79" name="Shape 47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480" name="Shape 48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81" name="Shape 48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82" name="Shape 48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83" name="Shape 48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84" name="Shape 48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485" name="Shape 48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6" name="Shape 48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487" name="Shape 48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88" name="Shape 48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489" name="Shape 48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90" name="Shape 49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491" name="Shape 49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92" name="Shape 49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493" name="Shape 49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94" name="Shape 49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95" name="Shape 49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496" name="Shape 49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97" name="Shape 49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7905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123825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161925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533400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933450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714375" cy="8667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498" name="Shape 49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9" name="Shape 49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00" name="Shape 50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01" name="Shape 50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02" name="Shape 50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03" name="Shape 50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04" name="Shape 50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05" name="Shape 50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06" name="Shape 50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07" name="Shape 50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08" name="Shape 50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09" name="Shape 50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10" name="Shape 51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11" name="Shape 51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2" name="Shape 51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13" name="Shape 51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14" name="Shape 51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15" name="Shape 51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16" name="Shape 51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17" name="Shape 51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18" name="Shape 51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19" name="Shape 51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20" name="Shape 52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21" name="Shape 52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22" name="Shape 52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23" name="Shape 52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24" name="Shape 52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5" name="Shape 52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26" name="Shape 52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27" name="Shape 52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28" name="Shape 52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29" name="Shape 52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30" name="Shape 53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31" name="Shape 53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32" name="Shape 53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33" name="Shape 53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34" name="Shape 53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35" name="Shape 53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36" name="Shape 53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537" name="Shape 53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8" name="Shape 53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539" name="Shape 53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40" name="Shape 54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541" name="Shape 54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42" name="Shape 54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543" name="Shape 54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44" name="Shape 54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545" name="Shape 54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46" name="Shape 54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47" name="Shape 54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48" name="Shape 54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49" name="Shape 54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550" name="Shape 55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1" name="Shape 55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552" name="Shape 55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53" name="Shape 55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554" name="Shape 55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55" name="Shape 55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556" name="Shape 55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57" name="Shape 55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558" name="Shape 55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59" name="Shape 55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60" name="Shape 56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61" name="Shape 56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62" name="Shape 56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495300</xdr:colOff>
      <xdr:row>0</xdr:row>
      <xdr:rowOff>66675</xdr:rowOff>
    </xdr:from>
    <xdr:ext cx="7905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285750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209550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190500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723900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638175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63" name="Shape 56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4" name="Shape 56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65" name="Shape 56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66" name="Shape 56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67" name="Shape 56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68" name="Shape 56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69" name="Shape 56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70" name="Shape 57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71" name="Shape 57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72" name="Shape 57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73" name="Shape 57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74" name="Shape 57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75" name="Shape 57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76" name="Shape 57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7" name="Shape 57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78" name="Shape 57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79" name="Shape 57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80" name="Shape 58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81" name="Shape 58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82" name="Shape 58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83" name="Shape 58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84" name="Shape 58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85" name="Shape 58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86" name="Shape 58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87" name="Shape 58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88" name="Shape 58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589" name="Shape 58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0" name="Shape 59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591" name="Shape 59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92" name="Shape 59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593" name="Shape 59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94" name="Shape 59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595" name="Shape 59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96" name="Shape 59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597" name="Shape 59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98" name="Shape 59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599" name="Shape 59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00" name="Shape 60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01" name="Shape 60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602" name="Shape 60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3" name="Shape 60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604" name="Shape 60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05" name="Shape 60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606" name="Shape 60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07" name="Shape 60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608" name="Shape 60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09" name="Shape 60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610" name="Shape 61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11" name="Shape 61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12" name="Shape 61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13" name="Shape 61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14" name="Shape 61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615" name="Shape 61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6" name="Shape 61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617" name="Shape 61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18" name="Shape 61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619" name="Shape 61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20" name="Shape 62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621" name="Shape 62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22" name="Shape 62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623" name="Shape 62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24" name="Shape 62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25" name="Shape 62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26" name="Shape 62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27" name="Shape 62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857250</xdr:colOff>
      <xdr:row>0</xdr:row>
      <xdr:rowOff>171450</xdr:rowOff>
    </xdr:from>
    <xdr:ext cx="10572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171450</xdr:rowOff>
    </xdr:from>
    <xdr:ext cx="933450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1562100</xdr:colOff>
      <xdr:row>0</xdr:row>
      <xdr:rowOff>257175</xdr:rowOff>
    </xdr:from>
    <xdr:ext cx="119062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102</xdr:col>
      <xdr:colOff>523875</xdr:colOff>
      <xdr:row>0</xdr:row>
      <xdr:rowOff>247650</xdr:rowOff>
    </xdr:from>
    <xdr:ext cx="1200150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114300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190500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571500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1019175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714375" cy="8667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628" name="Shape 62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9" name="Shape 62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630" name="Shape 63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31" name="Shape 63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632" name="Shape 63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33" name="Shape 63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634" name="Shape 63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35" name="Shape 63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636" name="Shape 63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37" name="Shape 63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38" name="Shape 63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39" name="Shape 63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40" name="Shape 64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641" name="Shape 64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2" name="Shape 64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643" name="Shape 64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44" name="Shape 64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645" name="Shape 64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46" name="Shape 64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647" name="Shape 64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48" name="Shape 64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649" name="Shape 64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50" name="Shape 65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51" name="Shape 65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52" name="Shape 65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53" name="Shape 65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654" name="Shape 65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5" name="Shape 65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656" name="Shape 65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57" name="Shape 65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658" name="Shape 65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59" name="Shape 65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660" name="Shape 66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61" name="Shape 66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662" name="Shape 66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63" name="Shape 66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64" name="Shape 66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65" name="Shape 66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66" name="Shape 66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667" name="Shape 66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8" name="Shape 66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669" name="Shape 66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0" name="Shape 67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671" name="Shape 67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72" name="Shape 67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673" name="Shape 67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74" name="Shape 67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675" name="Shape 67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76" name="Shape 67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77" name="Shape 67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78" name="Shape 67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79" name="Shape 67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680" name="Shape 68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1" name="Shape 68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682" name="Shape 68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83" name="Shape 68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684" name="Shape 68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85" name="Shape 68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686" name="Shape 68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87" name="Shape 68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688" name="Shape 68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89" name="Shape 68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90" name="Shape 69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691" name="Shape 69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92" name="Shape 69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1409700</xdr:colOff>
      <xdr:row>0</xdr:row>
      <xdr:rowOff>38100</xdr:rowOff>
    </xdr:from>
    <xdr:ext cx="2247900" cy="7239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180975</xdr:rowOff>
    </xdr:from>
    <xdr:ext cx="16097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304800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171450</xdr:colOff>
      <xdr:row>0</xdr:row>
      <xdr:rowOff>28575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561975</xdr:colOff>
      <xdr:row>0</xdr:row>
      <xdr:rowOff>57150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895350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714375" cy="8667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66675</xdr:rowOff>
    </xdr:from>
    <xdr:ext cx="11649075" cy="828675"/>
    <xdr:grpSp>
      <xdr:nvGrpSpPr>
        <xdr:cNvPr id="2" name="Shape 2" title="Dibujo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693" name="Shape 69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94" name="Shape 69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695" name="Shape 69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96" name="Shape 69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697" name="Shape 69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98" name="Shape 69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699" name="Shape 69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00" name="Shape 70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01" name="Shape 70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02" name="Shape 70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03" name="Shape 70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04" name="Shape 70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05" name="Shape 70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706" name="Shape 70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7" name="Shape 70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08" name="Shape 70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09" name="Shape 70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10" name="Shape 71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11" name="Shape 71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12" name="Shape 71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13" name="Shape 71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14" name="Shape 71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15" name="Shape 71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16" name="Shape 71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17" name="Shape 71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18" name="Shape 71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719" name="Shape 71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0" name="Shape 72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21" name="Shape 72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22" name="Shape 72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23" name="Shape 72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24" name="Shape 72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25" name="Shape 72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26" name="Shape 72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27" name="Shape 72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28" name="Shape 72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29" name="Shape 72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30" name="Shape 73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31" name="Shape 73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732" name="Shape 73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33" name="Shape 73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734" name="Shape 73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35" name="Shape 73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736" name="Shape 73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37" name="Shape 73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738" name="Shape 73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39" name="Shape 73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740" name="Shape 74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41" name="Shape 74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42" name="Shape 74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43" name="Shape 74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44" name="Shape 74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745" name="Shape 74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46" name="Shape 74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747" name="Shape 74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48" name="Shape 74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749" name="Shape 74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50" name="Shape 75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751" name="Shape 75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52" name="Shape 75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753" name="Shape 75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54" name="Shape 75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55" name="Shape 75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56" name="Shape 75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57" name="Shape 75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228600</xdr:colOff>
      <xdr:row>0</xdr:row>
      <xdr:rowOff>171450</xdr:rowOff>
    </xdr:from>
    <xdr:ext cx="77152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180975</xdr:rowOff>
    </xdr:from>
    <xdr:ext cx="8096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123825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190500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171450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895350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758" name="Shape 75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9" name="Shape 75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60" name="Shape 76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61" name="Shape 76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62" name="Shape 76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63" name="Shape 76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64" name="Shape 76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65" name="Shape 76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66" name="Shape 76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67" name="Shape 76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68" name="Shape 76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69" name="Shape 76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70" name="Shape 77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771" name="Shape 77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72" name="Shape 77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73" name="Shape 77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74" name="Shape 77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75" name="Shape 77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76" name="Shape 77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77" name="Shape 77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78" name="Shape 77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79" name="Shape 77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80" name="Shape 78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81" name="Shape 78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82" name="Shape 78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83" name="Shape 78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784" name="Shape 78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85" name="Shape 78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786" name="Shape 78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87" name="Shape 78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788" name="Shape 78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89" name="Shape 78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790" name="Shape 79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91" name="Shape 79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792" name="Shape 79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93" name="Shape 79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94" name="Shape 79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795" name="Shape 79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96" name="Shape 79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797" name="Shape 79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98" name="Shape 79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799" name="Shape 79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00" name="Shape 80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801" name="Shape 80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02" name="Shape 80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803" name="Shape 80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04" name="Shape 80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805" name="Shape 80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06" name="Shape 80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07" name="Shape 80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08" name="Shape 80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09" name="Shape 80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810" name="Shape 81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11" name="Shape 81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812" name="Shape 81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13" name="Shape 81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814" name="Shape 81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15" name="Shape 81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816" name="Shape 81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17" name="Shape 81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818" name="Shape 81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19" name="Shape 81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20" name="Shape 82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21" name="Shape 82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22" name="Shape 82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180975</xdr:colOff>
      <xdr:row>0</xdr:row>
      <xdr:rowOff>247650</xdr:rowOff>
    </xdr:from>
    <xdr:ext cx="10572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323850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161925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523875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1019175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823" name="Shape 82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24" name="Shape 82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825" name="Shape 82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26" name="Shape 82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827" name="Shape 82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28" name="Shape 82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829" name="Shape 82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30" name="Shape 83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831" name="Shape 83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32" name="Shape 83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33" name="Shape 83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34" name="Shape 83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35" name="Shape 83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836" name="Shape 83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37" name="Shape 83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838" name="Shape 83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39" name="Shape 83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840" name="Shape 84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41" name="Shape 84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842" name="Shape 84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43" name="Shape 84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844" name="Shape 84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45" name="Shape 84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46" name="Shape 84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47" name="Shape 84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48" name="Shape 84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849" name="Shape 84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0" name="Shape 85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851" name="Shape 85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52" name="Shape 85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853" name="Shape 85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54" name="Shape 85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855" name="Shape 85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56" name="Shape 85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857" name="Shape 85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58" name="Shape 85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59" name="Shape 85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60" name="Shape 86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61" name="Shape 86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862" name="Shape 86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63" name="Shape 86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864" name="Shape 86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65" name="Shape 86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866" name="Shape 86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67" name="Shape 86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868" name="Shape 86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69" name="Shape 86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870" name="Shape 87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71" name="Shape 87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72" name="Shape 87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73" name="Shape 87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74" name="Shape 87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875" name="Shape 87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76" name="Shape 87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877" name="Shape 87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78" name="Shape 87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879" name="Shape 87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80" name="Shape 88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881" name="Shape 88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82" name="Shape 88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883" name="Shape 88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84" name="Shape 88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85" name="Shape 88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86" name="Shape 88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87" name="Shape 88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342900</xdr:colOff>
      <xdr:row>0</xdr:row>
      <xdr:rowOff>285750</xdr:rowOff>
    </xdr:from>
    <xdr:ext cx="10572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180975</xdr:rowOff>
    </xdr:from>
    <xdr:ext cx="8096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161925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523875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1019175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888" name="Shape 888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89" name="Shape 889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890" name="Shape 890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91" name="Shape 891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892" name="Shape 892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93" name="Shape 893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894" name="Shape 894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95" name="Shape 895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896" name="Shape 89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97" name="Shape 89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98" name="Shape 89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899" name="Shape 89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00" name="Shape 90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901" name="Shape 901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02" name="Shape 902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903" name="Shape 903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04" name="Shape 904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905" name="Shape 905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06" name="Shape 906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907" name="Shape 907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08" name="Shape 908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909" name="Shape 90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10" name="Shape 91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11" name="Shape 91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12" name="Shape 91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13" name="Shape 91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914" name="Shape 914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15" name="Shape 915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916" name="Shape 916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17" name="Shape 917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918" name="Shape 918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19" name="Shape 919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920" name="Shape 920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21" name="Shape 921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922" name="Shape 92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23" name="Shape 92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24" name="Shape 92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25" name="Shape 92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26" name="Shape 92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927" name="Shape 927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28" name="Shape 928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929" name="Shape 929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30" name="Shape 930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931" name="Shape 931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32" name="Shape 932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933" name="Shape 933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34" name="Shape 934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935" name="Shape 935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36" name="Shape 936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37" name="Shape 93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38" name="Shape 93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39" name="Shape 939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940" name="Shape 940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41" name="Shape 941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942" name="Shape 942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43" name="Shape 943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944" name="Shape 944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45" name="Shape 945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946" name="Shape 946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47" name="Shape 947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948" name="Shape 948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49" name="Shape 949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50" name="Shape 95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51" name="Shape 95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52" name="Shape 952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180975</xdr:colOff>
      <xdr:row>0</xdr:row>
      <xdr:rowOff>247650</xdr:rowOff>
    </xdr:from>
    <xdr:ext cx="105727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323850</xdr:rowOff>
    </xdr:from>
    <xdr:ext cx="8096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161925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523875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1019175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11639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953" name="Shape 953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4" name="Shape 954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955" name="Shape 955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56" name="Shape 956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957" name="Shape 957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58" name="Shape 958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959" name="Shape 959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60" name="Shape 960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961" name="Shape 961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62" name="Shape 962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63" name="Shape 963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64" name="Shape 964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65" name="Shape 965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0</xdr:row>
      <xdr:rowOff>66675</xdr:rowOff>
    </xdr:from>
    <xdr:ext cx="112585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966" name="Shape 966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67" name="Shape 967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968" name="Shape 968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69" name="Shape 969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970" name="Shape 970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71" name="Shape 971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972" name="Shape 972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73" name="Shape 973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974" name="Shape 974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75" name="Shape 975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76" name="Shape 976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77" name="Shape 977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78" name="Shape 978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60</xdr:col>
      <xdr:colOff>0</xdr:colOff>
      <xdr:row>0</xdr:row>
      <xdr:rowOff>66675</xdr:rowOff>
    </xdr:from>
    <xdr:ext cx="1144905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979" name="Shape 979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80" name="Shape 980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981" name="Shape 981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82" name="Shape 982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983" name="Shape 983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84" name="Shape 984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985" name="Shape 985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86" name="Shape 986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987" name="Shape 987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88" name="Shape 988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89" name="Shape 989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990" name="Shape 990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91" name="Shape 991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90</xdr:col>
      <xdr:colOff>0</xdr:colOff>
      <xdr:row>0</xdr:row>
      <xdr:rowOff>9525</xdr:rowOff>
    </xdr:from>
    <xdr:ext cx="6924675" cy="847725"/>
    <xdr:grpSp>
      <xdr:nvGrpSpPr>
        <xdr:cNvPr id="2" name="Shape 2"/>
        <xdr:cNvGrpSpPr/>
      </xdr:nvGrpSpPr>
      <xdr:grpSpPr>
        <a:xfrm>
          <a:off x="1883663" y="3356138"/>
          <a:ext cx="6924675" cy="847725"/>
          <a:chOff x="1883663" y="3356138"/>
          <a:chExt cx="6924675" cy="847725"/>
        </a:xfrm>
      </xdr:grpSpPr>
      <xdr:grpSp>
        <xdr:nvGrpSpPr>
          <xdr:cNvPr id="992" name="Shape 992"/>
          <xdr:cNvGrpSpPr/>
        </xdr:nvGrpSpPr>
        <xdr:grpSpPr>
          <a:xfrm>
            <a:off x="1883663" y="3356138"/>
            <a:ext cx="6924675" cy="847725"/>
            <a:chOff x="1883663" y="3356138"/>
            <a:chExt cx="6924675" cy="847725"/>
          </a:xfrm>
        </xdr:grpSpPr>
        <xdr:sp>
          <xdr:nvSpPr>
            <xdr:cNvPr id="4" name="Shape 4"/>
            <xdr:cNvSpPr/>
          </xdr:nvSpPr>
          <xdr:spPr>
            <a:xfrm>
              <a:off x="1883663" y="3356138"/>
              <a:ext cx="6924675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93" name="Shape 993"/>
            <xdr:cNvGrpSpPr/>
          </xdr:nvGrpSpPr>
          <xdr:grpSpPr>
            <a:xfrm>
              <a:off x="1883663" y="3356138"/>
              <a:ext cx="6924675" cy="847725"/>
              <a:chOff x="1883663" y="3356138"/>
              <a:chExt cx="6924675" cy="847725"/>
            </a:xfrm>
          </xdr:grpSpPr>
          <xdr:sp>
            <xdr:nvSpPr>
              <xdr:cNvPr id="994" name="Shape 994"/>
              <xdr:cNvSpPr/>
            </xdr:nvSpPr>
            <xdr:spPr>
              <a:xfrm>
                <a:off x="1883663" y="3356138"/>
                <a:ext cx="6924675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95" name="Shape 995"/>
              <xdr:cNvGrpSpPr/>
            </xdr:nvGrpSpPr>
            <xdr:grpSpPr>
              <a:xfrm>
                <a:off x="1883663" y="3356138"/>
                <a:ext cx="6924675" cy="847725"/>
                <a:chOff x="1397888" y="3351375"/>
                <a:chExt cx="7896225" cy="857250"/>
              </a:xfrm>
            </xdr:grpSpPr>
            <xdr:sp>
              <xdr:nvSpPr>
                <xdr:cNvPr id="996" name="Shape 996"/>
                <xdr:cNvSpPr/>
              </xdr:nvSpPr>
              <xdr:spPr>
                <a:xfrm>
                  <a:off x="1397888" y="3351375"/>
                  <a:ext cx="7896225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97" name="Shape 997"/>
                <xdr:cNvGrpSpPr/>
              </xdr:nvGrpSpPr>
              <xdr:grpSpPr>
                <a:xfrm>
                  <a:off x="1397888" y="3351375"/>
                  <a:ext cx="7896225" cy="857250"/>
                  <a:chOff x="945450" y="3346613"/>
                  <a:chExt cx="8801100" cy="866775"/>
                </a:xfrm>
              </xdr:grpSpPr>
              <xdr:sp>
                <xdr:nvSpPr>
                  <xdr:cNvPr id="998" name="Shape 998"/>
                  <xdr:cNvSpPr/>
                </xdr:nvSpPr>
                <xdr:spPr>
                  <a:xfrm>
                    <a:off x="945450" y="3346613"/>
                    <a:ext cx="880110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99" name="Shape 999"/>
                  <xdr:cNvGrpSpPr/>
                </xdr:nvGrpSpPr>
                <xdr:grpSpPr>
                  <a:xfrm>
                    <a:off x="945450" y="3346613"/>
                    <a:ext cx="8801100" cy="866775"/>
                    <a:chOff x="0" y="-1"/>
                    <a:chExt cx="6484771" cy="553899"/>
                  </a:xfrm>
                </xdr:grpSpPr>
                <xdr:sp>
                  <xdr:nvSpPr>
                    <xdr:cNvPr id="1000" name="Shape 1000"/>
                    <xdr:cNvSpPr/>
                  </xdr:nvSpPr>
                  <xdr:spPr>
                    <a:xfrm>
                      <a:off x="0" y="-1"/>
                      <a:ext cx="64847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01" name="Shape 1001"/>
                    <xdr:cNvSpPr/>
                  </xdr:nvSpPr>
                  <xdr:spPr>
                    <a:xfrm>
                      <a:off x="159886" y="-1"/>
                      <a:ext cx="6324885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02" name="Shape 1002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03" name="Shape 1003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04" name="Shape 1004"/>
                    <xdr:cNvCxnSpPr/>
                  </xdr:nvCxnSpPr>
                  <xdr:spPr>
                    <a:xfrm flipH="1" rot="10800000">
                      <a:off x="1558116" y="436199"/>
                      <a:ext cx="4926655" cy="6466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101</xdr:col>
      <xdr:colOff>0</xdr:colOff>
      <xdr:row>0</xdr:row>
      <xdr:rowOff>0</xdr:rowOff>
    </xdr:from>
    <xdr:ext cx="5924550" cy="904875"/>
    <xdr:grpSp>
      <xdr:nvGrpSpPr>
        <xdr:cNvPr id="2" name="Shape 2"/>
        <xdr:cNvGrpSpPr/>
      </xdr:nvGrpSpPr>
      <xdr:grpSpPr>
        <a:xfrm>
          <a:off x="2383725" y="3327563"/>
          <a:ext cx="5924550" cy="904875"/>
          <a:chOff x="2383725" y="3327563"/>
          <a:chExt cx="5924550" cy="904875"/>
        </a:xfrm>
      </xdr:grpSpPr>
      <xdr:grpSp>
        <xdr:nvGrpSpPr>
          <xdr:cNvPr id="1005" name="Shape 1005"/>
          <xdr:cNvGrpSpPr/>
        </xdr:nvGrpSpPr>
        <xdr:grpSpPr>
          <a:xfrm>
            <a:off x="2383725" y="3327563"/>
            <a:ext cx="5924550" cy="904875"/>
            <a:chOff x="2383725" y="3327563"/>
            <a:chExt cx="5924550" cy="904875"/>
          </a:xfrm>
        </xdr:grpSpPr>
        <xdr:sp>
          <xdr:nvSpPr>
            <xdr:cNvPr id="4" name="Shape 4"/>
            <xdr:cNvSpPr/>
          </xdr:nvSpPr>
          <xdr:spPr>
            <a:xfrm>
              <a:off x="2383725" y="3327563"/>
              <a:ext cx="592455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06" name="Shape 1006"/>
            <xdr:cNvGrpSpPr/>
          </xdr:nvGrpSpPr>
          <xdr:grpSpPr>
            <a:xfrm>
              <a:off x="2383725" y="3327563"/>
              <a:ext cx="5924550" cy="904875"/>
              <a:chOff x="2383725" y="3327563"/>
              <a:chExt cx="5924550" cy="904875"/>
            </a:xfrm>
          </xdr:grpSpPr>
          <xdr:sp>
            <xdr:nvSpPr>
              <xdr:cNvPr id="1007" name="Shape 1007"/>
              <xdr:cNvSpPr/>
            </xdr:nvSpPr>
            <xdr:spPr>
              <a:xfrm>
                <a:off x="2383725" y="3327563"/>
                <a:ext cx="592455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08" name="Shape 1008"/>
              <xdr:cNvGrpSpPr/>
            </xdr:nvGrpSpPr>
            <xdr:grpSpPr>
              <a:xfrm>
                <a:off x="2383725" y="3327563"/>
                <a:ext cx="5924550" cy="904875"/>
                <a:chOff x="2012250" y="3322800"/>
                <a:chExt cx="6667500" cy="914400"/>
              </a:xfrm>
            </xdr:grpSpPr>
            <xdr:sp>
              <xdr:nvSpPr>
                <xdr:cNvPr id="1009" name="Shape 1009"/>
                <xdr:cNvSpPr/>
              </xdr:nvSpPr>
              <xdr:spPr>
                <a:xfrm>
                  <a:off x="2012250" y="3322800"/>
                  <a:ext cx="6667500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10" name="Shape 1010"/>
                <xdr:cNvGrpSpPr/>
              </xdr:nvGrpSpPr>
              <xdr:grpSpPr>
                <a:xfrm>
                  <a:off x="2012250" y="3322800"/>
                  <a:ext cx="6667500" cy="914400"/>
                  <a:chOff x="1707450" y="3318038"/>
                  <a:chExt cx="7277100" cy="923925"/>
                </a:xfrm>
              </xdr:grpSpPr>
              <xdr:sp>
                <xdr:nvSpPr>
                  <xdr:cNvPr id="1011" name="Shape 1011"/>
                  <xdr:cNvSpPr/>
                </xdr:nvSpPr>
                <xdr:spPr>
                  <a:xfrm>
                    <a:off x="1707450" y="3318038"/>
                    <a:ext cx="7277100" cy="923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12" name="Shape 1012"/>
                  <xdr:cNvGrpSpPr/>
                </xdr:nvGrpSpPr>
                <xdr:grpSpPr>
                  <a:xfrm>
                    <a:off x="1707450" y="3318038"/>
                    <a:ext cx="7277100" cy="923925"/>
                    <a:chOff x="0" y="-1"/>
                    <a:chExt cx="6440048" cy="553899"/>
                  </a:xfrm>
                </xdr:grpSpPr>
                <xdr:sp>
                  <xdr:nvSpPr>
                    <xdr:cNvPr id="1013" name="Shape 1013"/>
                    <xdr:cNvSpPr/>
                  </xdr:nvSpPr>
                  <xdr:spPr>
                    <a:xfrm>
                      <a:off x="0" y="-1"/>
                      <a:ext cx="6440025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14" name="Shape 1014"/>
                    <xdr:cNvSpPr/>
                  </xdr:nvSpPr>
                  <xdr:spPr>
                    <a:xfrm>
                      <a:off x="159886" y="-1"/>
                      <a:ext cx="6280162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15" name="Shape 1015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16" name="Shape 1016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17" name="Shape 1017"/>
                    <xdr:cNvCxnSpPr/>
                  </xdr:nvCxnSpPr>
                  <xdr:spPr>
                    <a:xfrm flipH="1" rot="10800000">
                      <a:off x="1552534" y="435390"/>
                      <a:ext cx="4864390" cy="7363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180975</xdr:colOff>
      <xdr:row>0</xdr:row>
      <xdr:rowOff>200025</xdr:rowOff>
    </xdr:from>
    <xdr:ext cx="1057275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180975</xdr:rowOff>
    </xdr:from>
    <xdr:ext cx="8096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247650</xdr:rowOff>
    </xdr:from>
    <xdr:ext cx="94297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171450</xdr:colOff>
      <xdr:row>0</xdr:row>
      <xdr:rowOff>247650</xdr:rowOff>
    </xdr:from>
    <xdr:ext cx="87630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91</xdr:col>
      <xdr:colOff>571500</xdr:colOff>
      <xdr:row>0</xdr:row>
      <xdr:rowOff>180975</xdr:rowOff>
    </xdr:from>
    <xdr:ext cx="657225" cy="381000"/>
    <xdr:pic>
      <xdr:nvPicPr>
        <xdr:cNvPr descr=" 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209550</xdr:rowOff>
    </xdr:from>
    <xdr:ext cx="1295400" cy="36195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103</xdr:col>
      <xdr:colOff>28575</xdr:colOff>
      <xdr:row>0</xdr:row>
      <xdr:rowOff>171450</xdr:rowOff>
    </xdr:from>
    <xdr:ext cx="11906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180975</xdr:colOff>
      <xdr:row>0</xdr:row>
      <xdr:rowOff>200025</xdr:rowOff>
    </xdr:from>
    <xdr:ext cx="1200150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0</xdr:row>
      <xdr:rowOff>9525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161925</xdr:colOff>
      <xdr:row>0</xdr:row>
      <xdr:rowOff>38100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85</xdr:col>
      <xdr:colOff>161925</xdr:colOff>
      <xdr:row>0</xdr:row>
      <xdr:rowOff>47625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523875</xdr:colOff>
      <xdr:row>0</xdr:row>
      <xdr:rowOff>76200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107</xdr:col>
      <xdr:colOff>1019175</xdr:colOff>
      <xdr:row>0</xdr:row>
      <xdr:rowOff>66675</xdr:rowOff>
    </xdr:from>
    <xdr:ext cx="75247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7086600" cy="828675"/>
    <xdr:grpSp>
      <xdr:nvGrpSpPr>
        <xdr:cNvPr id="2" name="Shape 2"/>
        <xdr:cNvGrpSpPr/>
      </xdr:nvGrpSpPr>
      <xdr:grpSpPr>
        <a:xfrm>
          <a:off x="1802700" y="3365663"/>
          <a:ext cx="7086600" cy="828675"/>
          <a:chOff x="1802700" y="3365663"/>
          <a:chExt cx="7086600" cy="828675"/>
        </a:xfrm>
      </xdr:grpSpPr>
      <xdr:grpSp>
        <xdr:nvGrpSpPr>
          <xdr:cNvPr id="1018" name="Shape 1018"/>
          <xdr:cNvGrpSpPr/>
        </xdr:nvGrpSpPr>
        <xdr:grpSpPr>
          <a:xfrm>
            <a:off x="1802700" y="3365663"/>
            <a:ext cx="7086600" cy="828675"/>
            <a:chOff x="1802700" y="3365663"/>
            <a:chExt cx="7086600" cy="828675"/>
          </a:xfrm>
        </xdr:grpSpPr>
        <xdr:sp>
          <xdr:nvSpPr>
            <xdr:cNvPr id="4" name="Shape 4"/>
            <xdr:cNvSpPr/>
          </xdr:nvSpPr>
          <xdr:spPr>
            <a:xfrm>
              <a:off x="1802700" y="3365663"/>
              <a:ext cx="70866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19" name="Shape 1019"/>
            <xdr:cNvGrpSpPr/>
          </xdr:nvGrpSpPr>
          <xdr:grpSpPr>
            <a:xfrm>
              <a:off x="1802700" y="3365663"/>
              <a:ext cx="7086600" cy="828675"/>
              <a:chOff x="1802700" y="3365663"/>
              <a:chExt cx="7086600" cy="828675"/>
            </a:xfrm>
          </xdr:grpSpPr>
          <xdr:sp>
            <xdr:nvSpPr>
              <xdr:cNvPr id="1020" name="Shape 1020"/>
              <xdr:cNvSpPr/>
            </xdr:nvSpPr>
            <xdr:spPr>
              <a:xfrm>
                <a:off x="1802700" y="3365663"/>
                <a:ext cx="70866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21" name="Shape 1021"/>
              <xdr:cNvGrpSpPr/>
            </xdr:nvGrpSpPr>
            <xdr:grpSpPr>
              <a:xfrm>
                <a:off x="1802700" y="3365663"/>
                <a:ext cx="7086600" cy="828675"/>
                <a:chOff x="1516950" y="3360900"/>
                <a:chExt cx="7658100" cy="838200"/>
              </a:xfrm>
            </xdr:grpSpPr>
            <xdr:sp>
              <xdr:nvSpPr>
                <xdr:cNvPr id="1022" name="Shape 1022"/>
                <xdr:cNvSpPr/>
              </xdr:nvSpPr>
              <xdr:spPr>
                <a:xfrm>
                  <a:off x="1516950" y="3360900"/>
                  <a:ext cx="76581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23" name="Shape 1023"/>
                <xdr:cNvGrpSpPr/>
              </xdr:nvGrpSpPr>
              <xdr:grpSpPr>
                <a:xfrm>
                  <a:off x="1516950" y="3360900"/>
                  <a:ext cx="7658100" cy="838200"/>
                  <a:chOff x="1355025" y="3356138"/>
                  <a:chExt cx="7981950" cy="847725"/>
                </a:xfrm>
              </xdr:grpSpPr>
              <xdr:sp>
                <xdr:nvSpPr>
                  <xdr:cNvPr id="1024" name="Shape 1024"/>
                  <xdr:cNvSpPr/>
                </xdr:nvSpPr>
                <xdr:spPr>
                  <a:xfrm>
                    <a:off x="1355025" y="3356138"/>
                    <a:ext cx="798195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25" name="Shape 1025"/>
                  <xdr:cNvGrpSpPr/>
                </xdr:nvGrpSpPr>
                <xdr:grpSpPr>
                  <a:xfrm>
                    <a:off x="1355025" y="3356138"/>
                    <a:ext cx="7981950" cy="847725"/>
                    <a:chOff x="0" y="-1"/>
                    <a:chExt cx="8599670" cy="553899"/>
                  </a:xfrm>
                </xdr:grpSpPr>
                <xdr:sp>
                  <xdr:nvSpPr>
                    <xdr:cNvPr id="1026" name="Shape 1026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27" name="Shape 1027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28" name="Shape 1028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29" name="Shape 1029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30" name="Shape 1030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0</xdr:colOff>
      <xdr:row>0</xdr:row>
      <xdr:rowOff>66675</xdr:rowOff>
    </xdr:from>
    <xdr:ext cx="7734300" cy="828675"/>
    <xdr:grpSp>
      <xdr:nvGrpSpPr>
        <xdr:cNvPr id="2" name="Shape 2"/>
        <xdr:cNvGrpSpPr/>
      </xdr:nvGrpSpPr>
      <xdr:grpSpPr>
        <a:xfrm>
          <a:off x="1478850" y="3365663"/>
          <a:ext cx="7734300" cy="828675"/>
          <a:chOff x="1478850" y="3365663"/>
          <a:chExt cx="7734300" cy="828675"/>
        </a:xfrm>
      </xdr:grpSpPr>
      <xdr:grpSp>
        <xdr:nvGrpSpPr>
          <xdr:cNvPr id="1031" name="Shape 1031"/>
          <xdr:cNvGrpSpPr/>
        </xdr:nvGrpSpPr>
        <xdr:grpSpPr>
          <a:xfrm>
            <a:off x="1478850" y="3365663"/>
            <a:ext cx="7734300" cy="828675"/>
            <a:chOff x="1478850" y="3365663"/>
            <a:chExt cx="7734300" cy="828675"/>
          </a:xfrm>
        </xdr:grpSpPr>
        <xdr:sp>
          <xdr:nvSpPr>
            <xdr:cNvPr id="4" name="Shape 4"/>
            <xdr:cNvSpPr/>
          </xdr:nvSpPr>
          <xdr:spPr>
            <a:xfrm>
              <a:off x="1478850" y="3365663"/>
              <a:ext cx="77343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32" name="Shape 1032"/>
            <xdr:cNvGrpSpPr/>
          </xdr:nvGrpSpPr>
          <xdr:grpSpPr>
            <a:xfrm>
              <a:off x="1478850" y="3365663"/>
              <a:ext cx="7734300" cy="828675"/>
              <a:chOff x="1478850" y="3365663"/>
              <a:chExt cx="7734300" cy="828675"/>
            </a:xfrm>
          </xdr:grpSpPr>
          <xdr:sp>
            <xdr:nvSpPr>
              <xdr:cNvPr id="1033" name="Shape 1033"/>
              <xdr:cNvSpPr/>
            </xdr:nvSpPr>
            <xdr:spPr>
              <a:xfrm>
                <a:off x="1478850" y="3365663"/>
                <a:ext cx="77343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34" name="Shape 1034"/>
              <xdr:cNvGrpSpPr/>
            </xdr:nvGrpSpPr>
            <xdr:grpSpPr>
              <a:xfrm>
                <a:off x="1478850" y="3365663"/>
                <a:ext cx="7734300" cy="828675"/>
                <a:chOff x="1183575" y="3360900"/>
                <a:chExt cx="8324850" cy="838200"/>
              </a:xfrm>
            </xdr:grpSpPr>
            <xdr:sp>
              <xdr:nvSpPr>
                <xdr:cNvPr id="1035" name="Shape 1035"/>
                <xdr:cNvSpPr/>
              </xdr:nvSpPr>
              <xdr:spPr>
                <a:xfrm>
                  <a:off x="1183575" y="3360900"/>
                  <a:ext cx="832485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36" name="Shape 1036"/>
                <xdr:cNvGrpSpPr/>
              </xdr:nvGrpSpPr>
              <xdr:grpSpPr>
                <a:xfrm>
                  <a:off x="1183575" y="3360900"/>
                  <a:ext cx="8324850" cy="838200"/>
                  <a:chOff x="1016888" y="3356138"/>
                  <a:chExt cx="8658225" cy="847725"/>
                </a:xfrm>
              </xdr:grpSpPr>
              <xdr:sp>
                <xdr:nvSpPr>
                  <xdr:cNvPr id="1037" name="Shape 1037"/>
                  <xdr:cNvSpPr/>
                </xdr:nvSpPr>
                <xdr:spPr>
                  <a:xfrm>
                    <a:off x="1016888" y="3356138"/>
                    <a:ext cx="8658225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38" name="Shape 1038"/>
                  <xdr:cNvGrpSpPr/>
                </xdr:nvGrpSpPr>
                <xdr:grpSpPr>
                  <a:xfrm>
                    <a:off x="1016888" y="3356138"/>
                    <a:ext cx="8658225" cy="847725"/>
                    <a:chOff x="0" y="-1"/>
                    <a:chExt cx="8599670" cy="553899"/>
                  </a:xfrm>
                </xdr:grpSpPr>
                <xdr:sp>
                  <xdr:nvSpPr>
                    <xdr:cNvPr id="1039" name="Shape 1039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40" name="Shape 1040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41" name="Shape 1041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42" name="Shape 1042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43" name="Shape 1043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44</xdr:col>
      <xdr:colOff>0</xdr:colOff>
      <xdr:row>0</xdr:row>
      <xdr:rowOff>66675</xdr:rowOff>
    </xdr:from>
    <xdr:ext cx="7715250" cy="828675"/>
    <xdr:grpSp>
      <xdr:nvGrpSpPr>
        <xdr:cNvPr id="2" name="Shape 2"/>
        <xdr:cNvGrpSpPr/>
      </xdr:nvGrpSpPr>
      <xdr:grpSpPr>
        <a:xfrm>
          <a:off x="1488375" y="3365663"/>
          <a:ext cx="7715250" cy="828675"/>
          <a:chOff x="1488375" y="3365663"/>
          <a:chExt cx="7715250" cy="828675"/>
        </a:xfrm>
      </xdr:grpSpPr>
      <xdr:grpSp>
        <xdr:nvGrpSpPr>
          <xdr:cNvPr id="1044" name="Shape 1044"/>
          <xdr:cNvGrpSpPr/>
        </xdr:nvGrpSpPr>
        <xdr:grpSpPr>
          <a:xfrm>
            <a:off x="1488375" y="3365663"/>
            <a:ext cx="7715250" cy="828675"/>
            <a:chOff x="1488375" y="3365663"/>
            <a:chExt cx="7715250" cy="828675"/>
          </a:xfrm>
        </xdr:grpSpPr>
        <xdr:sp>
          <xdr:nvSpPr>
            <xdr:cNvPr id="4" name="Shape 4"/>
            <xdr:cNvSpPr/>
          </xdr:nvSpPr>
          <xdr:spPr>
            <a:xfrm>
              <a:off x="1488375" y="3365663"/>
              <a:ext cx="771525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45" name="Shape 1045"/>
            <xdr:cNvGrpSpPr/>
          </xdr:nvGrpSpPr>
          <xdr:grpSpPr>
            <a:xfrm>
              <a:off x="1488375" y="3365663"/>
              <a:ext cx="7715250" cy="828675"/>
              <a:chOff x="1488375" y="3365663"/>
              <a:chExt cx="7715250" cy="828675"/>
            </a:xfrm>
          </xdr:grpSpPr>
          <xdr:sp>
            <xdr:nvSpPr>
              <xdr:cNvPr id="1046" name="Shape 1046"/>
              <xdr:cNvSpPr/>
            </xdr:nvSpPr>
            <xdr:spPr>
              <a:xfrm>
                <a:off x="1488375" y="3365663"/>
                <a:ext cx="771525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47" name="Shape 1047"/>
              <xdr:cNvGrpSpPr/>
            </xdr:nvGrpSpPr>
            <xdr:grpSpPr>
              <a:xfrm>
                <a:off x="1488375" y="3365663"/>
                <a:ext cx="7715250" cy="828675"/>
                <a:chOff x="1178813" y="3360900"/>
                <a:chExt cx="8334375" cy="838200"/>
              </a:xfrm>
            </xdr:grpSpPr>
            <xdr:sp>
              <xdr:nvSpPr>
                <xdr:cNvPr id="1048" name="Shape 1048"/>
                <xdr:cNvSpPr/>
              </xdr:nvSpPr>
              <xdr:spPr>
                <a:xfrm>
                  <a:off x="1178813" y="3360900"/>
                  <a:ext cx="8334375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49" name="Shape 1049"/>
                <xdr:cNvGrpSpPr/>
              </xdr:nvGrpSpPr>
              <xdr:grpSpPr>
                <a:xfrm>
                  <a:off x="1178813" y="3360900"/>
                  <a:ext cx="8334375" cy="838200"/>
                  <a:chOff x="988313" y="3356138"/>
                  <a:chExt cx="8715375" cy="847725"/>
                </a:xfrm>
              </xdr:grpSpPr>
              <xdr:sp>
                <xdr:nvSpPr>
                  <xdr:cNvPr id="1050" name="Shape 1050"/>
                  <xdr:cNvSpPr/>
                </xdr:nvSpPr>
                <xdr:spPr>
                  <a:xfrm>
                    <a:off x="988313" y="3356138"/>
                    <a:ext cx="8715375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51" name="Shape 1051"/>
                  <xdr:cNvGrpSpPr/>
                </xdr:nvGrpSpPr>
                <xdr:grpSpPr>
                  <a:xfrm>
                    <a:off x="988313" y="3356138"/>
                    <a:ext cx="8715375" cy="847725"/>
                    <a:chOff x="0" y="-1"/>
                    <a:chExt cx="8599670" cy="553899"/>
                  </a:xfrm>
                </xdr:grpSpPr>
                <xdr:sp>
                  <xdr:nvSpPr>
                    <xdr:cNvPr id="1052" name="Shape 1052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53" name="Shape 1053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54" name="Shape 1054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55" name="Shape 1055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56" name="Shape 1056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266700</xdr:colOff>
      <xdr:row>0</xdr:row>
      <xdr:rowOff>238125</xdr:rowOff>
    </xdr:from>
    <xdr:ext cx="838200" cy="40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247650</xdr:rowOff>
    </xdr:from>
    <xdr:ext cx="1000125" cy="38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476250</xdr:colOff>
      <xdr:row>0</xdr:row>
      <xdr:rowOff>209550</xdr:rowOff>
    </xdr:from>
    <xdr:ext cx="885825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0</xdr:row>
      <xdr:rowOff>219075</xdr:rowOff>
    </xdr:from>
    <xdr:ext cx="12668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762000</xdr:colOff>
      <xdr:row>0</xdr:row>
      <xdr:rowOff>209550</xdr:rowOff>
    </xdr:from>
    <xdr:ext cx="85725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171450</xdr:colOff>
      <xdr:row>0</xdr:row>
      <xdr:rowOff>247650</xdr:rowOff>
    </xdr:from>
    <xdr:ext cx="12668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28041600" cy="828675"/>
    <xdr:grpSp>
      <xdr:nvGrpSpPr>
        <xdr:cNvPr id="2" name="Shape 2"/>
        <xdr:cNvGrpSpPr/>
      </xdr:nvGrpSpPr>
      <xdr:grpSpPr>
        <a:xfrm>
          <a:off x="0" y="3365663"/>
          <a:ext cx="10692000" cy="828675"/>
          <a:chOff x="0" y="3365663"/>
          <a:chExt cx="10692000" cy="828675"/>
        </a:xfrm>
      </xdr:grpSpPr>
      <xdr:grpSp>
        <xdr:nvGrpSpPr>
          <xdr:cNvPr id="1057" name="Shape 1057"/>
          <xdr:cNvGrpSpPr/>
        </xdr:nvGrpSpPr>
        <xdr:grpSpPr>
          <a:xfrm>
            <a:off x="0" y="3365663"/>
            <a:ext cx="10692000" cy="828675"/>
            <a:chOff x="0" y="3365663"/>
            <a:chExt cx="10692000" cy="828675"/>
          </a:xfrm>
        </xdr:grpSpPr>
        <xdr:sp>
          <xdr:nvSpPr>
            <xdr:cNvPr id="4" name="Shape 4"/>
            <xdr:cNvSpPr/>
          </xdr:nvSpPr>
          <xdr:spPr>
            <a:xfrm>
              <a:off x="0" y="3365663"/>
              <a:ext cx="106920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58" name="Shape 1058"/>
            <xdr:cNvGrpSpPr/>
          </xdr:nvGrpSpPr>
          <xdr:grpSpPr>
            <a:xfrm>
              <a:off x="0" y="3365663"/>
              <a:ext cx="10692000" cy="828675"/>
              <a:chOff x="0" y="3365663"/>
              <a:chExt cx="10692000" cy="828675"/>
            </a:xfrm>
          </xdr:grpSpPr>
          <xdr:sp>
            <xdr:nvSpPr>
              <xdr:cNvPr id="1059" name="Shape 1059"/>
              <xdr:cNvSpPr/>
            </xdr:nvSpPr>
            <xdr:spPr>
              <a:xfrm>
                <a:off x="0" y="3365663"/>
                <a:ext cx="106920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60" name="Shape 1060"/>
              <xdr:cNvGrpSpPr/>
            </xdr:nvGrpSpPr>
            <xdr:grpSpPr>
              <a:xfrm>
                <a:off x="0" y="3365663"/>
                <a:ext cx="10692000" cy="828675"/>
                <a:chOff x="0" y="3360900"/>
                <a:chExt cx="10692000" cy="838200"/>
              </a:xfrm>
            </xdr:grpSpPr>
            <xdr:sp>
              <xdr:nvSpPr>
                <xdr:cNvPr id="1061" name="Shape 1061"/>
                <xdr:cNvSpPr/>
              </xdr:nvSpPr>
              <xdr:spPr>
                <a:xfrm>
                  <a:off x="0" y="3360900"/>
                  <a:ext cx="106920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62" name="Shape 1062"/>
                <xdr:cNvGrpSpPr/>
              </xdr:nvGrpSpPr>
              <xdr:grpSpPr>
                <a:xfrm>
                  <a:off x="0" y="3360900"/>
                  <a:ext cx="10692000" cy="838200"/>
                  <a:chOff x="0" y="3356138"/>
                  <a:chExt cx="10692000" cy="847725"/>
                </a:xfrm>
              </xdr:grpSpPr>
              <xdr:sp>
                <xdr:nvSpPr>
                  <xdr:cNvPr id="1063" name="Shape 1063"/>
                  <xdr:cNvSpPr/>
                </xdr:nvSpPr>
                <xdr:spPr>
                  <a:xfrm>
                    <a:off x="0" y="3356138"/>
                    <a:ext cx="10692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64" name="Shape 1064"/>
                  <xdr:cNvGrpSpPr/>
                </xdr:nvGrpSpPr>
                <xdr:grpSpPr>
                  <a:xfrm>
                    <a:off x="0" y="3356138"/>
                    <a:ext cx="10692000" cy="847725"/>
                    <a:chOff x="0" y="-1"/>
                    <a:chExt cx="8599670" cy="553899"/>
                  </a:xfrm>
                </xdr:grpSpPr>
                <xdr:sp>
                  <xdr:nvSpPr>
                    <xdr:cNvPr id="1065" name="Shape 1065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66" name="Shape 1066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67" name="Shape 1067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68" name="Shape 1068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69" name="Shape 1069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10001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7086600" cy="828675"/>
    <xdr:grpSp>
      <xdr:nvGrpSpPr>
        <xdr:cNvPr id="2" name="Shape 2"/>
        <xdr:cNvGrpSpPr/>
      </xdr:nvGrpSpPr>
      <xdr:grpSpPr>
        <a:xfrm>
          <a:off x="1802700" y="3365663"/>
          <a:ext cx="7086600" cy="828675"/>
          <a:chOff x="1802700" y="3365663"/>
          <a:chExt cx="7086600" cy="828675"/>
        </a:xfrm>
      </xdr:grpSpPr>
      <xdr:grpSp>
        <xdr:nvGrpSpPr>
          <xdr:cNvPr id="1070" name="Shape 1070"/>
          <xdr:cNvGrpSpPr/>
        </xdr:nvGrpSpPr>
        <xdr:grpSpPr>
          <a:xfrm>
            <a:off x="1802700" y="3365663"/>
            <a:ext cx="7086600" cy="828675"/>
            <a:chOff x="1802700" y="3365663"/>
            <a:chExt cx="7086600" cy="828675"/>
          </a:xfrm>
        </xdr:grpSpPr>
        <xdr:sp>
          <xdr:nvSpPr>
            <xdr:cNvPr id="4" name="Shape 4"/>
            <xdr:cNvSpPr/>
          </xdr:nvSpPr>
          <xdr:spPr>
            <a:xfrm>
              <a:off x="1802700" y="3365663"/>
              <a:ext cx="708660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71" name="Shape 1071"/>
            <xdr:cNvGrpSpPr/>
          </xdr:nvGrpSpPr>
          <xdr:grpSpPr>
            <a:xfrm>
              <a:off x="1802700" y="3365663"/>
              <a:ext cx="7086600" cy="828675"/>
              <a:chOff x="1802700" y="3365663"/>
              <a:chExt cx="7086600" cy="828675"/>
            </a:xfrm>
          </xdr:grpSpPr>
          <xdr:sp>
            <xdr:nvSpPr>
              <xdr:cNvPr id="1072" name="Shape 1072"/>
              <xdr:cNvSpPr/>
            </xdr:nvSpPr>
            <xdr:spPr>
              <a:xfrm>
                <a:off x="1802700" y="3365663"/>
                <a:ext cx="7086600" cy="8286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73" name="Shape 1073"/>
              <xdr:cNvGrpSpPr/>
            </xdr:nvGrpSpPr>
            <xdr:grpSpPr>
              <a:xfrm>
                <a:off x="1802700" y="3365663"/>
                <a:ext cx="7086600" cy="828675"/>
                <a:chOff x="1516950" y="3360900"/>
                <a:chExt cx="7658100" cy="838200"/>
              </a:xfrm>
            </xdr:grpSpPr>
            <xdr:sp>
              <xdr:nvSpPr>
                <xdr:cNvPr id="1074" name="Shape 1074"/>
                <xdr:cNvSpPr/>
              </xdr:nvSpPr>
              <xdr:spPr>
                <a:xfrm>
                  <a:off x="1516950" y="3360900"/>
                  <a:ext cx="7658100" cy="8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75" name="Shape 1075"/>
                <xdr:cNvGrpSpPr/>
              </xdr:nvGrpSpPr>
              <xdr:grpSpPr>
                <a:xfrm>
                  <a:off x="1516950" y="3360900"/>
                  <a:ext cx="7658100" cy="838200"/>
                  <a:chOff x="1355025" y="3356138"/>
                  <a:chExt cx="7981950" cy="847725"/>
                </a:xfrm>
              </xdr:grpSpPr>
              <xdr:sp>
                <xdr:nvSpPr>
                  <xdr:cNvPr id="1076" name="Shape 1076"/>
                  <xdr:cNvSpPr/>
                </xdr:nvSpPr>
                <xdr:spPr>
                  <a:xfrm>
                    <a:off x="1355025" y="3356138"/>
                    <a:ext cx="798195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77" name="Shape 1077"/>
                  <xdr:cNvGrpSpPr/>
                </xdr:nvGrpSpPr>
                <xdr:grpSpPr>
                  <a:xfrm>
                    <a:off x="1355025" y="3356138"/>
                    <a:ext cx="7981950" cy="847725"/>
                    <a:chOff x="0" y="-1"/>
                    <a:chExt cx="8599670" cy="553899"/>
                  </a:xfrm>
                </xdr:grpSpPr>
                <xdr:sp>
                  <xdr:nvSpPr>
                    <xdr:cNvPr id="1078" name="Shape 1078"/>
                    <xdr:cNvSpPr/>
                  </xdr:nvSpPr>
                  <xdr:spPr>
                    <a:xfrm>
                      <a:off x="0" y="-1"/>
                      <a:ext cx="8599650" cy="553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79" name="Shape 1079"/>
                    <xdr:cNvSpPr/>
                  </xdr:nvSpPr>
                  <xdr:spPr>
                    <a:xfrm>
                      <a:off x="159887" y="-1"/>
                      <a:ext cx="8439783" cy="443828"/>
                    </a:xfrm>
                    <a:prstGeom prst="rect">
                      <a:avLst/>
                    </a:prstGeom>
                    <a:solidFill>
                      <a:srgbClr val="DCEAF5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80" name="Shape 1080"/>
                    <xdr:cNvSpPr/>
                  </xdr:nvSpPr>
                  <xdr:spPr>
                    <a:xfrm>
                      <a:off x="0" y="0"/>
                      <a:ext cx="1882050" cy="553898"/>
                    </a:xfrm>
                    <a:custGeom>
                      <a:rect b="b" l="l" r="r" t="t"/>
                      <a:pathLst>
                        <a:path extrusionOk="0" h="1099930" w="7500731">
                          <a:moveTo>
                            <a:pt x="0" y="0"/>
                          </a:moveTo>
                          <a:lnTo>
                            <a:pt x="7500731" y="0"/>
                          </a:lnTo>
                          <a:lnTo>
                            <a:pt x="5950226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D182F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081" name="Shape 1081"/>
                    <xdr:cNvSpPr/>
                  </xdr:nvSpPr>
                  <xdr:spPr>
                    <a:xfrm>
                      <a:off x="15380" y="438359"/>
                      <a:ext cx="1552358" cy="70746"/>
                    </a:xfrm>
                    <a:custGeom>
                      <a:rect b="b" l="l" r="r" t="t"/>
                      <a:pathLst>
                        <a:path extrusionOk="0" h="1099930" w="6197129">
                          <a:moveTo>
                            <a:pt x="0" y="0"/>
                          </a:moveTo>
                          <a:lnTo>
                            <a:pt x="6197129" y="0"/>
                          </a:lnTo>
                          <a:lnTo>
                            <a:pt x="6017405" y="1099930"/>
                          </a:lnTo>
                          <a:lnTo>
                            <a:pt x="0" y="1099930"/>
                          </a:lnTo>
                          <a:lnTo>
                            <a:pt x="0" y="0"/>
                          </a:lnTo>
                        </a:path>
                      </a:pathLst>
                    </a:custGeom>
                    <a:solidFill>
                      <a:srgbClr val="006499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82" name="Shape 1082"/>
                    <xdr:cNvCxnSpPr/>
                  </xdr:nvCxnSpPr>
                  <xdr:spPr>
                    <a:xfrm>
                      <a:off x="1555342" y="447465"/>
                      <a:ext cx="7022178" cy="4935"/>
                    </a:xfrm>
                    <a:prstGeom prst="straightConnector1">
                      <a:avLst/>
                    </a:prstGeom>
                    <a:noFill/>
                    <a:ln cap="flat" cmpd="sng" w="19050">
                      <a:solidFill>
                        <a:srgbClr val="4372C3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762000</xdr:colOff>
      <xdr:row>0</xdr:row>
      <xdr:rowOff>209550</xdr:rowOff>
    </xdr:from>
    <xdr:ext cx="838200" cy="40005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247650</xdr:rowOff>
    </xdr:from>
    <xdr:ext cx="1000125" cy="381000"/>
    <xdr:pic>
      <xdr:nvPicPr>
        <xdr:cNvPr descr=" 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1F3E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1.71"/>
    <col customWidth="1" min="3" max="3" width="37.57"/>
    <col customWidth="1" min="4" max="15" width="4.86"/>
    <col customWidth="1" min="16" max="16" width="7.57"/>
    <col customWidth="1" min="17" max="18" width="4.86"/>
    <col customWidth="1" min="19" max="19" width="5.86"/>
    <col customWidth="1" min="20" max="20" width="7.0"/>
    <col customWidth="1" min="21" max="22" width="5.71"/>
    <col customWidth="1" min="23" max="23" width="5.0"/>
    <col customWidth="1" min="24" max="24" width="10.71"/>
    <col customWidth="1" min="25" max="25" width="5.29"/>
    <col customWidth="1" min="26" max="26" width="2.86"/>
    <col customWidth="1" min="27" max="27" width="5.0"/>
    <col customWidth="1" min="28" max="29" width="10.71"/>
    <col customWidth="1" min="30" max="30" width="31.71"/>
    <col customWidth="1" min="31" max="45" width="4.86"/>
    <col customWidth="1" min="46" max="46" width="7.57"/>
    <col customWidth="1" min="47" max="47" width="9.0"/>
    <col customWidth="1" min="48" max="48" width="7.86"/>
    <col customWidth="1" min="49" max="49" width="5.57"/>
    <col customWidth="1" min="50" max="50" width="7.71"/>
    <col customWidth="1" min="51" max="51" width="7.57"/>
    <col customWidth="1" min="52" max="52" width="4.43"/>
    <col customWidth="1" min="53" max="54" width="3.71"/>
    <col customWidth="1" min="55" max="56" width="10.71"/>
    <col customWidth="1" min="57" max="57" width="32.57"/>
    <col customWidth="1" min="58" max="59" width="4.86"/>
    <col customWidth="1" min="60" max="60" width="6.29"/>
    <col customWidth="1" min="61" max="72" width="4.86"/>
    <col customWidth="1" min="73" max="78" width="5.71"/>
  </cols>
  <sheetData>
    <row r="1" ht="82.5" customHeight="1">
      <c r="A1" s="1"/>
      <c r="Z1" s="2"/>
    </row>
    <row r="2" ht="21.0" customHeight="1">
      <c r="A2" s="3" t="s">
        <v>0</v>
      </c>
      <c r="B2" s="4"/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4"/>
      <c r="Z2" s="2"/>
      <c r="AB2" s="3" t="s">
        <v>0</v>
      </c>
      <c r="AC2" s="4"/>
      <c r="AD2" s="5" t="str">
        <f t="shared" ref="AD2:AD4" si="1">C2</f>
        <v>UNIDAD EDUCATIVA EMILIO ISAIAS ABIHANNA 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4"/>
      <c r="BA2" s="2"/>
      <c r="BC2" s="3" t="s">
        <v>0</v>
      </c>
      <c r="BD2" s="4"/>
      <c r="BE2" s="5" t="str">
        <f>AD2</f>
        <v>UNIDAD EDUCATIVA EMILIO ISAIAS ABIHANNA 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4"/>
    </row>
    <row r="3" ht="21.0" customHeight="1">
      <c r="A3" s="3" t="s">
        <v>2</v>
      </c>
      <c r="B3" s="4"/>
      <c r="C3" s="7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4"/>
      <c r="Z3" s="2"/>
      <c r="AB3" s="3" t="s">
        <v>2</v>
      </c>
      <c r="AC3" s="4"/>
      <c r="AD3" s="8" t="str">
        <f t="shared" si="1"/>
        <v>Stalin Ochoa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4"/>
      <c r="BA3" s="2"/>
      <c r="BC3" s="3" t="s">
        <v>2</v>
      </c>
      <c r="BD3" s="4"/>
      <c r="BE3" s="8" t="str">
        <f t="shared" ref="BE3:BE4" si="2">C3</f>
        <v>Stalin Ochoa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4"/>
    </row>
    <row r="4" ht="21.0" customHeight="1">
      <c r="A4" s="3" t="s">
        <v>4</v>
      </c>
      <c r="B4" s="4"/>
      <c r="C4" s="9" t="s">
        <v>5</v>
      </c>
      <c r="D4" s="10" t="s">
        <v>6</v>
      </c>
      <c r="E4" s="6"/>
      <c r="F4" s="4"/>
      <c r="G4" s="11" t="s">
        <v>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Z4" s="2"/>
      <c r="AB4" s="3" t="s">
        <v>4</v>
      </c>
      <c r="AC4" s="4"/>
      <c r="AD4" s="12" t="str">
        <f t="shared" si="1"/>
        <v>1ERO TECNICO </v>
      </c>
      <c r="AE4" s="10" t="s">
        <v>6</v>
      </c>
      <c r="AF4" s="6"/>
      <c r="AG4" s="4"/>
      <c r="AH4" s="11" t="str">
        <f>G4</f>
        <v>B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BA4" s="2"/>
      <c r="BC4" s="3" t="s">
        <v>4</v>
      </c>
      <c r="BD4" s="4"/>
      <c r="BE4" s="12" t="str">
        <f t="shared" si="2"/>
        <v>1ERO TECNICO </v>
      </c>
      <c r="BF4" s="10" t="s">
        <v>6</v>
      </c>
      <c r="BG4" s="6"/>
      <c r="BH4" s="4"/>
      <c r="BI4" s="11" t="str">
        <f>G4</f>
        <v>B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ht="7.5" customHeight="1">
      <c r="Z5" s="2"/>
      <c r="BA5" s="2"/>
    </row>
    <row r="6" ht="30.0" customHeight="1">
      <c r="A6" s="13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"/>
      <c r="Z6" s="2"/>
      <c r="AB6" s="14" t="s">
        <v>8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4"/>
      <c r="BA6" s="2"/>
      <c r="BC6" s="14" t="s">
        <v>8</v>
      </c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4"/>
    </row>
    <row r="7" ht="25.5" customHeight="1">
      <c r="A7" s="15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4"/>
      <c r="Z7" s="2"/>
      <c r="AB7" s="16" t="s">
        <v>10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4"/>
      <c r="BA7" s="2"/>
      <c r="BC7" s="16" t="s">
        <v>11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4"/>
    </row>
    <row r="8" ht="20.25" customHeight="1">
      <c r="A8" s="17" t="s">
        <v>12</v>
      </c>
      <c r="B8" s="18"/>
      <c r="C8" s="19"/>
      <c r="D8" s="20" t="s">
        <v>13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23" t="s">
        <v>14</v>
      </c>
      <c r="T8" s="23" t="s">
        <v>15</v>
      </c>
      <c r="U8" s="24" t="s">
        <v>16</v>
      </c>
      <c r="V8" s="25">
        <v>0.05</v>
      </c>
      <c r="W8" s="24" t="s">
        <v>17</v>
      </c>
      <c r="X8" s="26" t="s">
        <v>18</v>
      </c>
      <c r="Z8" s="2"/>
      <c r="AB8" s="17" t="s">
        <v>12</v>
      </c>
      <c r="AC8" s="18"/>
      <c r="AD8" s="19"/>
      <c r="AE8" s="20" t="s">
        <v>13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2"/>
      <c r="AT8" s="23" t="s">
        <v>14</v>
      </c>
      <c r="AU8" s="23" t="s">
        <v>15</v>
      </c>
      <c r="AV8" s="24" t="s">
        <v>16</v>
      </c>
      <c r="AW8" s="25">
        <v>0.05</v>
      </c>
      <c r="AX8" s="24" t="s">
        <v>19</v>
      </c>
      <c r="AY8" s="26" t="s">
        <v>20</v>
      </c>
      <c r="BA8" s="2"/>
      <c r="BC8" s="17" t="s">
        <v>12</v>
      </c>
      <c r="BD8" s="18"/>
      <c r="BE8" s="19"/>
      <c r="BF8" s="20" t="s">
        <v>13</v>
      </c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2"/>
      <c r="BU8" s="23" t="s">
        <v>14</v>
      </c>
      <c r="BV8" s="23" t="s">
        <v>15</v>
      </c>
      <c r="BW8" s="24" t="s">
        <v>16</v>
      </c>
      <c r="BX8" s="25">
        <v>0.05</v>
      </c>
      <c r="BY8" s="24" t="s">
        <v>21</v>
      </c>
      <c r="BZ8" s="26" t="s">
        <v>22</v>
      </c>
    </row>
    <row r="9" ht="27.0" customHeight="1">
      <c r="A9" s="27"/>
      <c r="C9" s="28"/>
      <c r="D9" s="29"/>
      <c r="R9" s="28"/>
      <c r="S9" s="30"/>
      <c r="T9" s="30"/>
      <c r="U9" s="30"/>
      <c r="V9" s="30"/>
      <c r="W9" s="30"/>
      <c r="X9" s="31"/>
      <c r="Z9" s="2"/>
      <c r="AB9" s="27"/>
      <c r="AD9" s="28"/>
      <c r="AE9" s="29"/>
      <c r="AS9" s="28"/>
      <c r="AT9" s="30"/>
      <c r="AU9" s="30"/>
      <c r="AV9" s="30"/>
      <c r="AW9" s="30"/>
      <c r="AX9" s="30"/>
      <c r="AY9" s="31"/>
      <c r="BA9" s="2"/>
      <c r="BC9" s="27"/>
      <c r="BE9" s="28"/>
      <c r="BF9" s="29"/>
      <c r="BT9" s="28"/>
      <c r="BU9" s="30"/>
      <c r="BV9" s="30"/>
      <c r="BW9" s="30"/>
      <c r="BX9" s="30"/>
      <c r="BY9" s="30"/>
      <c r="BZ9" s="31"/>
    </row>
    <row r="10" ht="30.0" customHeight="1">
      <c r="A10" s="32"/>
      <c r="B10" s="33"/>
      <c r="C10" s="34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7"/>
      <c r="S10" s="30"/>
      <c r="T10" s="30"/>
      <c r="U10" s="30"/>
      <c r="V10" s="30"/>
      <c r="W10" s="30"/>
      <c r="X10" s="31"/>
      <c r="Z10" s="2"/>
      <c r="AB10" s="32"/>
      <c r="AC10" s="33"/>
      <c r="AD10" s="34"/>
      <c r="AE10" s="35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7"/>
      <c r="AT10" s="30"/>
      <c r="AU10" s="30"/>
      <c r="AV10" s="30"/>
      <c r="AW10" s="30"/>
      <c r="AX10" s="30"/>
      <c r="AY10" s="31"/>
      <c r="BA10" s="2"/>
      <c r="BC10" s="32"/>
      <c r="BD10" s="33"/>
      <c r="BE10" s="34"/>
      <c r="BF10" s="35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7"/>
      <c r="BU10" s="30"/>
      <c r="BV10" s="30"/>
      <c r="BW10" s="30"/>
      <c r="BX10" s="30"/>
      <c r="BY10" s="30"/>
      <c r="BZ10" s="31"/>
    </row>
    <row r="11" ht="75.0" customHeight="1">
      <c r="A11" s="38" t="s">
        <v>23</v>
      </c>
      <c r="B11" s="38" t="s">
        <v>24</v>
      </c>
      <c r="C11" s="39" t="s">
        <v>25</v>
      </c>
      <c r="D11" s="40" t="s">
        <v>26</v>
      </c>
      <c r="E11" s="41" t="s">
        <v>27</v>
      </c>
      <c r="F11" s="42" t="s">
        <v>28</v>
      </c>
      <c r="G11" s="43" t="s">
        <v>29</v>
      </c>
      <c r="H11" s="44" t="s">
        <v>30</v>
      </c>
      <c r="I11" s="45" t="s">
        <v>31</v>
      </c>
      <c r="J11" s="46" t="s">
        <v>32</v>
      </c>
      <c r="K11" s="47" t="s">
        <v>33</v>
      </c>
      <c r="L11" s="48" t="s">
        <v>34</v>
      </c>
      <c r="M11" s="49" t="s">
        <v>35</v>
      </c>
      <c r="N11" s="41" t="s">
        <v>36</v>
      </c>
      <c r="O11" s="50" t="s">
        <v>37</v>
      </c>
      <c r="P11" s="51" t="s">
        <v>38</v>
      </c>
      <c r="Q11" s="52" t="s">
        <v>39</v>
      </c>
      <c r="R11" s="53" t="s">
        <v>40</v>
      </c>
      <c r="S11" s="54"/>
      <c r="T11" s="54"/>
      <c r="U11" s="54"/>
      <c r="V11" s="54"/>
      <c r="W11" s="54"/>
      <c r="X11" s="55"/>
      <c r="Z11" s="2"/>
      <c r="AB11" s="38" t="s">
        <v>23</v>
      </c>
      <c r="AC11" s="38" t="s">
        <v>24</v>
      </c>
      <c r="AD11" s="39" t="s">
        <v>25</v>
      </c>
      <c r="AE11" s="40" t="s">
        <v>26</v>
      </c>
      <c r="AF11" s="41" t="s">
        <v>27</v>
      </c>
      <c r="AG11" s="42" t="s">
        <v>28</v>
      </c>
      <c r="AH11" s="43" t="s">
        <v>29</v>
      </c>
      <c r="AI11" s="44" t="s">
        <v>30</v>
      </c>
      <c r="AJ11" s="45" t="s">
        <v>31</v>
      </c>
      <c r="AK11" s="46" t="s">
        <v>32</v>
      </c>
      <c r="AL11" s="47" t="s">
        <v>33</v>
      </c>
      <c r="AM11" s="48" t="s">
        <v>34</v>
      </c>
      <c r="AN11" s="49" t="s">
        <v>35</v>
      </c>
      <c r="AO11" s="41" t="s">
        <v>36</v>
      </c>
      <c r="AP11" s="50" t="s">
        <v>37</v>
      </c>
      <c r="AQ11" s="51" t="s">
        <v>38</v>
      </c>
      <c r="AR11" s="52" t="s">
        <v>39</v>
      </c>
      <c r="AS11" s="53" t="s">
        <v>40</v>
      </c>
      <c r="AT11" s="54"/>
      <c r="AU11" s="54"/>
      <c r="AV11" s="54"/>
      <c r="AW11" s="54"/>
      <c r="AX11" s="54"/>
      <c r="AY11" s="55"/>
      <c r="BA11" s="2"/>
      <c r="BC11" s="38" t="s">
        <v>23</v>
      </c>
      <c r="BD11" s="38" t="s">
        <v>24</v>
      </c>
      <c r="BE11" s="39" t="s">
        <v>25</v>
      </c>
      <c r="BF11" s="40" t="s">
        <v>26</v>
      </c>
      <c r="BG11" s="41" t="s">
        <v>27</v>
      </c>
      <c r="BH11" s="42" t="s">
        <v>28</v>
      </c>
      <c r="BI11" s="43" t="s">
        <v>29</v>
      </c>
      <c r="BJ11" s="44" t="s">
        <v>30</v>
      </c>
      <c r="BK11" s="45" t="s">
        <v>31</v>
      </c>
      <c r="BL11" s="46" t="s">
        <v>32</v>
      </c>
      <c r="BM11" s="47" t="s">
        <v>33</v>
      </c>
      <c r="BN11" s="48" t="s">
        <v>34</v>
      </c>
      <c r="BO11" s="49" t="s">
        <v>35</v>
      </c>
      <c r="BP11" s="41" t="s">
        <v>36</v>
      </c>
      <c r="BQ11" s="50" t="s">
        <v>37</v>
      </c>
      <c r="BR11" s="51" t="s">
        <v>38</v>
      </c>
      <c r="BS11" s="52" t="s">
        <v>39</v>
      </c>
      <c r="BT11" s="53" t="s">
        <v>40</v>
      </c>
      <c r="BU11" s="54"/>
      <c r="BV11" s="54"/>
      <c r="BW11" s="54"/>
      <c r="BX11" s="54"/>
      <c r="BY11" s="54"/>
      <c r="BZ11" s="55"/>
    </row>
    <row r="12" ht="15.0" customHeight="1">
      <c r="A12" s="56">
        <v>1.0</v>
      </c>
      <c r="B12" s="57"/>
      <c r="C12" s="58" t="s">
        <v>41</v>
      </c>
      <c r="D12" s="59">
        <v>10.0</v>
      </c>
      <c r="E12" s="59">
        <v>10.0</v>
      </c>
      <c r="F12" s="59">
        <v>10.0</v>
      </c>
      <c r="G12" s="60"/>
      <c r="H12" s="60"/>
      <c r="I12" s="60"/>
      <c r="J12" s="60"/>
      <c r="K12" s="60"/>
      <c r="L12" s="60"/>
      <c r="M12" s="60"/>
      <c r="N12" s="60"/>
      <c r="O12" s="59">
        <v>10.0</v>
      </c>
      <c r="P12" s="60"/>
      <c r="Q12" s="60"/>
      <c r="R12" s="60"/>
      <c r="S12" s="61">
        <f>AVERAGE(D12:R12)</f>
        <v>10</v>
      </c>
      <c r="T12" s="62">
        <f t="shared" ref="T12:T61" si="5">IFERROR(TRUNC(AVERAGE(D12:S12),2),"")*10/100</f>
        <v>1</v>
      </c>
      <c r="U12" s="62">
        <f t="shared" ref="U12:U61" si="6">S12</f>
        <v>10</v>
      </c>
      <c r="V12" s="62">
        <f t="shared" ref="V12:V61" si="7">U12*5/100</f>
        <v>0.5</v>
      </c>
      <c r="W12" s="63">
        <f t="shared" ref="W12:W61" si="8">ROUND(X12*100/15,2)</f>
        <v>10</v>
      </c>
      <c r="X12" s="64">
        <f t="shared" ref="X12:X61" si="9">IFERROR(TRUNC(SUM(T12+V12),2),"")</f>
        <v>1.5</v>
      </c>
      <c r="Z12" s="2"/>
      <c r="AB12" s="56">
        <v>1.0</v>
      </c>
      <c r="AC12" s="57" t="str">
        <f t="shared" ref="AC12:AD12" si="3">B12</f>
        <v/>
      </c>
      <c r="AD12" s="65" t="str">
        <f t="shared" si="3"/>
        <v>Almeida Alvarado Ariana Guisela</v>
      </c>
      <c r="AE12" s="60"/>
      <c r="AF12" s="59">
        <v>10.0</v>
      </c>
      <c r="AG12" s="60"/>
      <c r="AH12" s="60"/>
      <c r="AI12" s="59">
        <v>10.0</v>
      </c>
      <c r="AJ12" s="60"/>
      <c r="AK12" s="59">
        <v>10.0</v>
      </c>
      <c r="AL12" s="60"/>
      <c r="AM12" s="59">
        <v>10.0</v>
      </c>
      <c r="AN12" s="60"/>
      <c r="AO12" s="59">
        <v>10.0</v>
      </c>
      <c r="AP12" s="60"/>
      <c r="AQ12" s="60"/>
      <c r="AR12" s="60"/>
      <c r="AS12" s="60"/>
      <c r="AT12" s="61">
        <f t="shared" ref="AT12:AT61" si="11">AVERAGE(AE12:AS12)</f>
        <v>10</v>
      </c>
      <c r="AU12" s="62">
        <f t="shared" ref="AU12:AU34" si="12">IFERROR(TRUNC(AVERAGE(AE12:AT12),2),"")*10/100</f>
        <v>1</v>
      </c>
      <c r="AV12" s="62">
        <f t="shared" ref="AV12:AV61" si="13">AT12</f>
        <v>10</v>
      </c>
      <c r="AW12" s="62">
        <f t="shared" ref="AW12:AW61" si="14">AV12*5/100</f>
        <v>0.5</v>
      </c>
      <c r="AX12" s="63">
        <f t="shared" ref="AX12:AX61" si="15">ROUND(AY12*100/15,2)</f>
        <v>10</v>
      </c>
      <c r="AY12" s="64">
        <f t="shared" ref="AY12:AY61" si="16">IFERROR(TRUNC(SUM(AU12+AW12),2),"")</f>
        <v>1.5</v>
      </c>
      <c r="BA12" s="2"/>
      <c r="BC12" s="56">
        <v>1.0</v>
      </c>
      <c r="BD12" s="57" t="str">
        <f t="shared" ref="BD12:BE12" si="4">B12</f>
        <v/>
      </c>
      <c r="BE12" s="65" t="str">
        <f t="shared" si="4"/>
        <v>Almeida Alvarado Ariana Guisela</v>
      </c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1" t="str">
        <f t="shared" ref="BU12:BU61" si="18">AVERAGE(BF12:BT12)</f>
        <v>#DIV/0!</v>
      </c>
      <c r="BV12" s="62">
        <f t="shared" ref="BV12:BV61" si="19">IFERROR(TRUNC(AVERAGE(BF12:BU12),2),"")*10/100</f>
        <v>0</v>
      </c>
      <c r="BW12" s="62" t="str">
        <f t="shared" ref="BW12:BW61" si="20">BU12</f>
        <v>#DIV/0!</v>
      </c>
      <c r="BX12" s="62" t="str">
        <f t="shared" ref="BX12:BX61" si="21">BW12*5/100</f>
        <v>#DIV/0!</v>
      </c>
      <c r="BY12" s="63">
        <f t="shared" ref="BY12:BY61" si="22">ROUND(BZ12*100/15,2)</f>
        <v>0</v>
      </c>
      <c r="BZ12" s="64" t="str">
        <f t="shared" ref="BZ12:BZ61" si="23">IFERROR(TRUNC(SUM(BV12+BX12),2),"")</f>
        <v/>
      </c>
    </row>
    <row r="13">
      <c r="A13" s="56">
        <v>2.0</v>
      </c>
      <c r="B13" s="57"/>
      <c r="C13" s="58" t="s">
        <v>42</v>
      </c>
      <c r="D13" s="59">
        <v>10.0</v>
      </c>
      <c r="E13" s="66">
        <v>10.0</v>
      </c>
      <c r="F13" s="66">
        <v>10.0</v>
      </c>
      <c r="G13" s="67"/>
      <c r="H13" s="67"/>
      <c r="I13" s="67"/>
      <c r="J13" s="67"/>
      <c r="K13" s="67"/>
      <c r="L13" s="67"/>
      <c r="M13" s="67"/>
      <c r="N13" s="67"/>
      <c r="O13" s="66">
        <v>10.0</v>
      </c>
      <c r="P13" s="67"/>
      <c r="Q13" s="67"/>
      <c r="R13" s="67"/>
      <c r="S13" s="61">
        <f t="shared" ref="S13:S61" si="24">AVERAGE(D13:Q13)</f>
        <v>10</v>
      </c>
      <c r="T13" s="62">
        <f t="shared" si="5"/>
        <v>1</v>
      </c>
      <c r="U13" s="62">
        <f t="shared" si="6"/>
        <v>10</v>
      </c>
      <c r="V13" s="62">
        <f t="shared" si="7"/>
        <v>0.5</v>
      </c>
      <c r="W13" s="63">
        <f t="shared" si="8"/>
        <v>10</v>
      </c>
      <c r="X13" s="64">
        <f t="shared" si="9"/>
        <v>1.5</v>
      </c>
      <c r="Z13" s="2"/>
      <c r="AB13" s="56">
        <v>2.0</v>
      </c>
      <c r="AC13" s="57" t="str">
        <f t="shared" ref="AC13:AD13" si="10">B13</f>
        <v/>
      </c>
      <c r="AD13" s="65" t="str">
        <f t="shared" si="10"/>
        <v>Alvarado Vargas Dacmar Alejandra</v>
      </c>
      <c r="AE13" s="60"/>
      <c r="AF13" s="59">
        <v>10.0</v>
      </c>
      <c r="AG13" s="60"/>
      <c r="AH13" s="60"/>
      <c r="AI13" s="59">
        <v>10.0</v>
      </c>
      <c r="AJ13" s="60"/>
      <c r="AK13" s="59">
        <v>10.0</v>
      </c>
      <c r="AL13" s="60"/>
      <c r="AM13" s="59">
        <v>10.0</v>
      </c>
      <c r="AN13" s="60"/>
      <c r="AO13" s="59">
        <v>10.0</v>
      </c>
      <c r="AP13" s="60"/>
      <c r="AQ13" s="60"/>
      <c r="AR13" s="60"/>
      <c r="AS13" s="60"/>
      <c r="AT13" s="61">
        <f t="shared" si="11"/>
        <v>10</v>
      </c>
      <c r="AU13" s="62">
        <f t="shared" si="12"/>
        <v>1</v>
      </c>
      <c r="AV13" s="62">
        <f t="shared" si="13"/>
        <v>10</v>
      </c>
      <c r="AW13" s="62">
        <f t="shared" si="14"/>
        <v>0.5</v>
      </c>
      <c r="AX13" s="63">
        <f t="shared" si="15"/>
        <v>10</v>
      </c>
      <c r="AY13" s="64">
        <f t="shared" si="16"/>
        <v>1.5</v>
      </c>
      <c r="BA13" s="2"/>
      <c r="BC13" s="56">
        <v>2.0</v>
      </c>
      <c r="BD13" s="57" t="str">
        <f t="shared" ref="BD13:BE13" si="17">B13</f>
        <v/>
      </c>
      <c r="BE13" s="65" t="str">
        <f t="shared" si="17"/>
        <v>Alvarado Vargas Dacmar Alejandra</v>
      </c>
      <c r="BF13" s="67"/>
      <c r="BG13" s="67"/>
      <c r="BH13" s="60"/>
      <c r="BI13" s="67"/>
      <c r="BJ13" s="67"/>
      <c r="BK13" s="60"/>
      <c r="BL13" s="67"/>
      <c r="BM13" s="67"/>
      <c r="BN13" s="67"/>
      <c r="BO13" s="67"/>
      <c r="BP13" s="67"/>
      <c r="BQ13" s="67"/>
      <c r="BR13" s="67"/>
      <c r="BS13" s="67"/>
      <c r="BT13" s="67"/>
      <c r="BU13" s="61" t="str">
        <f t="shared" si="18"/>
        <v>#DIV/0!</v>
      </c>
      <c r="BV13" s="62">
        <f t="shared" si="19"/>
        <v>0</v>
      </c>
      <c r="BW13" s="62" t="str">
        <f t="shared" si="20"/>
        <v>#DIV/0!</v>
      </c>
      <c r="BX13" s="62" t="str">
        <f t="shared" si="21"/>
        <v>#DIV/0!</v>
      </c>
      <c r="BY13" s="63">
        <f t="shared" si="22"/>
        <v>0</v>
      </c>
      <c r="BZ13" s="64" t="str">
        <f t="shared" si="23"/>
        <v/>
      </c>
    </row>
    <row r="14">
      <c r="A14" s="56">
        <v>3.0</v>
      </c>
      <c r="B14" s="57"/>
      <c r="C14" s="58" t="s">
        <v>43</v>
      </c>
      <c r="D14" s="59">
        <v>10.0</v>
      </c>
      <c r="E14" s="59">
        <v>10.0</v>
      </c>
      <c r="F14" s="59">
        <v>8.0</v>
      </c>
      <c r="G14" s="60"/>
      <c r="H14" s="60"/>
      <c r="I14" s="60"/>
      <c r="J14" s="60"/>
      <c r="K14" s="60"/>
      <c r="L14" s="60"/>
      <c r="M14" s="60"/>
      <c r="N14" s="60"/>
      <c r="O14" s="59">
        <v>5.0</v>
      </c>
      <c r="P14" s="60"/>
      <c r="Q14" s="60"/>
      <c r="R14" s="60"/>
      <c r="S14" s="61">
        <f t="shared" si="24"/>
        <v>8.25</v>
      </c>
      <c r="T14" s="62">
        <f t="shared" si="5"/>
        <v>0.825</v>
      </c>
      <c r="U14" s="62">
        <f t="shared" si="6"/>
        <v>8.25</v>
      </c>
      <c r="V14" s="62">
        <f t="shared" si="7"/>
        <v>0.4125</v>
      </c>
      <c r="W14" s="63">
        <f t="shared" si="8"/>
        <v>8.2</v>
      </c>
      <c r="X14" s="64">
        <f t="shared" si="9"/>
        <v>1.23</v>
      </c>
      <c r="Z14" s="2"/>
      <c r="AB14" s="56">
        <v>3.0</v>
      </c>
      <c r="AC14" s="57" t="str">
        <f t="shared" ref="AC14:AD14" si="25">B14</f>
        <v/>
      </c>
      <c r="AD14" s="65" t="str">
        <f t="shared" si="25"/>
        <v>Ampuero Cornejo Cesar Jeanpierre</v>
      </c>
      <c r="AE14" s="60"/>
      <c r="AF14" s="59">
        <v>10.0</v>
      </c>
      <c r="AG14" s="60"/>
      <c r="AH14" s="60"/>
      <c r="AI14" s="59">
        <v>10.0</v>
      </c>
      <c r="AJ14" s="60"/>
      <c r="AK14" s="59">
        <v>10.0</v>
      </c>
      <c r="AL14" s="60"/>
      <c r="AM14" s="59">
        <v>10.0</v>
      </c>
      <c r="AN14" s="60"/>
      <c r="AO14" s="59">
        <v>10.0</v>
      </c>
      <c r="AP14" s="60"/>
      <c r="AQ14" s="60"/>
      <c r="AR14" s="60"/>
      <c r="AS14" s="60"/>
      <c r="AT14" s="61">
        <f t="shared" si="11"/>
        <v>10</v>
      </c>
      <c r="AU14" s="62">
        <f t="shared" si="12"/>
        <v>1</v>
      </c>
      <c r="AV14" s="62">
        <f t="shared" si="13"/>
        <v>10</v>
      </c>
      <c r="AW14" s="62">
        <f t="shared" si="14"/>
        <v>0.5</v>
      </c>
      <c r="AX14" s="63">
        <f t="shared" si="15"/>
        <v>10</v>
      </c>
      <c r="AY14" s="64">
        <f t="shared" si="16"/>
        <v>1.5</v>
      </c>
      <c r="BA14" s="2"/>
      <c r="BC14" s="56">
        <v>3.0</v>
      </c>
      <c r="BD14" s="57" t="str">
        <f t="shared" ref="BD14:BE14" si="26">B14</f>
        <v/>
      </c>
      <c r="BE14" s="65" t="str">
        <f t="shared" si="26"/>
        <v>Ampuero Cornejo Cesar Jeanpierre</v>
      </c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1" t="str">
        <f t="shared" si="18"/>
        <v>#DIV/0!</v>
      </c>
      <c r="BV14" s="62">
        <f t="shared" si="19"/>
        <v>0</v>
      </c>
      <c r="BW14" s="62" t="str">
        <f t="shared" si="20"/>
        <v>#DIV/0!</v>
      </c>
      <c r="BX14" s="62" t="str">
        <f t="shared" si="21"/>
        <v>#DIV/0!</v>
      </c>
      <c r="BY14" s="63">
        <f t="shared" si="22"/>
        <v>0</v>
      </c>
      <c r="BZ14" s="64" t="str">
        <f t="shared" si="23"/>
        <v/>
      </c>
    </row>
    <row r="15">
      <c r="A15" s="56">
        <v>4.0</v>
      </c>
      <c r="B15" s="57"/>
      <c r="C15" s="58" t="s">
        <v>44</v>
      </c>
      <c r="D15" s="59">
        <v>7.0</v>
      </c>
      <c r="E15" s="59">
        <v>10.0</v>
      </c>
      <c r="F15" s="59">
        <v>5.0</v>
      </c>
      <c r="G15" s="60"/>
      <c r="H15" s="60"/>
      <c r="I15" s="60"/>
      <c r="J15" s="60"/>
      <c r="K15" s="60"/>
      <c r="L15" s="60"/>
      <c r="M15" s="60"/>
      <c r="N15" s="60"/>
      <c r="O15" s="59">
        <v>5.0</v>
      </c>
      <c r="P15" s="60"/>
      <c r="Q15" s="60"/>
      <c r="R15" s="60"/>
      <c r="S15" s="61">
        <f t="shared" si="24"/>
        <v>6.75</v>
      </c>
      <c r="T15" s="62">
        <f t="shared" si="5"/>
        <v>0.675</v>
      </c>
      <c r="U15" s="62">
        <f t="shared" si="6"/>
        <v>6.75</v>
      </c>
      <c r="V15" s="62">
        <f t="shared" si="7"/>
        <v>0.3375</v>
      </c>
      <c r="W15" s="63">
        <f t="shared" si="8"/>
        <v>6.73</v>
      </c>
      <c r="X15" s="64">
        <f t="shared" si="9"/>
        <v>1.01</v>
      </c>
      <c r="Z15" s="2"/>
      <c r="AB15" s="56">
        <v>4.0</v>
      </c>
      <c r="AC15" s="57" t="str">
        <f t="shared" ref="AC15:AD15" si="27">B15</f>
        <v/>
      </c>
      <c r="AD15" s="65" t="str">
        <f t="shared" si="27"/>
        <v>Aylla Murillo Kerly Kristhel</v>
      </c>
      <c r="AE15" s="60"/>
      <c r="AF15" s="68">
        <v>10.0</v>
      </c>
      <c r="AG15" s="69"/>
      <c r="AH15" s="69"/>
      <c r="AI15" s="68">
        <v>10.0</v>
      </c>
      <c r="AJ15" s="69"/>
      <c r="AK15" s="68">
        <v>10.0</v>
      </c>
      <c r="AL15" s="69"/>
      <c r="AM15" s="68">
        <v>10.0</v>
      </c>
      <c r="AN15" s="69"/>
      <c r="AO15" s="68">
        <v>10.0</v>
      </c>
      <c r="AP15" s="60"/>
      <c r="AQ15" s="60"/>
      <c r="AR15" s="60"/>
      <c r="AS15" s="60"/>
      <c r="AT15" s="61">
        <f t="shared" si="11"/>
        <v>10</v>
      </c>
      <c r="AU15" s="62">
        <f t="shared" si="12"/>
        <v>1</v>
      </c>
      <c r="AV15" s="62">
        <f t="shared" si="13"/>
        <v>10</v>
      </c>
      <c r="AW15" s="62">
        <f t="shared" si="14"/>
        <v>0.5</v>
      </c>
      <c r="AX15" s="63">
        <f t="shared" si="15"/>
        <v>10</v>
      </c>
      <c r="AY15" s="64">
        <f t="shared" si="16"/>
        <v>1.5</v>
      </c>
      <c r="BA15" s="2"/>
      <c r="BC15" s="56">
        <v>4.0</v>
      </c>
      <c r="BD15" s="57" t="str">
        <f t="shared" ref="BD15:BE15" si="28">B15</f>
        <v/>
      </c>
      <c r="BE15" s="65" t="str">
        <f t="shared" si="28"/>
        <v>Aylla Murillo Kerly Kristhel</v>
      </c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1" t="str">
        <f t="shared" si="18"/>
        <v>#DIV/0!</v>
      </c>
      <c r="BV15" s="62">
        <f t="shared" si="19"/>
        <v>0</v>
      </c>
      <c r="BW15" s="62" t="str">
        <f t="shared" si="20"/>
        <v>#DIV/0!</v>
      </c>
      <c r="BX15" s="62" t="str">
        <f t="shared" si="21"/>
        <v>#DIV/0!</v>
      </c>
      <c r="BY15" s="63">
        <f t="shared" si="22"/>
        <v>0</v>
      </c>
      <c r="BZ15" s="64" t="str">
        <f t="shared" si="23"/>
        <v/>
      </c>
    </row>
    <row r="16">
      <c r="A16" s="56">
        <v>5.0</v>
      </c>
      <c r="B16" s="57"/>
      <c r="C16" s="58" t="s">
        <v>45</v>
      </c>
      <c r="D16" s="59">
        <v>7.0</v>
      </c>
      <c r="E16" s="59">
        <v>10.0</v>
      </c>
      <c r="F16" s="59">
        <v>2.0</v>
      </c>
      <c r="G16" s="60"/>
      <c r="H16" s="60"/>
      <c r="I16" s="60"/>
      <c r="J16" s="60"/>
      <c r="K16" s="60"/>
      <c r="L16" s="60"/>
      <c r="M16" s="60"/>
      <c r="N16" s="60"/>
      <c r="O16" s="59">
        <v>5.0</v>
      </c>
      <c r="P16" s="60"/>
      <c r="Q16" s="60"/>
      <c r="R16" s="60"/>
      <c r="S16" s="61">
        <f t="shared" si="24"/>
        <v>6</v>
      </c>
      <c r="T16" s="62">
        <f t="shared" si="5"/>
        <v>0.6</v>
      </c>
      <c r="U16" s="62">
        <f t="shared" si="6"/>
        <v>6</v>
      </c>
      <c r="V16" s="62">
        <f t="shared" si="7"/>
        <v>0.3</v>
      </c>
      <c r="W16" s="63">
        <f t="shared" si="8"/>
        <v>6</v>
      </c>
      <c r="X16" s="64">
        <f t="shared" si="9"/>
        <v>0.9</v>
      </c>
      <c r="Z16" s="2"/>
      <c r="AB16" s="56">
        <v>5.0</v>
      </c>
      <c r="AC16" s="57" t="str">
        <f t="shared" ref="AC16:AD16" si="29">B16</f>
        <v/>
      </c>
      <c r="AD16" s="65" t="str">
        <f t="shared" si="29"/>
        <v>Campuzano Meza Naydelyn Odeth</v>
      </c>
      <c r="AE16" s="60"/>
      <c r="AF16" s="59">
        <v>2.0</v>
      </c>
      <c r="AG16" s="60"/>
      <c r="AH16" s="60"/>
      <c r="AI16" s="59">
        <v>2.0</v>
      </c>
      <c r="AJ16" s="60"/>
      <c r="AK16" s="59">
        <v>2.0</v>
      </c>
      <c r="AL16" s="60"/>
      <c r="AM16" s="59">
        <v>2.0</v>
      </c>
      <c r="AN16" s="60"/>
      <c r="AO16" s="59">
        <v>2.0</v>
      </c>
      <c r="AP16" s="60"/>
      <c r="AQ16" s="60"/>
      <c r="AR16" s="60"/>
      <c r="AS16" s="60"/>
      <c r="AT16" s="61">
        <f t="shared" si="11"/>
        <v>2</v>
      </c>
      <c r="AU16" s="62">
        <f t="shared" si="12"/>
        <v>0.2</v>
      </c>
      <c r="AV16" s="62">
        <f t="shared" si="13"/>
        <v>2</v>
      </c>
      <c r="AW16" s="62">
        <f t="shared" si="14"/>
        <v>0.1</v>
      </c>
      <c r="AX16" s="63">
        <f t="shared" si="15"/>
        <v>2</v>
      </c>
      <c r="AY16" s="64">
        <f t="shared" si="16"/>
        <v>0.3</v>
      </c>
      <c r="BA16" s="2"/>
      <c r="BC16" s="56">
        <v>5.0</v>
      </c>
      <c r="BD16" s="57" t="str">
        <f t="shared" ref="BD16:BE16" si="30">B16</f>
        <v/>
      </c>
      <c r="BE16" s="65" t="str">
        <f t="shared" si="30"/>
        <v>Campuzano Meza Naydelyn Odeth</v>
      </c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1" t="str">
        <f t="shared" si="18"/>
        <v>#DIV/0!</v>
      </c>
      <c r="BV16" s="62">
        <f t="shared" si="19"/>
        <v>0</v>
      </c>
      <c r="BW16" s="62" t="str">
        <f t="shared" si="20"/>
        <v>#DIV/0!</v>
      </c>
      <c r="BX16" s="62" t="str">
        <f t="shared" si="21"/>
        <v>#DIV/0!</v>
      </c>
      <c r="BY16" s="63">
        <f t="shared" si="22"/>
        <v>0</v>
      </c>
      <c r="BZ16" s="64" t="str">
        <f t="shared" si="23"/>
        <v/>
      </c>
    </row>
    <row r="17" ht="15.0" customHeight="1">
      <c r="A17" s="56">
        <v>6.0</v>
      </c>
      <c r="B17" s="57"/>
      <c r="C17" s="58" t="s">
        <v>46</v>
      </c>
      <c r="D17" s="59">
        <v>10.0</v>
      </c>
      <c r="E17" s="59">
        <v>10.0</v>
      </c>
      <c r="F17" s="59">
        <v>9.5</v>
      </c>
      <c r="G17" s="60"/>
      <c r="H17" s="60"/>
      <c r="I17" s="60"/>
      <c r="J17" s="60"/>
      <c r="K17" s="60"/>
      <c r="L17" s="60"/>
      <c r="M17" s="60"/>
      <c r="N17" s="60"/>
      <c r="O17" s="59">
        <v>10.0</v>
      </c>
      <c r="P17" s="60"/>
      <c r="Q17" s="60"/>
      <c r="R17" s="60"/>
      <c r="S17" s="61">
        <f t="shared" si="24"/>
        <v>9.875</v>
      </c>
      <c r="T17" s="62">
        <f t="shared" si="5"/>
        <v>0.987</v>
      </c>
      <c r="U17" s="62">
        <f t="shared" si="6"/>
        <v>9.875</v>
      </c>
      <c r="V17" s="62">
        <f t="shared" si="7"/>
        <v>0.49375</v>
      </c>
      <c r="W17" s="63">
        <f t="shared" si="8"/>
        <v>9.87</v>
      </c>
      <c r="X17" s="64">
        <f t="shared" si="9"/>
        <v>1.48</v>
      </c>
      <c r="Z17" s="2"/>
      <c r="AB17" s="56">
        <v>6.0</v>
      </c>
      <c r="AC17" s="57" t="str">
        <f t="shared" ref="AC17:AD17" si="31">B17</f>
        <v/>
      </c>
      <c r="AD17" s="65" t="str">
        <f t="shared" si="31"/>
        <v>Cantos Zúñiga a Hernán Snayder</v>
      </c>
      <c r="AE17" s="60"/>
      <c r="AF17" s="59">
        <v>10.0</v>
      </c>
      <c r="AG17" s="60"/>
      <c r="AH17" s="60"/>
      <c r="AI17" s="59">
        <v>10.0</v>
      </c>
      <c r="AJ17" s="60"/>
      <c r="AK17" s="59">
        <v>10.0</v>
      </c>
      <c r="AL17" s="60"/>
      <c r="AM17" s="59">
        <v>10.0</v>
      </c>
      <c r="AN17" s="60"/>
      <c r="AO17" s="59">
        <v>10.0</v>
      </c>
      <c r="AP17" s="60"/>
      <c r="AQ17" s="60"/>
      <c r="AR17" s="60"/>
      <c r="AS17" s="60"/>
      <c r="AT17" s="61">
        <f t="shared" si="11"/>
        <v>10</v>
      </c>
      <c r="AU17" s="62">
        <f t="shared" si="12"/>
        <v>1</v>
      </c>
      <c r="AV17" s="62">
        <f t="shared" si="13"/>
        <v>10</v>
      </c>
      <c r="AW17" s="62">
        <f t="shared" si="14"/>
        <v>0.5</v>
      </c>
      <c r="AX17" s="63">
        <f t="shared" si="15"/>
        <v>10</v>
      </c>
      <c r="AY17" s="64">
        <f t="shared" si="16"/>
        <v>1.5</v>
      </c>
      <c r="BA17" s="2"/>
      <c r="BC17" s="56">
        <v>6.0</v>
      </c>
      <c r="BD17" s="57" t="str">
        <f t="shared" ref="BD17:BE17" si="32">B17</f>
        <v/>
      </c>
      <c r="BE17" s="65" t="str">
        <f t="shared" si="32"/>
        <v>Cantos Zúñiga a Hernán Snayder</v>
      </c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1" t="str">
        <f t="shared" si="18"/>
        <v>#DIV/0!</v>
      </c>
      <c r="BV17" s="62">
        <f t="shared" si="19"/>
        <v>0</v>
      </c>
      <c r="BW17" s="62" t="str">
        <f t="shared" si="20"/>
        <v>#DIV/0!</v>
      </c>
      <c r="BX17" s="62" t="str">
        <f t="shared" si="21"/>
        <v>#DIV/0!</v>
      </c>
      <c r="BY17" s="63">
        <f t="shared" si="22"/>
        <v>0</v>
      </c>
      <c r="BZ17" s="64" t="str">
        <f t="shared" si="23"/>
        <v/>
      </c>
    </row>
    <row r="18">
      <c r="A18" s="56">
        <v>7.0</v>
      </c>
      <c r="B18" s="57"/>
      <c r="C18" s="58" t="s">
        <v>47</v>
      </c>
      <c r="D18" s="59">
        <v>10.0</v>
      </c>
      <c r="E18" s="59">
        <v>10.0</v>
      </c>
      <c r="F18" s="59">
        <v>8.0</v>
      </c>
      <c r="G18" s="60"/>
      <c r="H18" s="60"/>
      <c r="I18" s="60"/>
      <c r="J18" s="60"/>
      <c r="K18" s="60"/>
      <c r="L18" s="60"/>
      <c r="M18" s="60"/>
      <c r="N18" s="60"/>
      <c r="O18" s="59">
        <v>8.0</v>
      </c>
      <c r="P18" s="60"/>
      <c r="Q18" s="60"/>
      <c r="R18" s="60"/>
      <c r="S18" s="61">
        <f t="shared" si="24"/>
        <v>9</v>
      </c>
      <c r="T18" s="62">
        <f t="shared" si="5"/>
        <v>0.9</v>
      </c>
      <c r="U18" s="62">
        <f t="shared" si="6"/>
        <v>9</v>
      </c>
      <c r="V18" s="62">
        <f t="shared" si="7"/>
        <v>0.45</v>
      </c>
      <c r="W18" s="63">
        <f t="shared" si="8"/>
        <v>9</v>
      </c>
      <c r="X18" s="64">
        <f t="shared" si="9"/>
        <v>1.35</v>
      </c>
      <c r="Z18" s="2"/>
      <c r="AB18" s="56">
        <v>7.0</v>
      </c>
      <c r="AC18" s="57" t="str">
        <f t="shared" ref="AC18:AD18" si="33">B18</f>
        <v/>
      </c>
      <c r="AD18" s="65" t="str">
        <f t="shared" si="33"/>
        <v>Carranza Dumes Genesis Daniela</v>
      </c>
      <c r="AE18" s="60"/>
      <c r="AF18" s="59">
        <v>2.0</v>
      </c>
      <c r="AG18" s="60"/>
      <c r="AH18" s="60"/>
      <c r="AI18" s="59">
        <v>2.0</v>
      </c>
      <c r="AJ18" s="60"/>
      <c r="AK18" s="59">
        <v>2.0</v>
      </c>
      <c r="AL18" s="60"/>
      <c r="AM18" s="59">
        <v>2.0</v>
      </c>
      <c r="AN18" s="60"/>
      <c r="AO18" s="59">
        <v>2.0</v>
      </c>
      <c r="AP18" s="60"/>
      <c r="AQ18" s="60"/>
      <c r="AR18" s="60"/>
      <c r="AS18" s="60"/>
      <c r="AT18" s="61">
        <f t="shared" si="11"/>
        <v>2</v>
      </c>
      <c r="AU18" s="62">
        <f t="shared" si="12"/>
        <v>0.2</v>
      </c>
      <c r="AV18" s="62">
        <f t="shared" si="13"/>
        <v>2</v>
      </c>
      <c r="AW18" s="62">
        <f t="shared" si="14"/>
        <v>0.1</v>
      </c>
      <c r="AX18" s="63">
        <f t="shared" si="15"/>
        <v>2</v>
      </c>
      <c r="AY18" s="64">
        <f t="shared" si="16"/>
        <v>0.3</v>
      </c>
      <c r="BA18" s="2"/>
      <c r="BC18" s="56">
        <v>7.0</v>
      </c>
      <c r="BD18" s="57" t="str">
        <f t="shared" ref="BD18:BE18" si="34">B18</f>
        <v/>
      </c>
      <c r="BE18" s="65" t="str">
        <f t="shared" si="34"/>
        <v>Carranza Dumes Genesis Daniela</v>
      </c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1" t="str">
        <f t="shared" si="18"/>
        <v>#DIV/0!</v>
      </c>
      <c r="BV18" s="62">
        <f t="shared" si="19"/>
        <v>0</v>
      </c>
      <c r="BW18" s="62" t="str">
        <f t="shared" si="20"/>
        <v>#DIV/0!</v>
      </c>
      <c r="BX18" s="62" t="str">
        <f t="shared" si="21"/>
        <v>#DIV/0!</v>
      </c>
      <c r="BY18" s="63">
        <f t="shared" si="22"/>
        <v>0</v>
      </c>
      <c r="BZ18" s="64" t="str">
        <f t="shared" si="23"/>
        <v/>
      </c>
    </row>
    <row r="19">
      <c r="A19" s="56">
        <v>8.0</v>
      </c>
      <c r="B19" s="57"/>
      <c r="C19" s="58" t="s">
        <v>48</v>
      </c>
      <c r="D19" s="59">
        <v>7.0</v>
      </c>
      <c r="E19" s="59">
        <v>10.0</v>
      </c>
      <c r="F19" s="59">
        <v>2.0</v>
      </c>
      <c r="G19" s="60"/>
      <c r="H19" s="60"/>
      <c r="I19" s="60"/>
      <c r="J19" s="60"/>
      <c r="K19" s="60"/>
      <c r="L19" s="60"/>
      <c r="M19" s="60"/>
      <c r="N19" s="60"/>
      <c r="O19" s="59">
        <v>5.0</v>
      </c>
      <c r="P19" s="60"/>
      <c r="Q19" s="60"/>
      <c r="R19" s="60"/>
      <c r="S19" s="61">
        <f t="shared" si="24"/>
        <v>6</v>
      </c>
      <c r="T19" s="62">
        <f t="shared" si="5"/>
        <v>0.6</v>
      </c>
      <c r="U19" s="62">
        <f t="shared" si="6"/>
        <v>6</v>
      </c>
      <c r="V19" s="62">
        <f t="shared" si="7"/>
        <v>0.3</v>
      </c>
      <c r="W19" s="63">
        <f t="shared" si="8"/>
        <v>6</v>
      </c>
      <c r="X19" s="64">
        <f t="shared" si="9"/>
        <v>0.9</v>
      </c>
      <c r="Z19" s="2"/>
      <c r="AB19" s="56">
        <v>8.0</v>
      </c>
      <c r="AC19" s="57" t="str">
        <f t="shared" ref="AC19:AD19" si="35">B19</f>
        <v/>
      </c>
      <c r="AD19" s="65" t="str">
        <f t="shared" si="35"/>
        <v>Castro De La Rosa Cristopher Ruben</v>
      </c>
      <c r="AE19" s="60"/>
      <c r="AF19" s="59">
        <v>2.0</v>
      </c>
      <c r="AG19" s="60"/>
      <c r="AH19" s="60"/>
      <c r="AI19" s="59">
        <v>2.0</v>
      </c>
      <c r="AJ19" s="60"/>
      <c r="AK19" s="59">
        <v>2.0</v>
      </c>
      <c r="AL19" s="60"/>
      <c r="AM19" s="59">
        <v>2.0</v>
      </c>
      <c r="AN19" s="60"/>
      <c r="AO19" s="59">
        <v>2.0</v>
      </c>
      <c r="AP19" s="60"/>
      <c r="AQ19" s="60"/>
      <c r="AR19" s="60"/>
      <c r="AS19" s="60"/>
      <c r="AT19" s="61">
        <f t="shared" si="11"/>
        <v>2</v>
      </c>
      <c r="AU19" s="62">
        <f t="shared" si="12"/>
        <v>0.2</v>
      </c>
      <c r="AV19" s="62">
        <f t="shared" si="13"/>
        <v>2</v>
      </c>
      <c r="AW19" s="62">
        <f t="shared" si="14"/>
        <v>0.1</v>
      </c>
      <c r="AX19" s="63">
        <f t="shared" si="15"/>
        <v>2</v>
      </c>
      <c r="AY19" s="64">
        <f t="shared" si="16"/>
        <v>0.3</v>
      </c>
      <c r="BA19" s="2"/>
      <c r="BC19" s="56">
        <v>8.0</v>
      </c>
      <c r="BD19" s="57" t="str">
        <f t="shared" ref="BD19:BE19" si="36">B19</f>
        <v/>
      </c>
      <c r="BE19" s="65" t="str">
        <f t="shared" si="36"/>
        <v>Castro De La Rosa Cristopher Ruben</v>
      </c>
      <c r="BF19" s="67"/>
      <c r="BG19" s="67"/>
      <c r="BH19" s="60"/>
      <c r="BI19" s="67"/>
      <c r="BJ19" s="67"/>
      <c r="BK19" s="60"/>
      <c r="BL19" s="67"/>
      <c r="BM19" s="67"/>
      <c r="BN19" s="67"/>
      <c r="BO19" s="67"/>
      <c r="BP19" s="67"/>
      <c r="BQ19" s="67"/>
      <c r="BR19" s="67"/>
      <c r="BS19" s="67"/>
      <c r="BT19" s="67"/>
      <c r="BU19" s="61" t="str">
        <f t="shared" si="18"/>
        <v>#DIV/0!</v>
      </c>
      <c r="BV19" s="62">
        <f t="shared" si="19"/>
        <v>0</v>
      </c>
      <c r="BW19" s="62" t="str">
        <f t="shared" si="20"/>
        <v>#DIV/0!</v>
      </c>
      <c r="BX19" s="62" t="str">
        <f t="shared" si="21"/>
        <v>#DIV/0!</v>
      </c>
      <c r="BY19" s="63">
        <f t="shared" si="22"/>
        <v>0</v>
      </c>
      <c r="BZ19" s="64" t="str">
        <f t="shared" si="23"/>
        <v/>
      </c>
    </row>
    <row r="20">
      <c r="A20" s="56">
        <v>9.0</v>
      </c>
      <c r="B20" s="57"/>
      <c r="C20" s="58" t="s">
        <v>49</v>
      </c>
      <c r="D20" s="59">
        <v>7.0</v>
      </c>
      <c r="E20" s="59">
        <v>10.0</v>
      </c>
      <c r="F20" s="59">
        <v>2.0</v>
      </c>
      <c r="G20" s="60"/>
      <c r="H20" s="60"/>
      <c r="I20" s="60"/>
      <c r="J20" s="60"/>
      <c r="K20" s="60"/>
      <c r="L20" s="60"/>
      <c r="M20" s="60"/>
      <c r="N20" s="60"/>
      <c r="O20" s="59">
        <v>5.0</v>
      </c>
      <c r="P20" s="60"/>
      <c r="Q20" s="60"/>
      <c r="R20" s="60"/>
      <c r="S20" s="61">
        <f t="shared" si="24"/>
        <v>6</v>
      </c>
      <c r="T20" s="62">
        <f t="shared" si="5"/>
        <v>0.6</v>
      </c>
      <c r="U20" s="62">
        <f t="shared" si="6"/>
        <v>6</v>
      </c>
      <c r="V20" s="62">
        <f t="shared" si="7"/>
        <v>0.3</v>
      </c>
      <c r="W20" s="63">
        <f t="shared" si="8"/>
        <v>6</v>
      </c>
      <c r="X20" s="64">
        <f t="shared" si="9"/>
        <v>0.9</v>
      </c>
      <c r="Z20" s="2"/>
      <c r="AB20" s="56">
        <v>9.0</v>
      </c>
      <c r="AC20" s="57" t="str">
        <f t="shared" ref="AC20:AD20" si="37">B20</f>
        <v/>
      </c>
      <c r="AD20" s="65" t="str">
        <f t="shared" si="37"/>
        <v>Chamba Maurad Joshelyn Juleixi</v>
      </c>
      <c r="AE20" s="60"/>
      <c r="AF20" s="59">
        <v>10.0</v>
      </c>
      <c r="AG20" s="60"/>
      <c r="AH20" s="60"/>
      <c r="AI20" s="59">
        <v>10.0</v>
      </c>
      <c r="AJ20" s="60"/>
      <c r="AK20" s="59">
        <v>10.0</v>
      </c>
      <c r="AL20" s="60"/>
      <c r="AM20" s="59">
        <v>10.0</v>
      </c>
      <c r="AN20" s="60"/>
      <c r="AO20" s="59">
        <v>10.0</v>
      </c>
      <c r="AP20" s="60"/>
      <c r="AQ20" s="60"/>
      <c r="AR20" s="60"/>
      <c r="AS20" s="60"/>
      <c r="AT20" s="61">
        <f t="shared" si="11"/>
        <v>10</v>
      </c>
      <c r="AU20" s="62">
        <f t="shared" si="12"/>
        <v>1</v>
      </c>
      <c r="AV20" s="62">
        <f t="shared" si="13"/>
        <v>10</v>
      </c>
      <c r="AW20" s="62">
        <f t="shared" si="14"/>
        <v>0.5</v>
      </c>
      <c r="AX20" s="63">
        <f t="shared" si="15"/>
        <v>10</v>
      </c>
      <c r="AY20" s="64">
        <f t="shared" si="16"/>
        <v>1.5</v>
      </c>
      <c r="BA20" s="2"/>
      <c r="BC20" s="56">
        <v>9.0</v>
      </c>
      <c r="BD20" s="57" t="str">
        <f t="shared" ref="BD20:BE20" si="38">B20</f>
        <v/>
      </c>
      <c r="BE20" s="65" t="str">
        <f t="shared" si="38"/>
        <v>Chamba Maurad Joshelyn Juleixi</v>
      </c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1" t="str">
        <f t="shared" si="18"/>
        <v>#DIV/0!</v>
      </c>
      <c r="BV20" s="62">
        <f t="shared" si="19"/>
        <v>0</v>
      </c>
      <c r="BW20" s="62" t="str">
        <f t="shared" si="20"/>
        <v>#DIV/0!</v>
      </c>
      <c r="BX20" s="62" t="str">
        <f t="shared" si="21"/>
        <v>#DIV/0!</v>
      </c>
      <c r="BY20" s="63">
        <f t="shared" si="22"/>
        <v>0</v>
      </c>
      <c r="BZ20" s="64" t="str">
        <f t="shared" si="23"/>
        <v/>
      </c>
    </row>
    <row r="21" ht="15.75" customHeight="1">
      <c r="A21" s="56">
        <v>10.0</v>
      </c>
      <c r="B21" s="57"/>
      <c r="C21" s="70" t="s">
        <v>50</v>
      </c>
      <c r="D21" s="59">
        <v>7.0</v>
      </c>
      <c r="E21" s="59">
        <v>10.0</v>
      </c>
      <c r="F21" s="59">
        <v>2.0</v>
      </c>
      <c r="G21" s="60"/>
      <c r="H21" s="60"/>
      <c r="I21" s="60"/>
      <c r="J21" s="60"/>
      <c r="K21" s="60"/>
      <c r="L21" s="60"/>
      <c r="M21" s="60"/>
      <c r="N21" s="60"/>
      <c r="O21" s="59">
        <v>5.0</v>
      </c>
      <c r="P21" s="60"/>
      <c r="Q21" s="60"/>
      <c r="R21" s="60"/>
      <c r="S21" s="61">
        <f t="shared" si="24"/>
        <v>6</v>
      </c>
      <c r="T21" s="62">
        <f t="shared" si="5"/>
        <v>0.6</v>
      </c>
      <c r="U21" s="62">
        <f t="shared" si="6"/>
        <v>6</v>
      </c>
      <c r="V21" s="62">
        <f t="shared" si="7"/>
        <v>0.3</v>
      </c>
      <c r="W21" s="63">
        <f t="shared" si="8"/>
        <v>6</v>
      </c>
      <c r="X21" s="64">
        <f t="shared" si="9"/>
        <v>0.9</v>
      </c>
      <c r="Z21" s="2"/>
      <c r="AB21" s="56">
        <v>10.0</v>
      </c>
      <c r="AC21" s="57" t="str">
        <f t="shared" ref="AC21:AD21" si="39">B21</f>
        <v/>
      </c>
      <c r="AD21" s="65" t="str">
        <f t="shared" si="39"/>
        <v>Cedeño Sanchez Josué</v>
      </c>
      <c r="AE21" s="60"/>
      <c r="AF21" s="59">
        <v>2.0</v>
      </c>
      <c r="AG21" s="60"/>
      <c r="AH21" s="60"/>
      <c r="AI21" s="59">
        <v>2.0</v>
      </c>
      <c r="AJ21" s="60"/>
      <c r="AK21" s="59">
        <v>2.0</v>
      </c>
      <c r="AL21" s="60"/>
      <c r="AM21" s="59">
        <v>2.0</v>
      </c>
      <c r="AN21" s="60"/>
      <c r="AO21" s="59">
        <v>2.0</v>
      </c>
      <c r="AP21" s="60"/>
      <c r="AQ21" s="60"/>
      <c r="AR21" s="60"/>
      <c r="AS21" s="60"/>
      <c r="AT21" s="61">
        <f t="shared" si="11"/>
        <v>2</v>
      </c>
      <c r="AU21" s="62">
        <f t="shared" si="12"/>
        <v>0.2</v>
      </c>
      <c r="AV21" s="62">
        <f t="shared" si="13"/>
        <v>2</v>
      </c>
      <c r="AW21" s="62">
        <f t="shared" si="14"/>
        <v>0.1</v>
      </c>
      <c r="AX21" s="63">
        <f t="shared" si="15"/>
        <v>2</v>
      </c>
      <c r="AY21" s="64">
        <f t="shared" si="16"/>
        <v>0.3</v>
      </c>
      <c r="BA21" s="2"/>
      <c r="BC21" s="56">
        <v>10.0</v>
      </c>
      <c r="BD21" s="57" t="str">
        <f t="shared" ref="BD21:BE21" si="40">B21</f>
        <v/>
      </c>
      <c r="BE21" s="65" t="str">
        <f t="shared" si="40"/>
        <v>Cedeño Sanchez Josué</v>
      </c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1" t="str">
        <f t="shared" si="18"/>
        <v>#DIV/0!</v>
      </c>
      <c r="BV21" s="62">
        <f t="shared" si="19"/>
        <v>0</v>
      </c>
      <c r="BW21" s="62" t="str">
        <f t="shared" si="20"/>
        <v>#DIV/0!</v>
      </c>
      <c r="BX21" s="62" t="str">
        <f t="shared" si="21"/>
        <v>#DIV/0!</v>
      </c>
      <c r="BY21" s="63">
        <f t="shared" si="22"/>
        <v>0</v>
      </c>
      <c r="BZ21" s="64" t="str">
        <f t="shared" si="23"/>
        <v/>
      </c>
    </row>
    <row r="22" ht="15.75" customHeight="1">
      <c r="A22" s="56">
        <v>11.0</v>
      </c>
      <c r="B22" s="57"/>
      <c r="C22" s="58" t="s">
        <v>51</v>
      </c>
      <c r="D22" s="59">
        <v>10.0</v>
      </c>
      <c r="E22" s="59">
        <v>10.0</v>
      </c>
      <c r="F22" s="59">
        <v>10.0</v>
      </c>
      <c r="G22" s="60"/>
      <c r="H22" s="60"/>
      <c r="I22" s="60"/>
      <c r="J22" s="60"/>
      <c r="K22" s="60"/>
      <c r="L22" s="60"/>
      <c r="M22" s="60"/>
      <c r="N22" s="60"/>
      <c r="O22" s="59">
        <v>10.0</v>
      </c>
      <c r="P22" s="60"/>
      <c r="Q22" s="60"/>
      <c r="R22" s="60"/>
      <c r="S22" s="61">
        <f t="shared" si="24"/>
        <v>10</v>
      </c>
      <c r="T22" s="62">
        <f t="shared" si="5"/>
        <v>1</v>
      </c>
      <c r="U22" s="62">
        <f t="shared" si="6"/>
        <v>10</v>
      </c>
      <c r="V22" s="62">
        <f t="shared" si="7"/>
        <v>0.5</v>
      </c>
      <c r="W22" s="63">
        <f t="shared" si="8"/>
        <v>10</v>
      </c>
      <c r="X22" s="64">
        <f t="shared" si="9"/>
        <v>1.5</v>
      </c>
      <c r="Z22" s="2"/>
      <c r="AB22" s="56">
        <v>11.0</v>
      </c>
      <c r="AC22" s="57" t="str">
        <f t="shared" ref="AC22:AD22" si="41">B22</f>
        <v/>
      </c>
      <c r="AD22" s="65" t="str">
        <f t="shared" si="41"/>
        <v>Espinoza Martinez Stefano Juliano</v>
      </c>
      <c r="AE22" s="60"/>
      <c r="AF22" s="59">
        <v>10.0</v>
      </c>
      <c r="AG22" s="60"/>
      <c r="AH22" s="60"/>
      <c r="AI22" s="59">
        <v>10.0</v>
      </c>
      <c r="AJ22" s="60"/>
      <c r="AK22" s="59">
        <v>10.0</v>
      </c>
      <c r="AL22" s="60"/>
      <c r="AM22" s="59">
        <v>10.0</v>
      </c>
      <c r="AN22" s="60"/>
      <c r="AO22" s="59">
        <v>10.0</v>
      </c>
      <c r="AP22" s="60"/>
      <c r="AQ22" s="60"/>
      <c r="AR22" s="60"/>
      <c r="AS22" s="60"/>
      <c r="AT22" s="61">
        <f t="shared" si="11"/>
        <v>10</v>
      </c>
      <c r="AU22" s="62">
        <f t="shared" si="12"/>
        <v>1</v>
      </c>
      <c r="AV22" s="62">
        <f t="shared" si="13"/>
        <v>10</v>
      </c>
      <c r="AW22" s="62">
        <f t="shared" si="14"/>
        <v>0.5</v>
      </c>
      <c r="AX22" s="63">
        <f t="shared" si="15"/>
        <v>10</v>
      </c>
      <c r="AY22" s="64">
        <f t="shared" si="16"/>
        <v>1.5</v>
      </c>
      <c r="BA22" s="2"/>
      <c r="BC22" s="56">
        <v>11.0</v>
      </c>
      <c r="BD22" s="57" t="str">
        <f t="shared" ref="BD22:BE22" si="42">B22</f>
        <v/>
      </c>
      <c r="BE22" s="65" t="str">
        <f t="shared" si="42"/>
        <v>Espinoza Martinez Stefano Juliano</v>
      </c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1" t="str">
        <f t="shared" si="18"/>
        <v>#DIV/0!</v>
      </c>
      <c r="BV22" s="62">
        <f t="shared" si="19"/>
        <v>0</v>
      </c>
      <c r="BW22" s="62" t="str">
        <f t="shared" si="20"/>
        <v>#DIV/0!</v>
      </c>
      <c r="BX22" s="62" t="str">
        <f t="shared" si="21"/>
        <v>#DIV/0!</v>
      </c>
      <c r="BY22" s="63">
        <f t="shared" si="22"/>
        <v>0</v>
      </c>
      <c r="BZ22" s="64" t="str">
        <f t="shared" si="23"/>
        <v/>
      </c>
    </row>
    <row r="23" ht="15.75" customHeight="1">
      <c r="A23" s="56">
        <v>12.0</v>
      </c>
      <c r="B23" s="57"/>
      <c r="C23" s="58" t="s">
        <v>52</v>
      </c>
      <c r="D23" s="59">
        <v>10.0</v>
      </c>
      <c r="E23" s="59">
        <v>10.0</v>
      </c>
      <c r="F23" s="59">
        <v>2.0</v>
      </c>
      <c r="G23" s="60"/>
      <c r="H23" s="60"/>
      <c r="I23" s="60"/>
      <c r="J23" s="60"/>
      <c r="K23" s="60"/>
      <c r="L23" s="60"/>
      <c r="M23" s="60"/>
      <c r="N23" s="60"/>
      <c r="O23" s="59">
        <v>7.0</v>
      </c>
      <c r="P23" s="60"/>
      <c r="Q23" s="60"/>
      <c r="R23" s="60"/>
      <c r="S23" s="61">
        <f t="shared" si="24"/>
        <v>7.25</v>
      </c>
      <c r="T23" s="62">
        <f t="shared" si="5"/>
        <v>0.725</v>
      </c>
      <c r="U23" s="62">
        <f t="shared" si="6"/>
        <v>7.25</v>
      </c>
      <c r="V23" s="62">
        <f t="shared" si="7"/>
        <v>0.3625</v>
      </c>
      <c r="W23" s="63">
        <f t="shared" si="8"/>
        <v>7.2</v>
      </c>
      <c r="X23" s="64">
        <f t="shared" si="9"/>
        <v>1.08</v>
      </c>
      <c r="Z23" s="2"/>
      <c r="AB23" s="56">
        <v>12.0</v>
      </c>
      <c r="AC23" s="57" t="str">
        <f t="shared" ref="AC23:AD23" si="43">B23</f>
        <v/>
      </c>
      <c r="AD23" s="65" t="str">
        <f t="shared" si="43"/>
        <v>Espinoza Morante Melany Ginger</v>
      </c>
      <c r="AE23" s="60"/>
      <c r="AF23" s="59">
        <v>10.0</v>
      </c>
      <c r="AG23" s="60"/>
      <c r="AH23" s="60"/>
      <c r="AI23" s="59">
        <v>10.0</v>
      </c>
      <c r="AJ23" s="60"/>
      <c r="AK23" s="59">
        <v>10.0</v>
      </c>
      <c r="AL23" s="60"/>
      <c r="AM23" s="59">
        <v>10.0</v>
      </c>
      <c r="AN23" s="60"/>
      <c r="AO23" s="59">
        <v>10.0</v>
      </c>
      <c r="AP23" s="60"/>
      <c r="AQ23" s="60"/>
      <c r="AR23" s="60"/>
      <c r="AS23" s="60"/>
      <c r="AT23" s="61">
        <f t="shared" si="11"/>
        <v>10</v>
      </c>
      <c r="AU23" s="62">
        <f t="shared" si="12"/>
        <v>1</v>
      </c>
      <c r="AV23" s="62">
        <f t="shared" si="13"/>
        <v>10</v>
      </c>
      <c r="AW23" s="62">
        <f t="shared" si="14"/>
        <v>0.5</v>
      </c>
      <c r="AX23" s="63">
        <f t="shared" si="15"/>
        <v>10</v>
      </c>
      <c r="AY23" s="64">
        <f t="shared" si="16"/>
        <v>1.5</v>
      </c>
      <c r="BA23" s="2"/>
      <c r="BC23" s="56">
        <v>12.0</v>
      </c>
      <c r="BD23" s="57" t="str">
        <f t="shared" ref="BD23:BE23" si="44">B23</f>
        <v/>
      </c>
      <c r="BE23" s="65" t="str">
        <f t="shared" si="44"/>
        <v>Espinoza Morante Melany Ginger</v>
      </c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1" t="str">
        <f t="shared" si="18"/>
        <v>#DIV/0!</v>
      </c>
      <c r="BV23" s="62">
        <f t="shared" si="19"/>
        <v>0</v>
      </c>
      <c r="BW23" s="62" t="str">
        <f t="shared" si="20"/>
        <v>#DIV/0!</v>
      </c>
      <c r="BX23" s="62" t="str">
        <f t="shared" si="21"/>
        <v>#DIV/0!</v>
      </c>
      <c r="BY23" s="63">
        <f t="shared" si="22"/>
        <v>0</v>
      </c>
      <c r="BZ23" s="64" t="str">
        <f t="shared" si="23"/>
        <v/>
      </c>
    </row>
    <row r="24" ht="15.75" customHeight="1">
      <c r="A24" s="56">
        <v>13.0</v>
      </c>
      <c r="B24" s="57"/>
      <c r="C24" s="58" t="s">
        <v>53</v>
      </c>
      <c r="D24" s="59">
        <v>10.0</v>
      </c>
      <c r="E24" s="59">
        <v>10.0</v>
      </c>
      <c r="F24" s="59">
        <v>9.0</v>
      </c>
      <c r="G24" s="60"/>
      <c r="H24" s="60"/>
      <c r="I24" s="60"/>
      <c r="J24" s="60"/>
      <c r="K24" s="60"/>
      <c r="L24" s="60"/>
      <c r="M24" s="60"/>
      <c r="N24" s="60"/>
      <c r="O24" s="59">
        <v>7.0</v>
      </c>
      <c r="P24" s="60"/>
      <c r="Q24" s="60"/>
      <c r="R24" s="60"/>
      <c r="S24" s="61">
        <f t="shared" si="24"/>
        <v>9</v>
      </c>
      <c r="T24" s="62">
        <f t="shared" si="5"/>
        <v>0.9</v>
      </c>
      <c r="U24" s="62">
        <f t="shared" si="6"/>
        <v>9</v>
      </c>
      <c r="V24" s="62">
        <f t="shared" si="7"/>
        <v>0.45</v>
      </c>
      <c r="W24" s="63">
        <f t="shared" si="8"/>
        <v>9</v>
      </c>
      <c r="X24" s="64">
        <f t="shared" si="9"/>
        <v>1.35</v>
      </c>
      <c r="Z24" s="2"/>
      <c r="AB24" s="56">
        <v>13.0</v>
      </c>
      <c r="AC24" s="57" t="str">
        <f t="shared" ref="AC24:AD24" si="45">B24</f>
        <v/>
      </c>
      <c r="AD24" s="65" t="str">
        <f t="shared" si="45"/>
        <v>Garrido franco Génesis Lissette</v>
      </c>
      <c r="AE24" s="60"/>
      <c r="AF24" s="59">
        <v>10.0</v>
      </c>
      <c r="AG24" s="60"/>
      <c r="AH24" s="60"/>
      <c r="AI24" s="59">
        <v>10.0</v>
      </c>
      <c r="AJ24" s="60"/>
      <c r="AK24" s="59">
        <v>10.0</v>
      </c>
      <c r="AL24" s="60"/>
      <c r="AM24" s="59">
        <v>10.0</v>
      </c>
      <c r="AN24" s="60"/>
      <c r="AO24" s="59">
        <v>10.0</v>
      </c>
      <c r="AP24" s="60"/>
      <c r="AQ24" s="60"/>
      <c r="AR24" s="60"/>
      <c r="AS24" s="60"/>
      <c r="AT24" s="61">
        <f t="shared" si="11"/>
        <v>10</v>
      </c>
      <c r="AU24" s="62">
        <f t="shared" si="12"/>
        <v>1</v>
      </c>
      <c r="AV24" s="62">
        <f t="shared" si="13"/>
        <v>10</v>
      </c>
      <c r="AW24" s="62">
        <f t="shared" si="14"/>
        <v>0.5</v>
      </c>
      <c r="AX24" s="63">
        <f t="shared" si="15"/>
        <v>10</v>
      </c>
      <c r="AY24" s="64">
        <f t="shared" si="16"/>
        <v>1.5</v>
      </c>
      <c r="BA24" s="2"/>
      <c r="BC24" s="56">
        <v>13.0</v>
      </c>
      <c r="BD24" s="57" t="str">
        <f t="shared" ref="BD24:BE24" si="46">B24</f>
        <v/>
      </c>
      <c r="BE24" s="65" t="str">
        <f t="shared" si="46"/>
        <v>Garrido franco Génesis Lissette</v>
      </c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1" t="str">
        <f t="shared" si="18"/>
        <v>#DIV/0!</v>
      </c>
      <c r="BV24" s="62">
        <f t="shared" si="19"/>
        <v>0</v>
      </c>
      <c r="BW24" s="62" t="str">
        <f t="shared" si="20"/>
        <v>#DIV/0!</v>
      </c>
      <c r="BX24" s="62" t="str">
        <f t="shared" si="21"/>
        <v>#DIV/0!</v>
      </c>
      <c r="BY24" s="63">
        <f t="shared" si="22"/>
        <v>0</v>
      </c>
      <c r="BZ24" s="64" t="str">
        <f t="shared" si="23"/>
        <v/>
      </c>
    </row>
    <row r="25" ht="15.0" customHeight="1">
      <c r="A25" s="56">
        <v>14.0</v>
      </c>
      <c r="B25" s="57"/>
      <c r="C25" s="58" t="s">
        <v>54</v>
      </c>
      <c r="D25" s="59">
        <v>7.0</v>
      </c>
      <c r="E25" s="66">
        <v>10.0</v>
      </c>
      <c r="F25" s="66">
        <v>2.0</v>
      </c>
      <c r="G25" s="67"/>
      <c r="H25" s="67"/>
      <c r="I25" s="67"/>
      <c r="J25" s="67"/>
      <c r="K25" s="67"/>
      <c r="L25" s="67"/>
      <c r="M25" s="67"/>
      <c r="N25" s="67"/>
      <c r="O25" s="66">
        <v>5.0</v>
      </c>
      <c r="P25" s="60"/>
      <c r="Q25" s="60"/>
      <c r="R25" s="60"/>
      <c r="S25" s="61">
        <f t="shared" si="24"/>
        <v>6</v>
      </c>
      <c r="T25" s="62">
        <f t="shared" si="5"/>
        <v>0.6</v>
      </c>
      <c r="U25" s="62">
        <f t="shared" si="6"/>
        <v>6</v>
      </c>
      <c r="V25" s="62">
        <f t="shared" si="7"/>
        <v>0.3</v>
      </c>
      <c r="W25" s="63">
        <f t="shared" si="8"/>
        <v>6</v>
      </c>
      <c r="X25" s="64">
        <f t="shared" si="9"/>
        <v>0.9</v>
      </c>
      <c r="Z25" s="2"/>
      <c r="AB25" s="56">
        <v>14.0</v>
      </c>
      <c r="AC25" s="57" t="str">
        <f t="shared" ref="AC25:AD25" si="47">B25</f>
        <v/>
      </c>
      <c r="AD25" s="65" t="str">
        <f t="shared" si="47"/>
        <v>Gonzalez Gonzalez Jean Carlos</v>
      </c>
      <c r="AE25" s="60"/>
      <c r="AF25" s="59">
        <v>10.0</v>
      </c>
      <c r="AG25" s="60"/>
      <c r="AH25" s="60"/>
      <c r="AI25" s="59">
        <v>10.0</v>
      </c>
      <c r="AJ25" s="60"/>
      <c r="AK25" s="59">
        <v>10.0</v>
      </c>
      <c r="AL25" s="60"/>
      <c r="AM25" s="59">
        <v>10.0</v>
      </c>
      <c r="AN25" s="60"/>
      <c r="AO25" s="59">
        <v>10.0</v>
      </c>
      <c r="AP25" s="60"/>
      <c r="AQ25" s="60"/>
      <c r="AR25" s="60"/>
      <c r="AS25" s="60"/>
      <c r="AT25" s="61">
        <f t="shared" si="11"/>
        <v>10</v>
      </c>
      <c r="AU25" s="62">
        <f t="shared" si="12"/>
        <v>1</v>
      </c>
      <c r="AV25" s="62">
        <f t="shared" si="13"/>
        <v>10</v>
      </c>
      <c r="AW25" s="62">
        <f t="shared" si="14"/>
        <v>0.5</v>
      </c>
      <c r="AX25" s="63">
        <f t="shared" si="15"/>
        <v>10</v>
      </c>
      <c r="AY25" s="64">
        <f t="shared" si="16"/>
        <v>1.5</v>
      </c>
      <c r="BA25" s="2"/>
      <c r="BC25" s="56">
        <v>14.0</v>
      </c>
      <c r="BD25" s="57" t="str">
        <f t="shared" ref="BD25:BE25" si="48">B25</f>
        <v/>
      </c>
      <c r="BE25" s="65" t="str">
        <f t="shared" si="48"/>
        <v>Gonzalez Gonzalez Jean Carlos</v>
      </c>
      <c r="BF25" s="67"/>
      <c r="BG25" s="67"/>
      <c r="BH25" s="60"/>
      <c r="BI25" s="67"/>
      <c r="BJ25" s="67"/>
      <c r="BK25" s="60"/>
      <c r="BL25" s="67"/>
      <c r="BM25" s="67"/>
      <c r="BN25" s="67"/>
      <c r="BO25" s="67"/>
      <c r="BP25" s="67"/>
      <c r="BQ25" s="67"/>
      <c r="BR25" s="67"/>
      <c r="BS25" s="67"/>
      <c r="BT25" s="67"/>
      <c r="BU25" s="61" t="str">
        <f t="shared" si="18"/>
        <v>#DIV/0!</v>
      </c>
      <c r="BV25" s="62">
        <f t="shared" si="19"/>
        <v>0</v>
      </c>
      <c r="BW25" s="62" t="str">
        <f t="shared" si="20"/>
        <v>#DIV/0!</v>
      </c>
      <c r="BX25" s="62" t="str">
        <f t="shared" si="21"/>
        <v>#DIV/0!</v>
      </c>
      <c r="BY25" s="63">
        <f t="shared" si="22"/>
        <v>0</v>
      </c>
      <c r="BZ25" s="64" t="str">
        <f t="shared" si="23"/>
        <v/>
      </c>
    </row>
    <row r="26" ht="15.75" customHeight="1">
      <c r="A26" s="56">
        <v>15.0</v>
      </c>
      <c r="B26" s="57"/>
      <c r="C26" s="58" t="s">
        <v>55</v>
      </c>
      <c r="D26" s="59">
        <v>10.0</v>
      </c>
      <c r="E26" s="59">
        <v>10.0</v>
      </c>
      <c r="F26" s="59">
        <v>2.0</v>
      </c>
      <c r="G26" s="60"/>
      <c r="H26" s="60"/>
      <c r="I26" s="60"/>
      <c r="J26" s="60"/>
      <c r="K26" s="60"/>
      <c r="L26" s="60"/>
      <c r="M26" s="60"/>
      <c r="N26" s="60"/>
      <c r="O26" s="59">
        <v>9.0</v>
      </c>
      <c r="P26" s="60"/>
      <c r="Q26" s="60"/>
      <c r="R26" s="60"/>
      <c r="S26" s="61">
        <f t="shared" si="24"/>
        <v>7.75</v>
      </c>
      <c r="T26" s="62">
        <f t="shared" si="5"/>
        <v>0.775</v>
      </c>
      <c r="U26" s="62">
        <f t="shared" si="6"/>
        <v>7.75</v>
      </c>
      <c r="V26" s="62">
        <f t="shared" si="7"/>
        <v>0.3875</v>
      </c>
      <c r="W26" s="63">
        <f t="shared" si="8"/>
        <v>7.73</v>
      </c>
      <c r="X26" s="64">
        <f t="shared" si="9"/>
        <v>1.16</v>
      </c>
      <c r="Z26" s="2"/>
      <c r="AB26" s="56">
        <v>15.0</v>
      </c>
      <c r="AC26" s="57" t="str">
        <f t="shared" ref="AC26:AD26" si="49">B26</f>
        <v/>
      </c>
      <c r="AD26" s="65" t="str">
        <f t="shared" si="49"/>
        <v>Guevara Benites Jean Pierre</v>
      </c>
      <c r="AE26" s="60"/>
      <c r="AF26" s="59">
        <v>10.0</v>
      </c>
      <c r="AG26" s="60"/>
      <c r="AH26" s="60"/>
      <c r="AI26" s="59">
        <v>10.0</v>
      </c>
      <c r="AJ26" s="60"/>
      <c r="AK26" s="59">
        <v>10.0</v>
      </c>
      <c r="AL26" s="60"/>
      <c r="AM26" s="59">
        <v>10.0</v>
      </c>
      <c r="AN26" s="60"/>
      <c r="AO26" s="59">
        <v>10.0</v>
      </c>
      <c r="AP26" s="60"/>
      <c r="AQ26" s="60"/>
      <c r="AR26" s="60"/>
      <c r="AS26" s="60"/>
      <c r="AT26" s="61">
        <f t="shared" si="11"/>
        <v>10</v>
      </c>
      <c r="AU26" s="62">
        <f t="shared" si="12"/>
        <v>1</v>
      </c>
      <c r="AV26" s="62">
        <f t="shared" si="13"/>
        <v>10</v>
      </c>
      <c r="AW26" s="62">
        <f t="shared" si="14"/>
        <v>0.5</v>
      </c>
      <c r="AX26" s="63">
        <f t="shared" si="15"/>
        <v>10</v>
      </c>
      <c r="AY26" s="64">
        <f t="shared" si="16"/>
        <v>1.5</v>
      </c>
      <c r="BA26" s="2"/>
      <c r="BC26" s="56">
        <v>15.0</v>
      </c>
      <c r="BD26" s="57" t="str">
        <f t="shared" ref="BD26:BE26" si="50">B26</f>
        <v/>
      </c>
      <c r="BE26" s="65" t="str">
        <f t="shared" si="50"/>
        <v>Guevara Benites Jean Pierre</v>
      </c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1" t="str">
        <f t="shared" si="18"/>
        <v>#DIV/0!</v>
      </c>
      <c r="BV26" s="62">
        <f t="shared" si="19"/>
        <v>0</v>
      </c>
      <c r="BW26" s="62" t="str">
        <f t="shared" si="20"/>
        <v>#DIV/0!</v>
      </c>
      <c r="BX26" s="62" t="str">
        <f t="shared" si="21"/>
        <v>#DIV/0!</v>
      </c>
      <c r="BY26" s="63">
        <f t="shared" si="22"/>
        <v>0</v>
      </c>
      <c r="BZ26" s="64" t="str">
        <f t="shared" si="23"/>
        <v/>
      </c>
    </row>
    <row r="27" ht="15.75" customHeight="1">
      <c r="A27" s="56">
        <v>16.0</v>
      </c>
      <c r="B27" s="57"/>
      <c r="C27" s="58" t="s">
        <v>56</v>
      </c>
      <c r="D27" s="59">
        <v>7.0</v>
      </c>
      <c r="E27" s="59">
        <v>10.0</v>
      </c>
      <c r="F27" s="59">
        <v>2.0</v>
      </c>
      <c r="G27" s="60"/>
      <c r="H27" s="60"/>
      <c r="I27" s="60"/>
      <c r="J27" s="60"/>
      <c r="K27" s="60"/>
      <c r="L27" s="60"/>
      <c r="M27" s="60"/>
      <c r="N27" s="60"/>
      <c r="O27" s="59">
        <v>5.0</v>
      </c>
      <c r="P27" s="60"/>
      <c r="Q27" s="60"/>
      <c r="R27" s="60"/>
      <c r="S27" s="61">
        <f t="shared" si="24"/>
        <v>6</v>
      </c>
      <c r="T27" s="62">
        <f t="shared" si="5"/>
        <v>0.6</v>
      </c>
      <c r="U27" s="62">
        <f t="shared" si="6"/>
        <v>6</v>
      </c>
      <c r="V27" s="62">
        <f t="shared" si="7"/>
        <v>0.3</v>
      </c>
      <c r="W27" s="63">
        <f t="shared" si="8"/>
        <v>6</v>
      </c>
      <c r="X27" s="64">
        <f t="shared" si="9"/>
        <v>0.9</v>
      </c>
      <c r="Z27" s="2"/>
      <c r="AB27" s="56">
        <v>16.0</v>
      </c>
      <c r="AC27" s="57" t="str">
        <f t="shared" ref="AC27:AD27" si="51">B27</f>
        <v/>
      </c>
      <c r="AD27" s="65" t="str">
        <f t="shared" si="51"/>
        <v>Mero Carcamo Adriana Carolina</v>
      </c>
      <c r="AE27" s="60"/>
      <c r="AF27" s="59">
        <v>2.0</v>
      </c>
      <c r="AG27" s="60"/>
      <c r="AH27" s="60"/>
      <c r="AI27" s="59">
        <v>2.0</v>
      </c>
      <c r="AJ27" s="60"/>
      <c r="AK27" s="59">
        <v>2.0</v>
      </c>
      <c r="AL27" s="60"/>
      <c r="AM27" s="59">
        <v>2.0</v>
      </c>
      <c r="AN27" s="60"/>
      <c r="AO27" s="59">
        <v>2.0</v>
      </c>
      <c r="AP27" s="60"/>
      <c r="AQ27" s="60"/>
      <c r="AR27" s="60"/>
      <c r="AS27" s="60"/>
      <c r="AT27" s="61">
        <f t="shared" si="11"/>
        <v>2</v>
      </c>
      <c r="AU27" s="62">
        <f t="shared" si="12"/>
        <v>0.2</v>
      </c>
      <c r="AV27" s="62">
        <f t="shared" si="13"/>
        <v>2</v>
      </c>
      <c r="AW27" s="62">
        <f t="shared" si="14"/>
        <v>0.1</v>
      </c>
      <c r="AX27" s="63">
        <f t="shared" si="15"/>
        <v>2</v>
      </c>
      <c r="AY27" s="64">
        <f t="shared" si="16"/>
        <v>0.3</v>
      </c>
      <c r="BA27" s="2"/>
      <c r="BC27" s="56">
        <v>16.0</v>
      </c>
      <c r="BD27" s="57" t="str">
        <f t="shared" ref="BD27:BE27" si="52">B27</f>
        <v/>
      </c>
      <c r="BE27" s="65" t="str">
        <f t="shared" si="52"/>
        <v>Mero Carcamo Adriana Carolina</v>
      </c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1" t="str">
        <f t="shared" si="18"/>
        <v>#DIV/0!</v>
      </c>
      <c r="BV27" s="62">
        <f t="shared" si="19"/>
        <v>0</v>
      </c>
      <c r="BW27" s="62" t="str">
        <f t="shared" si="20"/>
        <v>#DIV/0!</v>
      </c>
      <c r="BX27" s="62" t="str">
        <f t="shared" si="21"/>
        <v>#DIV/0!</v>
      </c>
      <c r="BY27" s="63">
        <f t="shared" si="22"/>
        <v>0</v>
      </c>
      <c r="BZ27" s="64" t="str">
        <f t="shared" si="23"/>
        <v/>
      </c>
    </row>
    <row r="28" ht="15.75" customHeight="1">
      <c r="A28" s="56">
        <v>17.0</v>
      </c>
      <c r="B28" s="57"/>
      <c r="C28" s="58" t="s">
        <v>57</v>
      </c>
      <c r="D28" s="59">
        <v>10.0</v>
      </c>
      <c r="E28" s="59">
        <v>10.0</v>
      </c>
      <c r="F28" s="59">
        <v>10.0</v>
      </c>
      <c r="G28" s="60"/>
      <c r="H28" s="60"/>
      <c r="I28" s="60"/>
      <c r="J28" s="60"/>
      <c r="K28" s="60"/>
      <c r="L28" s="60"/>
      <c r="M28" s="60"/>
      <c r="N28" s="60"/>
      <c r="O28" s="59">
        <v>9.0</v>
      </c>
      <c r="P28" s="60"/>
      <c r="Q28" s="60"/>
      <c r="R28" s="60"/>
      <c r="S28" s="61">
        <f t="shared" si="24"/>
        <v>9.75</v>
      </c>
      <c r="T28" s="62">
        <f t="shared" si="5"/>
        <v>0.975</v>
      </c>
      <c r="U28" s="62">
        <f t="shared" si="6"/>
        <v>9.75</v>
      </c>
      <c r="V28" s="62">
        <f t="shared" si="7"/>
        <v>0.4875</v>
      </c>
      <c r="W28" s="63">
        <f t="shared" si="8"/>
        <v>9.73</v>
      </c>
      <c r="X28" s="64">
        <f t="shared" si="9"/>
        <v>1.46</v>
      </c>
      <c r="Z28" s="2"/>
      <c r="AB28" s="56">
        <v>17.0</v>
      </c>
      <c r="AC28" s="57" t="str">
        <f t="shared" ref="AC28:AD28" si="53">B28</f>
        <v/>
      </c>
      <c r="AD28" s="65" t="str">
        <f t="shared" si="53"/>
        <v>Moreira Villamar Darwin Matias</v>
      </c>
      <c r="AE28" s="60"/>
      <c r="AF28" s="59">
        <v>10.0</v>
      </c>
      <c r="AG28" s="60"/>
      <c r="AH28" s="60"/>
      <c r="AI28" s="59">
        <v>10.0</v>
      </c>
      <c r="AJ28" s="60"/>
      <c r="AK28" s="59">
        <v>10.0</v>
      </c>
      <c r="AL28" s="60"/>
      <c r="AM28" s="59">
        <v>10.0</v>
      </c>
      <c r="AN28" s="60"/>
      <c r="AO28" s="59">
        <v>10.0</v>
      </c>
      <c r="AP28" s="60"/>
      <c r="AQ28" s="60"/>
      <c r="AR28" s="60"/>
      <c r="AS28" s="60"/>
      <c r="AT28" s="61">
        <f t="shared" si="11"/>
        <v>10</v>
      </c>
      <c r="AU28" s="62">
        <f t="shared" si="12"/>
        <v>1</v>
      </c>
      <c r="AV28" s="62">
        <f t="shared" si="13"/>
        <v>10</v>
      </c>
      <c r="AW28" s="62">
        <f t="shared" si="14"/>
        <v>0.5</v>
      </c>
      <c r="AX28" s="63">
        <f t="shared" si="15"/>
        <v>10</v>
      </c>
      <c r="AY28" s="64">
        <f t="shared" si="16"/>
        <v>1.5</v>
      </c>
      <c r="BA28" s="2"/>
      <c r="BC28" s="56">
        <v>17.0</v>
      </c>
      <c r="BD28" s="57" t="str">
        <f t="shared" ref="BD28:BE28" si="54">B28</f>
        <v/>
      </c>
      <c r="BE28" s="65" t="str">
        <f t="shared" si="54"/>
        <v>Moreira Villamar Darwin Matias</v>
      </c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1" t="str">
        <f t="shared" si="18"/>
        <v>#DIV/0!</v>
      </c>
      <c r="BV28" s="62">
        <f t="shared" si="19"/>
        <v>0</v>
      </c>
      <c r="BW28" s="62" t="str">
        <f t="shared" si="20"/>
        <v>#DIV/0!</v>
      </c>
      <c r="BX28" s="62" t="str">
        <f t="shared" si="21"/>
        <v>#DIV/0!</v>
      </c>
      <c r="BY28" s="63">
        <f t="shared" si="22"/>
        <v>0</v>
      </c>
      <c r="BZ28" s="64" t="str">
        <f t="shared" si="23"/>
        <v/>
      </c>
    </row>
    <row r="29" ht="15.75" customHeight="1">
      <c r="A29" s="56">
        <v>18.0</v>
      </c>
      <c r="B29" s="57"/>
      <c r="C29" s="58" t="s">
        <v>58</v>
      </c>
      <c r="D29" s="59">
        <v>10.0</v>
      </c>
      <c r="E29" s="59">
        <v>10.0</v>
      </c>
      <c r="F29" s="59">
        <v>10.0</v>
      </c>
      <c r="G29" s="60"/>
      <c r="H29" s="60"/>
      <c r="I29" s="60"/>
      <c r="J29" s="60"/>
      <c r="K29" s="60"/>
      <c r="L29" s="60"/>
      <c r="M29" s="60"/>
      <c r="N29" s="60"/>
      <c r="O29" s="59">
        <v>7.0</v>
      </c>
      <c r="P29" s="60"/>
      <c r="Q29" s="60"/>
      <c r="R29" s="60"/>
      <c r="S29" s="61">
        <f t="shared" si="24"/>
        <v>9.25</v>
      </c>
      <c r="T29" s="62">
        <f t="shared" si="5"/>
        <v>0.925</v>
      </c>
      <c r="U29" s="62">
        <f t="shared" si="6"/>
        <v>9.25</v>
      </c>
      <c r="V29" s="62">
        <f t="shared" si="7"/>
        <v>0.4625</v>
      </c>
      <c r="W29" s="63">
        <f t="shared" si="8"/>
        <v>9.2</v>
      </c>
      <c r="X29" s="64">
        <f t="shared" si="9"/>
        <v>1.38</v>
      </c>
      <c r="Z29" s="2"/>
      <c r="AB29" s="56">
        <v>18.0</v>
      </c>
      <c r="AC29" s="57" t="str">
        <f t="shared" ref="AC29:AD29" si="55">B29</f>
        <v/>
      </c>
      <c r="AD29" s="65" t="str">
        <f t="shared" si="55"/>
        <v>Peña Macias Enrique Alexander</v>
      </c>
      <c r="AE29" s="60"/>
      <c r="AF29" s="59">
        <v>10.0</v>
      </c>
      <c r="AG29" s="60"/>
      <c r="AH29" s="60"/>
      <c r="AI29" s="59">
        <v>10.0</v>
      </c>
      <c r="AJ29" s="60"/>
      <c r="AK29" s="59">
        <v>10.0</v>
      </c>
      <c r="AL29" s="60"/>
      <c r="AM29" s="59">
        <v>10.0</v>
      </c>
      <c r="AN29" s="60"/>
      <c r="AO29" s="59">
        <v>10.0</v>
      </c>
      <c r="AP29" s="60"/>
      <c r="AQ29" s="60"/>
      <c r="AR29" s="60"/>
      <c r="AS29" s="60"/>
      <c r="AT29" s="61">
        <f t="shared" si="11"/>
        <v>10</v>
      </c>
      <c r="AU29" s="62">
        <f t="shared" si="12"/>
        <v>1</v>
      </c>
      <c r="AV29" s="62">
        <f t="shared" si="13"/>
        <v>10</v>
      </c>
      <c r="AW29" s="62">
        <f t="shared" si="14"/>
        <v>0.5</v>
      </c>
      <c r="AX29" s="63">
        <f t="shared" si="15"/>
        <v>10</v>
      </c>
      <c r="AY29" s="64">
        <f t="shared" si="16"/>
        <v>1.5</v>
      </c>
      <c r="BA29" s="2"/>
      <c r="BC29" s="56">
        <v>18.0</v>
      </c>
      <c r="BD29" s="57" t="str">
        <f t="shared" ref="BD29:BE29" si="56">B29</f>
        <v/>
      </c>
      <c r="BE29" s="65" t="str">
        <f t="shared" si="56"/>
        <v>Peña Macias Enrique Alexander</v>
      </c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1" t="str">
        <f t="shared" si="18"/>
        <v>#DIV/0!</v>
      </c>
      <c r="BV29" s="62">
        <f t="shared" si="19"/>
        <v>0</v>
      </c>
      <c r="BW29" s="62" t="str">
        <f t="shared" si="20"/>
        <v>#DIV/0!</v>
      </c>
      <c r="BX29" s="62" t="str">
        <f t="shared" si="21"/>
        <v>#DIV/0!</v>
      </c>
      <c r="BY29" s="63">
        <f t="shared" si="22"/>
        <v>0</v>
      </c>
      <c r="BZ29" s="64" t="str">
        <f t="shared" si="23"/>
        <v/>
      </c>
    </row>
    <row r="30" ht="15.75" customHeight="1">
      <c r="A30" s="56">
        <v>19.0</v>
      </c>
      <c r="B30" s="57"/>
      <c r="C30" s="58" t="s">
        <v>59</v>
      </c>
      <c r="D30" s="59">
        <v>10.0</v>
      </c>
      <c r="E30" s="59">
        <v>10.0</v>
      </c>
      <c r="F30" s="59">
        <v>9.0</v>
      </c>
      <c r="G30" s="60"/>
      <c r="H30" s="60"/>
      <c r="I30" s="60"/>
      <c r="J30" s="60"/>
      <c r="K30" s="60"/>
      <c r="L30" s="60"/>
      <c r="M30" s="60"/>
      <c r="N30" s="60"/>
      <c r="O30" s="59">
        <v>9.0</v>
      </c>
      <c r="P30" s="60"/>
      <c r="Q30" s="60"/>
      <c r="R30" s="60"/>
      <c r="S30" s="61">
        <f t="shared" si="24"/>
        <v>9.5</v>
      </c>
      <c r="T30" s="62">
        <f t="shared" si="5"/>
        <v>0.95</v>
      </c>
      <c r="U30" s="62">
        <f t="shared" si="6"/>
        <v>9.5</v>
      </c>
      <c r="V30" s="62">
        <f t="shared" si="7"/>
        <v>0.475</v>
      </c>
      <c r="W30" s="63">
        <f t="shared" si="8"/>
        <v>9.47</v>
      </c>
      <c r="X30" s="64">
        <f t="shared" si="9"/>
        <v>1.42</v>
      </c>
      <c r="Z30" s="2"/>
      <c r="AB30" s="56">
        <v>19.0</v>
      </c>
      <c r="AC30" s="57" t="str">
        <f t="shared" ref="AC30:AD30" si="57">B30</f>
        <v/>
      </c>
      <c r="AD30" s="65" t="str">
        <f t="shared" si="57"/>
        <v>Roman Arreaga Stefani Asley</v>
      </c>
      <c r="AE30" s="60"/>
      <c r="AF30" s="59">
        <v>10.0</v>
      </c>
      <c r="AG30" s="60"/>
      <c r="AH30" s="60"/>
      <c r="AI30" s="59">
        <v>10.0</v>
      </c>
      <c r="AJ30" s="60"/>
      <c r="AK30" s="59">
        <v>10.0</v>
      </c>
      <c r="AL30" s="60"/>
      <c r="AM30" s="59">
        <v>10.0</v>
      </c>
      <c r="AN30" s="60"/>
      <c r="AO30" s="59">
        <v>10.0</v>
      </c>
      <c r="AP30" s="60"/>
      <c r="AQ30" s="60"/>
      <c r="AR30" s="60"/>
      <c r="AS30" s="60"/>
      <c r="AT30" s="61">
        <f t="shared" si="11"/>
        <v>10</v>
      </c>
      <c r="AU30" s="62">
        <f t="shared" si="12"/>
        <v>1</v>
      </c>
      <c r="AV30" s="62">
        <f t="shared" si="13"/>
        <v>10</v>
      </c>
      <c r="AW30" s="62">
        <f t="shared" si="14"/>
        <v>0.5</v>
      </c>
      <c r="AX30" s="63">
        <f t="shared" si="15"/>
        <v>10</v>
      </c>
      <c r="AY30" s="64">
        <f t="shared" si="16"/>
        <v>1.5</v>
      </c>
      <c r="BA30" s="2"/>
      <c r="BC30" s="56">
        <v>19.0</v>
      </c>
      <c r="BD30" s="57" t="str">
        <f t="shared" ref="BD30:BE30" si="58">B30</f>
        <v/>
      </c>
      <c r="BE30" s="65" t="str">
        <f t="shared" si="58"/>
        <v>Roman Arreaga Stefani Asley</v>
      </c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1" t="str">
        <f t="shared" si="18"/>
        <v>#DIV/0!</v>
      </c>
      <c r="BV30" s="62">
        <f t="shared" si="19"/>
        <v>0</v>
      </c>
      <c r="BW30" s="62" t="str">
        <f t="shared" si="20"/>
        <v>#DIV/0!</v>
      </c>
      <c r="BX30" s="62" t="str">
        <f t="shared" si="21"/>
        <v>#DIV/0!</v>
      </c>
      <c r="BY30" s="63">
        <f t="shared" si="22"/>
        <v>0</v>
      </c>
      <c r="BZ30" s="64" t="str">
        <f t="shared" si="23"/>
        <v/>
      </c>
    </row>
    <row r="31" ht="15.75" customHeight="1">
      <c r="A31" s="56">
        <v>20.0</v>
      </c>
      <c r="B31" s="57"/>
      <c r="C31" s="58" t="s">
        <v>60</v>
      </c>
      <c r="D31" s="59">
        <v>10.0</v>
      </c>
      <c r="E31" s="59">
        <v>10.0</v>
      </c>
      <c r="F31" s="59">
        <v>10.0</v>
      </c>
      <c r="G31" s="60"/>
      <c r="H31" s="60"/>
      <c r="I31" s="60"/>
      <c r="J31" s="60"/>
      <c r="K31" s="60"/>
      <c r="L31" s="60"/>
      <c r="M31" s="60"/>
      <c r="N31" s="60"/>
      <c r="O31" s="59">
        <v>10.0</v>
      </c>
      <c r="P31" s="60"/>
      <c r="Q31" s="60"/>
      <c r="R31" s="60"/>
      <c r="S31" s="61">
        <f t="shared" si="24"/>
        <v>10</v>
      </c>
      <c r="T31" s="62">
        <f t="shared" si="5"/>
        <v>1</v>
      </c>
      <c r="U31" s="62">
        <f t="shared" si="6"/>
        <v>10</v>
      </c>
      <c r="V31" s="62">
        <f t="shared" si="7"/>
        <v>0.5</v>
      </c>
      <c r="W31" s="63">
        <f t="shared" si="8"/>
        <v>10</v>
      </c>
      <c r="X31" s="64">
        <f t="shared" si="9"/>
        <v>1.5</v>
      </c>
      <c r="Z31" s="2"/>
      <c r="AB31" s="56">
        <v>20.0</v>
      </c>
      <c r="AC31" s="57" t="str">
        <f t="shared" ref="AC31:AD31" si="59">B31</f>
        <v/>
      </c>
      <c r="AD31" s="65" t="str">
        <f t="shared" si="59"/>
        <v>Sánchez Ponce Sandra Stefania</v>
      </c>
      <c r="AE31" s="60"/>
      <c r="AF31" s="59">
        <v>10.0</v>
      </c>
      <c r="AG31" s="60"/>
      <c r="AH31" s="60"/>
      <c r="AI31" s="59">
        <v>10.0</v>
      </c>
      <c r="AJ31" s="60"/>
      <c r="AK31" s="59">
        <v>10.0</v>
      </c>
      <c r="AL31" s="60"/>
      <c r="AM31" s="59">
        <v>10.0</v>
      </c>
      <c r="AN31" s="60"/>
      <c r="AO31" s="59">
        <v>10.0</v>
      </c>
      <c r="AP31" s="60"/>
      <c r="AQ31" s="60"/>
      <c r="AR31" s="60"/>
      <c r="AS31" s="60"/>
      <c r="AT31" s="61">
        <f t="shared" si="11"/>
        <v>10</v>
      </c>
      <c r="AU31" s="62">
        <f t="shared" si="12"/>
        <v>1</v>
      </c>
      <c r="AV31" s="62">
        <f t="shared" si="13"/>
        <v>10</v>
      </c>
      <c r="AW31" s="62">
        <f t="shared" si="14"/>
        <v>0.5</v>
      </c>
      <c r="AX31" s="63">
        <f t="shared" si="15"/>
        <v>10</v>
      </c>
      <c r="AY31" s="64">
        <f t="shared" si="16"/>
        <v>1.5</v>
      </c>
      <c r="BA31" s="2"/>
      <c r="BC31" s="56">
        <v>20.0</v>
      </c>
      <c r="BD31" s="57" t="str">
        <f t="shared" ref="BD31:BE31" si="60">B31</f>
        <v/>
      </c>
      <c r="BE31" s="65" t="str">
        <f t="shared" si="60"/>
        <v>Sánchez Ponce Sandra Stefania</v>
      </c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1" t="str">
        <f t="shared" si="18"/>
        <v>#DIV/0!</v>
      </c>
      <c r="BV31" s="62">
        <f t="shared" si="19"/>
        <v>0</v>
      </c>
      <c r="BW31" s="62" t="str">
        <f t="shared" si="20"/>
        <v>#DIV/0!</v>
      </c>
      <c r="BX31" s="62" t="str">
        <f t="shared" si="21"/>
        <v>#DIV/0!</v>
      </c>
      <c r="BY31" s="63">
        <f t="shared" si="22"/>
        <v>0</v>
      </c>
      <c r="BZ31" s="64" t="str">
        <f t="shared" si="23"/>
        <v/>
      </c>
    </row>
    <row r="32" ht="15.75" customHeight="1">
      <c r="A32" s="56">
        <v>21.0</v>
      </c>
      <c r="B32" s="57"/>
      <c r="C32" s="70" t="s">
        <v>61</v>
      </c>
      <c r="D32" s="59">
        <v>7.0</v>
      </c>
      <c r="E32" s="59">
        <v>10.0</v>
      </c>
      <c r="F32" s="59">
        <v>2.0</v>
      </c>
      <c r="G32" s="60"/>
      <c r="H32" s="60"/>
      <c r="I32" s="60"/>
      <c r="J32" s="60"/>
      <c r="K32" s="60"/>
      <c r="L32" s="60"/>
      <c r="M32" s="60"/>
      <c r="N32" s="60"/>
      <c r="O32" s="59">
        <v>7.0</v>
      </c>
      <c r="P32" s="60"/>
      <c r="Q32" s="60"/>
      <c r="R32" s="60"/>
      <c r="S32" s="61">
        <f t="shared" si="24"/>
        <v>6.5</v>
      </c>
      <c r="T32" s="62">
        <f t="shared" si="5"/>
        <v>0.65</v>
      </c>
      <c r="U32" s="62">
        <f t="shared" si="6"/>
        <v>6.5</v>
      </c>
      <c r="V32" s="62">
        <f t="shared" si="7"/>
        <v>0.325</v>
      </c>
      <c r="W32" s="63">
        <f t="shared" si="8"/>
        <v>6.47</v>
      </c>
      <c r="X32" s="64">
        <f t="shared" si="9"/>
        <v>0.97</v>
      </c>
      <c r="Z32" s="2"/>
      <c r="AB32" s="56">
        <v>21.0</v>
      </c>
      <c r="AC32" s="57" t="str">
        <f t="shared" ref="AC32:AD32" si="61">B32</f>
        <v/>
      </c>
      <c r="AD32" s="65" t="str">
        <f t="shared" si="61"/>
        <v>Torres Vera Anderson</v>
      </c>
      <c r="AE32" s="60"/>
      <c r="AF32" s="68">
        <v>10.0</v>
      </c>
      <c r="AG32" s="69"/>
      <c r="AH32" s="69"/>
      <c r="AI32" s="68">
        <v>10.0</v>
      </c>
      <c r="AJ32" s="69"/>
      <c r="AK32" s="68">
        <v>10.0</v>
      </c>
      <c r="AL32" s="69"/>
      <c r="AM32" s="68">
        <v>10.0</v>
      </c>
      <c r="AN32" s="69"/>
      <c r="AO32" s="68">
        <v>10.0</v>
      </c>
      <c r="AP32" s="60"/>
      <c r="AQ32" s="60"/>
      <c r="AR32" s="60"/>
      <c r="AS32" s="60"/>
      <c r="AT32" s="61">
        <f t="shared" si="11"/>
        <v>10</v>
      </c>
      <c r="AU32" s="62">
        <f t="shared" si="12"/>
        <v>1</v>
      </c>
      <c r="AV32" s="62">
        <f t="shared" si="13"/>
        <v>10</v>
      </c>
      <c r="AW32" s="62">
        <f t="shared" si="14"/>
        <v>0.5</v>
      </c>
      <c r="AX32" s="63">
        <f t="shared" si="15"/>
        <v>10</v>
      </c>
      <c r="AY32" s="64">
        <f t="shared" si="16"/>
        <v>1.5</v>
      </c>
      <c r="BA32" s="2"/>
      <c r="BC32" s="56">
        <v>21.0</v>
      </c>
      <c r="BD32" s="57" t="str">
        <f t="shared" ref="BD32:BE32" si="62">B32</f>
        <v/>
      </c>
      <c r="BE32" s="65" t="str">
        <f t="shared" si="62"/>
        <v>Torres Vera Anderson</v>
      </c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1" t="str">
        <f t="shared" si="18"/>
        <v>#DIV/0!</v>
      </c>
      <c r="BV32" s="62">
        <f t="shared" si="19"/>
        <v>0</v>
      </c>
      <c r="BW32" s="62" t="str">
        <f t="shared" si="20"/>
        <v>#DIV/0!</v>
      </c>
      <c r="BX32" s="62" t="str">
        <f t="shared" si="21"/>
        <v>#DIV/0!</v>
      </c>
      <c r="BY32" s="63">
        <f t="shared" si="22"/>
        <v>0</v>
      </c>
      <c r="BZ32" s="64" t="str">
        <f t="shared" si="23"/>
        <v/>
      </c>
    </row>
    <row r="33" ht="15.75" customHeight="1">
      <c r="A33" s="56">
        <v>22.0</v>
      </c>
      <c r="B33" s="57"/>
      <c r="C33" s="58" t="s">
        <v>62</v>
      </c>
      <c r="D33" s="59">
        <v>10.0</v>
      </c>
      <c r="E33" s="59">
        <v>10.0</v>
      </c>
      <c r="F33" s="59">
        <v>10.0</v>
      </c>
      <c r="G33" s="60"/>
      <c r="H33" s="60"/>
      <c r="I33" s="60"/>
      <c r="J33" s="60"/>
      <c r="K33" s="60"/>
      <c r="L33" s="60"/>
      <c r="M33" s="60"/>
      <c r="N33" s="60"/>
      <c r="O33" s="59">
        <v>7.0</v>
      </c>
      <c r="P33" s="60"/>
      <c r="Q33" s="60"/>
      <c r="R33" s="60"/>
      <c r="S33" s="61">
        <f t="shared" si="24"/>
        <v>9.25</v>
      </c>
      <c r="T33" s="62">
        <f t="shared" si="5"/>
        <v>0.925</v>
      </c>
      <c r="U33" s="62">
        <f t="shared" si="6"/>
        <v>9.25</v>
      </c>
      <c r="V33" s="62">
        <f t="shared" si="7"/>
        <v>0.4625</v>
      </c>
      <c r="W33" s="63">
        <f t="shared" si="8"/>
        <v>9.2</v>
      </c>
      <c r="X33" s="64">
        <f t="shared" si="9"/>
        <v>1.38</v>
      </c>
      <c r="Z33" s="2"/>
      <c r="AB33" s="56">
        <v>22.0</v>
      </c>
      <c r="AC33" s="57" t="str">
        <f t="shared" ref="AC33:AD33" si="63">B33</f>
        <v/>
      </c>
      <c r="AD33" s="65" t="str">
        <f t="shared" si="63"/>
        <v>Valero Pefiafiel Carlos José</v>
      </c>
      <c r="AE33" s="60"/>
      <c r="AF33" s="59">
        <v>10.0</v>
      </c>
      <c r="AG33" s="60"/>
      <c r="AH33" s="60"/>
      <c r="AI33" s="59">
        <v>10.0</v>
      </c>
      <c r="AJ33" s="60"/>
      <c r="AK33" s="59">
        <v>10.0</v>
      </c>
      <c r="AL33" s="60"/>
      <c r="AM33" s="59">
        <v>10.0</v>
      </c>
      <c r="AN33" s="60"/>
      <c r="AO33" s="59">
        <v>10.0</v>
      </c>
      <c r="AP33" s="60"/>
      <c r="AQ33" s="60"/>
      <c r="AR33" s="60"/>
      <c r="AS33" s="60"/>
      <c r="AT33" s="61">
        <f t="shared" si="11"/>
        <v>10</v>
      </c>
      <c r="AU33" s="62">
        <f t="shared" si="12"/>
        <v>1</v>
      </c>
      <c r="AV33" s="62">
        <f t="shared" si="13"/>
        <v>10</v>
      </c>
      <c r="AW33" s="62">
        <f t="shared" si="14"/>
        <v>0.5</v>
      </c>
      <c r="AX33" s="63">
        <f t="shared" si="15"/>
        <v>10</v>
      </c>
      <c r="AY33" s="64">
        <f t="shared" si="16"/>
        <v>1.5</v>
      </c>
      <c r="BA33" s="2"/>
      <c r="BC33" s="56">
        <v>22.0</v>
      </c>
      <c r="BD33" s="57" t="str">
        <f t="shared" ref="BD33:BE33" si="64">B33</f>
        <v/>
      </c>
      <c r="BE33" s="65" t="str">
        <f t="shared" si="64"/>
        <v>Valero Pefiafiel Carlos José</v>
      </c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1" t="str">
        <f t="shared" si="18"/>
        <v>#DIV/0!</v>
      </c>
      <c r="BV33" s="62">
        <f t="shared" si="19"/>
        <v>0</v>
      </c>
      <c r="BW33" s="62" t="str">
        <f t="shared" si="20"/>
        <v>#DIV/0!</v>
      </c>
      <c r="BX33" s="62" t="str">
        <f t="shared" si="21"/>
        <v>#DIV/0!</v>
      </c>
      <c r="BY33" s="63">
        <f t="shared" si="22"/>
        <v>0</v>
      </c>
      <c r="BZ33" s="64" t="str">
        <f t="shared" si="23"/>
        <v/>
      </c>
    </row>
    <row r="34" ht="15.75" customHeight="1">
      <c r="A34" s="56">
        <v>23.0</v>
      </c>
      <c r="B34" s="57"/>
      <c r="C34" s="58" t="s">
        <v>63</v>
      </c>
      <c r="D34" s="59">
        <v>7.0</v>
      </c>
      <c r="E34" s="59">
        <v>10.0</v>
      </c>
      <c r="F34" s="59">
        <v>7.5</v>
      </c>
      <c r="G34" s="60"/>
      <c r="H34" s="60"/>
      <c r="I34" s="60"/>
      <c r="J34" s="60"/>
      <c r="K34" s="60"/>
      <c r="L34" s="60"/>
      <c r="M34" s="60"/>
      <c r="N34" s="60"/>
      <c r="O34" s="59">
        <v>5.0</v>
      </c>
      <c r="P34" s="60"/>
      <c r="Q34" s="60"/>
      <c r="R34" s="60"/>
      <c r="S34" s="61">
        <f t="shared" si="24"/>
        <v>7.375</v>
      </c>
      <c r="T34" s="62">
        <f t="shared" si="5"/>
        <v>0.737</v>
      </c>
      <c r="U34" s="62">
        <f t="shared" si="6"/>
        <v>7.375</v>
      </c>
      <c r="V34" s="62">
        <f t="shared" si="7"/>
        <v>0.36875</v>
      </c>
      <c r="W34" s="63">
        <f t="shared" si="8"/>
        <v>7.33</v>
      </c>
      <c r="X34" s="64">
        <f t="shared" si="9"/>
        <v>1.1</v>
      </c>
      <c r="Z34" s="2"/>
      <c r="AB34" s="56">
        <v>23.0</v>
      </c>
      <c r="AC34" s="57" t="str">
        <f t="shared" ref="AC34:AD34" si="65">B34</f>
        <v/>
      </c>
      <c r="AD34" s="65" t="str">
        <f t="shared" si="65"/>
        <v>Veliz chicaiza Alex isaac</v>
      </c>
      <c r="AE34" s="60"/>
      <c r="AF34" s="59">
        <v>10.0</v>
      </c>
      <c r="AG34" s="60"/>
      <c r="AH34" s="60"/>
      <c r="AI34" s="59">
        <v>10.0</v>
      </c>
      <c r="AJ34" s="60"/>
      <c r="AK34" s="59">
        <v>10.0</v>
      </c>
      <c r="AL34" s="60"/>
      <c r="AM34" s="59">
        <v>10.0</v>
      </c>
      <c r="AN34" s="60"/>
      <c r="AO34" s="59">
        <v>10.0</v>
      </c>
      <c r="AP34" s="60"/>
      <c r="AQ34" s="60"/>
      <c r="AR34" s="60"/>
      <c r="AS34" s="60"/>
      <c r="AT34" s="61">
        <f t="shared" si="11"/>
        <v>10</v>
      </c>
      <c r="AU34" s="62">
        <f t="shared" si="12"/>
        <v>1</v>
      </c>
      <c r="AV34" s="62">
        <f t="shared" si="13"/>
        <v>10</v>
      </c>
      <c r="AW34" s="62">
        <f t="shared" si="14"/>
        <v>0.5</v>
      </c>
      <c r="AX34" s="63">
        <f t="shared" si="15"/>
        <v>10</v>
      </c>
      <c r="AY34" s="64">
        <f t="shared" si="16"/>
        <v>1.5</v>
      </c>
      <c r="BA34" s="2"/>
      <c r="BC34" s="56">
        <v>23.0</v>
      </c>
      <c r="BD34" s="57" t="str">
        <f t="shared" ref="BD34:BE34" si="66">B34</f>
        <v/>
      </c>
      <c r="BE34" s="65" t="str">
        <f t="shared" si="66"/>
        <v>Veliz chicaiza Alex isaac</v>
      </c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1" t="str">
        <f t="shared" si="18"/>
        <v>#DIV/0!</v>
      </c>
      <c r="BV34" s="62">
        <f t="shared" si="19"/>
        <v>0</v>
      </c>
      <c r="BW34" s="62" t="str">
        <f t="shared" si="20"/>
        <v>#DIV/0!</v>
      </c>
      <c r="BX34" s="62" t="str">
        <f t="shared" si="21"/>
        <v>#DIV/0!</v>
      </c>
      <c r="BY34" s="63">
        <f t="shared" si="22"/>
        <v>0</v>
      </c>
      <c r="BZ34" s="64" t="str">
        <f t="shared" si="23"/>
        <v/>
      </c>
    </row>
    <row r="35" ht="15.75" customHeight="1">
      <c r="A35" s="56">
        <v>24.0</v>
      </c>
      <c r="B35" s="57"/>
      <c r="C35" s="58" t="s">
        <v>64</v>
      </c>
      <c r="D35" s="59">
        <v>10.0</v>
      </c>
      <c r="E35" s="59">
        <v>10.0</v>
      </c>
      <c r="F35" s="59">
        <v>9.0</v>
      </c>
      <c r="G35" s="60"/>
      <c r="H35" s="60"/>
      <c r="I35" s="60"/>
      <c r="J35" s="60"/>
      <c r="K35" s="60"/>
      <c r="L35" s="60"/>
      <c r="M35" s="60"/>
      <c r="N35" s="60"/>
      <c r="O35" s="59">
        <v>10.0</v>
      </c>
      <c r="P35" s="60"/>
      <c r="Q35" s="60"/>
      <c r="R35" s="60"/>
      <c r="S35" s="61">
        <f t="shared" si="24"/>
        <v>9.75</v>
      </c>
      <c r="T35" s="62">
        <f t="shared" si="5"/>
        <v>0.975</v>
      </c>
      <c r="U35" s="62">
        <f t="shared" si="6"/>
        <v>9.75</v>
      </c>
      <c r="V35" s="62">
        <f t="shared" si="7"/>
        <v>0.4875</v>
      </c>
      <c r="W35" s="63">
        <f t="shared" si="8"/>
        <v>9.73</v>
      </c>
      <c r="X35" s="64">
        <f t="shared" si="9"/>
        <v>1.46</v>
      </c>
      <c r="Z35" s="2"/>
      <c r="AB35" s="56">
        <v>24.0</v>
      </c>
      <c r="AC35" s="57" t="str">
        <f t="shared" ref="AC35:AD35" si="67">B35</f>
        <v/>
      </c>
      <c r="AD35" s="65" t="str">
        <f t="shared" si="67"/>
        <v>Zambrano Zhicay Victor Humberto</v>
      </c>
      <c r="AE35" s="60"/>
      <c r="AF35" s="59">
        <v>10.0</v>
      </c>
      <c r="AG35" s="60"/>
      <c r="AH35" s="60"/>
      <c r="AI35" s="59">
        <v>10.0</v>
      </c>
      <c r="AJ35" s="60"/>
      <c r="AK35" s="59">
        <v>10.0</v>
      </c>
      <c r="AL35" s="60"/>
      <c r="AM35" s="59">
        <v>10.0</v>
      </c>
      <c r="AN35" s="60"/>
      <c r="AO35" s="59">
        <v>10.0</v>
      </c>
      <c r="AP35" s="60"/>
      <c r="AQ35" s="60"/>
      <c r="AR35" s="60"/>
      <c r="AS35" s="60"/>
      <c r="AT35" s="61">
        <f t="shared" si="11"/>
        <v>10</v>
      </c>
      <c r="AU35" s="62">
        <f>IFERROR(TRUNC(AVERAGE(AP35:AT35),2),"")*10/100</f>
        <v>1</v>
      </c>
      <c r="AV35" s="62">
        <f t="shared" si="13"/>
        <v>10</v>
      </c>
      <c r="AW35" s="62">
        <f t="shared" si="14"/>
        <v>0.5</v>
      </c>
      <c r="AX35" s="63">
        <f t="shared" si="15"/>
        <v>10</v>
      </c>
      <c r="AY35" s="64">
        <f t="shared" si="16"/>
        <v>1.5</v>
      </c>
      <c r="BA35" s="2"/>
      <c r="BC35" s="56">
        <v>24.0</v>
      </c>
      <c r="BD35" s="57" t="str">
        <f t="shared" ref="BD35:BE35" si="68">B35</f>
        <v/>
      </c>
      <c r="BE35" s="65" t="str">
        <f t="shared" si="68"/>
        <v>Zambrano Zhicay Victor Humberto</v>
      </c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1" t="str">
        <f t="shared" si="18"/>
        <v>#DIV/0!</v>
      </c>
      <c r="BV35" s="62">
        <f t="shared" si="19"/>
        <v>0</v>
      </c>
      <c r="BW35" s="62" t="str">
        <f t="shared" si="20"/>
        <v>#DIV/0!</v>
      </c>
      <c r="BX35" s="62" t="str">
        <f t="shared" si="21"/>
        <v>#DIV/0!</v>
      </c>
      <c r="BY35" s="63">
        <f t="shared" si="22"/>
        <v>0</v>
      </c>
      <c r="BZ35" s="64" t="str">
        <f t="shared" si="23"/>
        <v/>
      </c>
    </row>
    <row r="36" ht="15.75" customHeight="1">
      <c r="A36" s="56">
        <v>25.0</v>
      </c>
      <c r="B36" s="57"/>
      <c r="C36" s="58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1" t="str">
        <f t="shared" si="24"/>
        <v>#DIV/0!</v>
      </c>
      <c r="T36" s="62">
        <f t="shared" si="5"/>
        <v>0</v>
      </c>
      <c r="U36" s="62" t="str">
        <f t="shared" si="6"/>
        <v>#DIV/0!</v>
      </c>
      <c r="V36" s="62" t="str">
        <f t="shared" si="7"/>
        <v>#DIV/0!</v>
      </c>
      <c r="W36" s="63">
        <f t="shared" si="8"/>
        <v>0</v>
      </c>
      <c r="X36" s="64" t="str">
        <f t="shared" si="9"/>
        <v/>
      </c>
      <c r="Z36" s="2"/>
      <c r="AB36" s="56">
        <v>25.0</v>
      </c>
      <c r="AC36" s="57" t="str">
        <f t="shared" ref="AC36:AD36" si="69">B36</f>
        <v/>
      </c>
      <c r="AD36" s="65" t="str">
        <f t="shared" si="69"/>
        <v/>
      </c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1" t="str">
        <f t="shared" si="11"/>
        <v>#DIV/0!</v>
      </c>
      <c r="AU36" s="62">
        <f t="shared" ref="AU36:AU61" si="72">IFERROR(TRUNC(AVERAGE(AE36:AT36),2),"")*10/100</f>
        <v>0</v>
      </c>
      <c r="AV36" s="62" t="str">
        <f t="shared" si="13"/>
        <v>#DIV/0!</v>
      </c>
      <c r="AW36" s="62" t="str">
        <f t="shared" si="14"/>
        <v>#DIV/0!</v>
      </c>
      <c r="AX36" s="63">
        <f t="shared" si="15"/>
        <v>0</v>
      </c>
      <c r="AY36" s="64" t="str">
        <f t="shared" si="16"/>
        <v/>
      </c>
      <c r="BA36" s="2"/>
      <c r="BC36" s="56">
        <v>25.0</v>
      </c>
      <c r="BD36" s="57" t="str">
        <f t="shared" ref="BD36:BE36" si="70">B36</f>
        <v/>
      </c>
      <c r="BE36" s="65" t="str">
        <f t="shared" si="70"/>
        <v/>
      </c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1" t="str">
        <f t="shared" si="18"/>
        <v>#DIV/0!</v>
      </c>
      <c r="BV36" s="62">
        <f t="shared" si="19"/>
        <v>0</v>
      </c>
      <c r="BW36" s="62" t="str">
        <f t="shared" si="20"/>
        <v>#DIV/0!</v>
      </c>
      <c r="BX36" s="62" t="str">
        <f t="shared" si="21"/>
        <v>#DIV/0!</v>
      </c>
      <c r="BY36" s="63">
        <f t="shared" si="22"/>
        <v>0</v>
      </c>
      <c r="BZ36" s="64" t="str">
        <f t="shared" si="23"/>
        <v/>
      </c>
    </row>
    <row r="37" ht="15.75" customHeight="1">
      <c r="A37" s="56">
        <v>26.0</v>
      </c>
      <c r="B37" s="57"/>
      <c r="C37" s="65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1" t="str">
        <f t="shared" si="24"/>
        <v>#DIV/0!</v>
      </c>
      <c r="T37" s="62">
        <f t="shared" si="5"/>
        <v>0</v>
      </c>
      <c r="U37" s="62" t="str">
        <f t="shared" si="6"/>
        <v>#DIV/0!</v>
      </c>
      <c r="V37" s="62" t="str">
        <f t="shared" si="7"/>
        <v>#DIV/0!</v>
      </c>
      <c r="W37" s="63">
        <f t="shared" si="8"/>
        <v>0</v>
      </c>
      <c r="X37" s="64" t="str">
        <f t="shared" si="9"/>
        <v/>
      </c>
      <c r="Z37" s="2"/>
      <c r="AB37" s="56">
        <v>26.0</v>
      </c>
      <c r="AC37" s="57" t="str">
        <f t="shared" ref="AC37:AD37" si="71">B37</f>
        <v/>
      </c>
      <c r="AD37" s="65" t="str">
        <f t="shared" si="71"/>
        <v/>
      </c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1" t="str">
        <f t="shared" si="11"/>
        <v>#DIV/0!</v>
      </c>
      <c r="AU37" s="62">
        <f t="shared" si="72"/>
        <v>0</v>
      </c>
      <c r="AV37" s="62" t="str">
        <f t="shared" si="13"/>
        <v>#DIV/0!</v>
      </c>
      <c r="AW37" s="62" t="str">
        <f t="shared" si="14"/>
        <v>#DIV/0!</v>
      </c>
      <c r="AX37" s="63">
        <f t="shared" si="15"/>
        <v>0</v>
      </c>
      <c r="AY37" s="64" t="str">
        <f t="shared" si="16"/>
        <v/>
      </c>
      <c r="BA37" s="2"/>
      <c r="BC37" s="56">
        <v>26.0</v>
      </c>
      <c r="BD37" s="57" t="str">
        <f t="shared" ref="BD37:BE37" si="73">B37</f>
        <v/>
      </c>
      <c r="BE37" s="65" t="str">
        <f t="shared" si="73"/>
        <v/>
      </c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1" t="str">
        <f t="shared" si="18"/>
        <v>#DIV/0!</v>
      </c>
      <c r="BV37" s="62">
        <f t="shared" si="19"/>
        <v>0</v>
      </c>
      <c r="BW37" s="62" t="str">
        <f t="shared" si="20"/>
        <v>#DIV/0!</v>
      </c>
      <c r="BX37" s="62" t="str">
        <f t="shared" si="21"/>
        <v>#DIV/0!</v>
      </c>
      <c r="BY37" s="63">
        <f t="shared" si="22"/>
        <v>0</v>
      </c>
      <c r="BZ37" s="64" t="str">
        <f t="shared" si="23"/>
        <v/>
      </c>
    </row>
    <row r="38" ht="15.75" customHeight="1">
      <c r="A38" s="56">
        <v>27.0</v>
      </c>
      <c r="B38" s="57"/>
      <c r="C38" s="65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1" t="str">
        <f t="shared" si="24"/>
        <v>#DIV/0!</v>
      </c>
      <c r="T38" s="62">
        <f t="shared" si="5"/>
        <v>0</v>
      </c>
      <c r="U38" s="62" t="str">
        <f t="shared" si="6"/>
        <v>#DIV/0!</v>
      </c>
      <c r="V38" s="62" t="str">
        <f t="shared" si="7"/>
        <v>#DIV/0!</v>
      </c>
      <c r="W38" s="63">
        <f t="shared" si="8"/>
        <v>0</v>
      </c>
      <c r="X38" s="64" t="str">
        <f t="shared" si="9"/>
        <v/>
      </c>
      <c r="Z38" s="2"/>
      <c r="AB38" s="56">
        <v>27.0</v>
      </c>
      <c r="AC38" s="57" t="str">
        <f t="shared" ref="AC38:AD38" si="74">B38</f>
        <v/>
      </c>
      <c r="AD38" s="65" t="str">
        <f t="shared" si="74"/>
        <v/>
      </c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1" t="str">
        <f t="shared" si="11"/>
        <v>#DIV/0!</v>
      </c>
      <c r="AU38" s="62">
        <f t="shared" si="72"/>
        <v>0</v>
      </c>
      <c r="AV38" s="62" t="str">
        <f t="shared" si="13"/>
        <v>#DIV/0!</v>
      </c>
      <c r="AW38" s="62" t="str">
        <f t="shared" si="14"/>
        <v>#DIV/0!</v>
      </c>
      <c r="AX38" s="63">
        <f t="shared" si="15"/>
        <v>0</v>
      </c>
      <c r="AY38" s="64" t="str">
        <f t="shared" si="16"/>
        <v/>
      </c>
      <c r="BA38" s="2"/>
      <c r="BC38" s="56">
        <v>27.0</v>
      </c>
      <c r="BD38" s="57" t="str">
        <f t="shared" ref="BD38:BE38" si="75">B38</f>
        <v/>
      </c>
      <c r="BE38" s="65" t="str">
        <f t="shared" si="75"/>
        <v/>
      </c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1" t="str">
        <f t="shared" si="18"/>
        <v>#DIV/0!</v>
      </c>
      <c r="BV38" s="62">
        <f t="shared" si="19"/>
        <v>0</v>
      </c>
      <c r="BW38" s="62" t="str">
        <f t="shared" si="20"/>
        <v>#DIV/0!</v>
      </c>
      <c r="BX38" s="62" t="str">
        <f t="shared" si="21"/>
        <v>#DIV/0!</v>
      </c>
      <c r="BY38" s="63">
        <f t="shared" si="22"/>
        <v>0</v>
      </c>
      <c r="BZ38" s="64" t="str">
        <f t="shared" si="23"/>
        <v/>
      </c>
    </row>
    <row r="39" ht="15.75" customHeight="1">
      <c r="A39" s="56">
        <v>28.0</v>
      </c>
      <c r="B39" s="57"/>
      <c r="C39" s="6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0"/>
      <c r="Q39" s="60"/>
      <c r="R39" s="60"/>
      <c r="S39" s="61" t="str">
        <f t="shared" si="24"/>
        <v>#DIV/0!</v>
      </c>
      <c r="T39" s="62">
        <f t="shared" si="5"/>
        <v>0</v>
      </c>
      <c r="U39" s="62" t="str">
        <f t="shared" si="6"/>
        <v>#DIV/0!</v>
      </c>
      <c r="V39" s="62" t="str">
        <f t="shared" si="7"/>
        <v>#DIV/0!</v>
      </c>
      <c r="W39" s="63">
        <f t="shared" si="8"/>
        <v>0</v>
      </c>
      <c r="X39" s="64" t="str">
        <f t="shared" si="9"/>
        <v/>
      </c>
      <c r="Z39" s="2"/>
      <c r="AB39" s="56">
        <v>28.0</v>
      </c>
      <c r="AC39" s="57" t="str">
        <f t="shared" ref="AC39:AD39" si="76">B39</f>
        <v/>
      </c>
      <c r="AD39" s="65" t="str">
        <f t="shared" si="76"/>
        <v/>
      </c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1" t="str">
        <f t="shared" si="11"/>
        <v>#DIV/0!</v>
      </c>
      <c r="AU39" s="62">
        <f t="shared" si="72"/>
        <v>0</v>
      </c>
      <c r="AV39" s="62" t="str">
        <f t="shared" si="13"/>
        <v>#DIV/0!</v>
      </c>
      <c r="AW39" s="62" t="str">
        <f t="shared" si="14"/>
        <v>#DIV/0!</v>
      </c>
      <c r="AX39" s="63">
        <f t="shared" si="15"/>
        <v>0</v>
      </c>
      <c r="AY39" s="64" t="str">
        <f t="shared" si="16"/>
        <v/>
      </c>
      <c r="BA39" s="2"/>
      <c r="BC39" s="56">
        <v>28.0</v>
      </c>
      <c r="BD39" s="57" t="str">
        <f t="shared" ref="BD39:BE39" si="77">B39</f>
        <v/>
      </c>
      <c r="BE39" s="65" t="str">
        <f t="shared" si="77"/>
        <v/>
      </c>
      <c r="BF39" s="67"/>
      <c r="BG39" s="67"/>
      <c r="BH39" s="60"/>
      <c r="BI39" s="67"/>
      <c r="BJ39" s="67"/>
      <c r="BK39" s="60"/>
      <c r="BL39" s="67"/>
      <c r="BM39" s="67"/>
      <c r="BN39" s="67"/>
      <c r="BO39" s="67"/>
      <c r="BP39" s="67"/>
      <c r="BQ39" s="67"/>
      <c r="BR39" s="67"/>
      <c r="BS39" s="67"/>
      <c r="BT39" s="67"/>
      <c r="BU39" s="61" t="str">
        <f t="shared" si="18"/>
        <v>#DIV/0!</v>
      </c>
      <c r="BV39" s="62">
        <f t="shared" si="19"/>
        <v>0</v>
      </c>
      <c r="BW39" s="62" t="str">
        <f t="shared" si="20"/>
        <v>#DIV/0!</v>
      </c>
      <c r="BX39" s="62" t="str">
        <f t="shared" si="21"/>
        <v>#DIV/0!</v>
      </c>
      <c r="BY39" s="63">
        <f t="shared" si="22"/>
        <v>0</v>
      </c>
      <c r="BZ39" s="64" t="str">
        <f t="shared" si="23"/>
        <v/>
      </c>
    </row>
    <row r="40" ht="15.75" customHeight="1">
      <c r="A40" s="56">
        <v>29.0</v>
      </c>
      <c r="B40" s="57"/>
      <c r="C40" s="65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1" t="str">
        <f t="shared" si="24"/>
        <v>#DIV/0!</v>
      </c>
      <c r="T40" s="62">
        <f t="shared" si="5"/>
        <v>0</v>
      </c>
      <c r="U40" s="62" t="str">
        <f t="shared" si="6"/>
        <v>#DIV/0!</v>
      </c>
      <c r="V40" s="62" t="str">
        <f t="shared" si="7"/>
        <v>#DIV/0!</v>
      </c>
      <c r="W40" s="63">
        <f t="shared" si="8"/>
        <v>0</v>
      </c>
      <c r="X40" s="64" t="str">
        <f t="shared" si="9"/>
        <v/>
      </c>
      <c r="Z40" s="2"/>
      <c r="AB40" s="56">
        <v>29.0</v>
      </c>
      <c r="AC40" s="57" t="str">
        <f t="shared" ref="AC40:AD40" si="78">B40</f>
        <v/>
      </c>
      <c r="AD40" s="65" t="str">
        <f t="shared" si="78"/>
        <v/>
      </c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1" t="str">
        <f t="shared" si="11"/>
        <v>#DIV/0!</v>
      </c>
      <c r="AU40" s="62">
        <f t="shared" si="72"/>
        <v>0</v>
      </c>
      <c r="AV40" s="62" t="str">
        <f t="shared" si="13"/>
        <v>#DIV/0!</v>
      </c>
      <c r="AW40" s="62" t="str">
        <f t="shared" si="14"/>
        <v>#DIV/0!</v>
      </c>
      <c r="AX40" s="63">
        <f t="shared" si="15"/>
        <v>0</v>
      </c>
      <c r="AY40" s="64" t="str">
        <f t="shared" si="16"/>
        <v/>
      </c>
      <c r="BA40" s="2"/>
      <c r="BC40" s="56">
        <v>29.0</v>
      </c>
      <c r="BD40" s="57" t="str">
        <f t="shared" ref="BD40:BE40" si="79">B40</f>
        <v/>
      </c>
      <c r="BE40" s="65" t="str">
        <f t="shared" si="79"/>
        <v/>
      </c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1" t="str">
        <f t="shared" si="18"/>
        <v>#DIV/0!</v>
      </c>
      <c r="BV40" s="62">
        <f t="shared" si="19"/>
        <v>0</v>
      </c>
      <c r="BW40" s="62" t="str">
        <f t="shared" si="20"/>
        <v>#DIV/0!</v>
      </c>
      <c r="BX40" s="62" t="str">
        <f t="shared" si="21"/>
        <v>#DIV/0!</v>
      </c>
      <c r="BY40" s="63">
        <f t="shared" si="22"/>
        <v>0</v>
      </c>
      <c r="BZ40" s="64" t="str">
        <f t="shared" si="23"/>
        <v/>
      </c>
    </row>
    <row r="41" ht="15.75" customHeight="1">
      <c r="A41" s="56">
        <v>30.0</v>
      </c>
      <c r="B41" s="57"/>
      <c r="C41" s="65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1" t="str">
        <f t="shared" si="24"/>
        <v>#DIV/0!</v>
      </c>
      <c r="T41" s="62">
        <f t="shared" si="5"/>
        <v>0</v>
      </c>
      <c r="U41" s="62" t="str">
        <f t="shared" si="6"/>
        <v>#DIV/0!</v>
      </c>
      <c r="V41" s="62" t="str">
        <f t="shared" si="7"/>
        <v>#DIV/0!</v>
      </c>
      <c r="W41" s="63">
        <f t="shared" si="8"/>
        <v>0</v>
      </c>
      <c r="X41" s="64" t="str">
        <f t="shared" si="9"/>
        <v/>
      </c>
      <c r="Z41" s="2"/>
      <c r="AB41" s="56">
        <v>30.0</v>
      </c>
      <c r="AC41" s="57" t="str">
        <f t="shared" ref="AC41:AD41" si="80">B41</f>
        <v/>
      </c>
      <c r="AD41" s="65" t="str">
        <f t="shared" si="80"/>
        <v/>
      </c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1" t="str">
        <f t="shared" si="11"/>
        <v>#DIV/0!</v>
      </c>
      <c r="AU41" s="62">
        <f t="shared" si="72"/>
        <v>0</v>
      </c>
      <c r="AV41" s="62" t="str">
        <f t="shared" si="13"/>
        <v>#DIV/0!</v>
      </c>
      <c r="AW41" s="62" t="str">
        <f t="shared" si="14"/>
        <v>#DIV/0!</v>
      </c>
      <c r="AX41" s="63">
        <f t="shared" si="15"/>
        <v>0</v>
      </c>
      <c r="AY41" s="64" t="str">
        <f t="shared" si="16"/>
        <v/>
      </c>
      <c r="BA41" s="2"/>
      <c r="BC41" s="56">
        <v>30.0</v>
      </c>
      <c r="BD41" s="57" t="str">
        <f t="shared" ref="BD41:BE41" si="81">B41</f>
        <v/>
      </c>
      <c r="BE41" s="65" t="str">
        <f t="shared" si="81"/>
        <v/>
      </c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1" t="str">
        <f t="shared" si="18"/>
        <v>#DIV/0!</v>
      </c>
      <c r="BV41" s="62">
        <f t="shared" si="19"/>
        <v>0</v>
      </c>
      <c r="BW41" s="62" t="str">
        <f t="shared" si="20"/>
        <v>#DIV/0!</v>
      </c>
      <c r="BX41" s="62" t="str">
        <f t="shared" si="21"/>
        <v>#DIV/0!</v>
      </c>
      <c r="BY41" s="63">
        <f t="shared" si="22"/>
        <v>0</v>
      </c>
      <c r="BZ41" s="64" t="str">
        <f t="shared" si="23"/>
        <v/>
      </c>
    </row>
    <row r="42" ht="15.75" customHeight="1">
      <c r="A42" s="56">
        <v>31.0</v>
      </c>
      <c r="B42" s="57"/>
      <c r="C42" s="65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1" t="str">
        <f t="shared" si="24"/>
        <v>#DIV/0!</v>
      </c>
      <c r="T42" s="62">
        <f t="shared" si="5"/>
        <v>0</v>
      </c>
      <c r="U42" s="62" t="str">
        <f t="shared" si="6"/>
        <v>#DIV/0!</v>
      </c>
      <c r="V42" s="62" t="str">
        <f t="shared" si="7"/>
        <v>#DIV/0!</v>
      </c>
      <c r="W42" s="63">
        <f t="shared" si="8"/>
        <v>0</v>
      </c>
      <c r="X42" s="64" t="str">
        <f t="shared" si="9"/>
        <v/>
      </c>
      <c r="Z42" s="2"/>
      <c r="AB42" s="56">
        <v>31.0</v>
      </c>
      <c r="AC42" s="57" t="str">
        <f t="shared" ref="AC42:AD42" si="82">B42</f>
        <v/>
      </c>
      <c r="AD42" s="65" t="str">
        <f t="shared" si="82"/>
        <v/>
      </c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1" t="str">
        <f t="shared" si="11"/>
        <v>#DIV/0!</v>
      </c>
      <c r="AU42" s="62">
        <f t="shared" si="72"/>
        <v>0</v>
      </c>
      <c r="AV42" s="62" t="str">
        <f t="shared" si="13"/>
        <v>#DIV/0!</v>
      </c>
      <c r="AW42" s="62" t="str">
        <f t="shared" si="14"/>
        <v>#DIV/0!</v>
      </c>
      <c r="AX42" s="63">
        <f t="shared" si="15"/>
        <v>0</v>
      </c>
      <c r="AY42" s="64" t="str">
        <f t="shared" si="16"/>
        <v/>
      </c>
      <c r="BA42" s="2"/>
      <c r="BC42" s="56">
        <v>31.0</v>
      </c>
      <c r="BD42" s="57" t="str">
        <f t="shared" ref="BD42:BE42" si="83">B42</f>
        <v/>
      </c>
      <c r="BE42" s="65" t="str">
        <f t="shared" si="83"/>
        <v/>
      </c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1" t="str">
        <f t="shared" si="18"/>
        <v>#DIV/0!</v>
      </c>
      <c r="BV42" s="62">
        <f t="shared" si="19"/>
        <v>0</v>
      </c>
      <c r="BW42" s="62" t="str">
        <f t="shared" si="20"/>
        <v>#DIV/0!</v>
      </c>
      <c r="BX42" s="62" t="str">
        <f t="shared" si="21"/>
        <v>#DIV/0!</v>
      </c>
      <c r="BY42" s="63">
        <f t="shared" si="22"/>
        <v>0</v>
      </c>
      <c r="BZ42" s="64" t="str">
        <f t="shared" si="23"/>
        <v/>
      </c>
    </row>
    <row r="43" ht="15.75" customHeight="1">
      <c r="A43" s="56">
        <v>32.0</v>
      </c>
      <c r="B43" s="57"/>
      <c r="C43" s="65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1" t="str">
        <f t="shared" si="24"/>
        <v>#DIV/0!</v>
      </c>
      <c r="T43" s="62">
        <f t="shared" si="5"/>
        <v>0</v>
      </c>
      <c r="U43" s="62" t="str">
        <f t="shared" si="6"/>
        <v>#DIV/0!</v>
      </c>
      <c r="V43" s="62" t="str">
        <f t="shared" si="7"/>
        <v>#DIV/0!</v>
      </c>
      <c r="W43" s="63">
        <f t="shared" si="8"/>
        <v>0</v>
      </c>
      <c r="X43" s="64" t="str">
        <f t="shared" si="9"/>
        <v/>
      </c>
      <c r="Z43" s="2"/>
      <c r="AB43" s="56">
        <v>32.0</v>
      </c>
      <c r="AC43" s="57" t="str">
        <f t="shared" ref="AC43:AD43" si="84">B43</f>
        <v/>
      </c>
      <c r="AD43" s="65" t="str">
        <f t="shared" si="84"/>
        <v/>
      </c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1" t="str">
        <f t="shared" si="11"/>
        <v>#DIV/0!</v>
      </c>
      <c r="AU43" s="62">
        <f t="shared" si="72"/>
        <v>0</v>
      </c>
      <c r="AV43" s="62" t="str">
        <f t="shared" si="13"/>
        <v>#DIV/0!</v>
      </c>
      <c r="AW43" s="62" t="str">
        <f t="shared" si="14"/>
        <v>#DIV/0!</v>
      </c>
      <c r="AX43" s="63">
        <f t="shared" si="15"/>
        <v>0</v>
      </c>
      <c r="AY43" s="64" t="str">
        <f t="shared" si="16"/>
        <v/>
      </c>
      <c r="BA43" s="2"/>
      <c r="BC43" s="56">
        <v>32.0</v>
      </c>
      <c r="BD43" s="57" t="str">
        <f t="shared" ref="BD43:BE43" si="85">B43</f>
        <v/>
      </c>
      <c r="BE43" s="65" t="str">
        <f t="shared" si="85"/>
        <v/>
      </c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1" t="str">
        <f t="shared" si="18"/>
        <v>#DIV/0!</v>
      </c>
      <c r="BV43" s="62">
        <f t="shared" si="19"/>
        <v>0</v>
      </c>
      <c r="BW43" s="62" t="str">
        <f t="shared" si="20"/>
        <v>#DIV/0!</v>
      </c>
      <c r="BX43" s="62" t="str">
        <f t="shared" si="21"/>
        <v>#DIV/0!</v>
      </c>
      <c r="BY43" s="63">
        <f t="shared" si="22"/>
        <v>0</v>
      </c>
      <c r="BZ43" s="64" t="str">
        <f t="shared" si="23"/>
        <v/>
      </c>
    </row>
    <row r="44" ht="15.75" customHeight="1">
      <c r="A44" s="56">
        <v>33.0</v>
      </c>
      <c r="B44" s="57"/>
      <c r="C44" s="65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1" t="str">
        <f t="shared" si="24"/>
        <v>#DIV/0!</v>
      </c>
      <c r="T44" s="62">
        <f t="shared" si="5"/>
        <v>0</v>
      </c>
      <c r="U44" s="62" t="str">
        <f t="shared" si="6"/>
        <v>#DIV/0!</v>
      </c>
      <c r="V44" s="62" t="str">
        <f t="shared" si="7"/>
        <v>#DIV/0!</v>
      </c>
      <c r="W44" s="63">
        <f t="shared" si="8"/>
        <v>0</v>
      </c>
      <c r="X44" s="64" t="str">
        <f t="shared" si="9"/>
        <v/>
      </c>
      <c r="Z44" s="2"/>
      <c r="AB44" s="56">
        <v>33.0</v>
      </c>
      <c r="AC44" s="57" t="str">
        <f t="shared" ref="AC44:AD44" si="86">B44</f>
        <v/>
      </c>
      <c r="AD44" s="65" t="str">
        <f t="shared" si="86"/>
        <v/>
      </c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1" t="str">
        <f t="shared" si="11"/>
        <v>#DIV/0!</v>
      </c>
      <c r="AU44" s="62">
        <f t="shared" si="72"/>
        <v>0</v>
      </c>
      <c r="AV44" s="62" t="str">
        <f t="shared" si="13"/>
        <v>#DIV/0!</v>
      </c>
      <c r="AW44" s="62" t="str">
        <f t="shared" si="14"/>
        <v>#DIV/0!</v>
      </c>
      <c r="AX44" s="63">
        <f t="shared" si="15"/>
        <v>0</v>
      </c>
      <c r="AY44" s="64" t="str">
        <f t="shared" si="16"/>
        <v/>
      </c>
      <c r="BA44" s="2"/>
      <c r="BC44" s="56">
        <v>33.0</v>
      </c>
      <c r="BD44" s="57" t="str">
        <f t="shared" ref="BD44:BE44" si="87">B44</f>
        <v/>
      </c>
      <c r="BE44" s="65" t="str">
        <f t="shared" si="87"/>
        <v/>
      </c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1" t="str">
        <f t="shared" si="18"/>
        <v>#DIV/0!</v>
      </c>
      <c r="BV44" s="62">
        <f t="shared" si="19"/>
        <v>0</v>
      </c>
      <c r="BW44" s="62" t="str">
        <f t="shared" si="20"/>
        <v>#DIV/0!</v>
      </c>
      <c r="BX44" s="62" t="str">
        <f t="shared" si="21"/>
        <v>#DIV/0!</v>
      </c>
      <c r="BY44" s="63">
        <f t="shared" si="22"/>
        <v>0</v>
      </c>
      <c r="BZ44" s="64" t="str">
        <f t="shared" si="23"/>
        <v/>
      </c>
    </row>
    <row r="45" ht="15.75" customHeight="1">
      <c r="A45" s="56">
        <v>34.0</v>
      </c>
      <c r="B45" s="57"/>
      <c r="C45" s="65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1" t="str">
        <f t="shared" si="24"/>
        <v>#DIV/0!</v>
      </c>
      <c r="T45" s="62">
        <f t="shared" si="5"/>
        <v>0</v>
      </c>
      <c r="U45" s="62" t="str">
        <f t="shared" si="6"/>
        <v>#DIV/0!</v>
      </c>
      <c r="V45" s="62" t="str">
        <f t="shared" si="7"/>
        <v>#DIV/0!</v>
      </c>
      <c r="W45" s="63">
        <f t="shared" si="8"/>
        <v>0</v>
      </c>
      <c r="X45" s="64" t="str">
        <f t="shared" si="9"/>
        <v/>
      </c>
      <c r="Z45" s="2"/>
      <c r="AB45" s="56">
        <v>34.0</v>
      </c>
      <c r="AC45" s="57" t="str">
        <f t="shared" ref="AC45:AD45" si="88">B45</f>
        <v/>
      </c>
      <c r="AD45" s="65" t="str">
        <f t="shared" si="88"/>
        <v/>
      </c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1" t="str">
        <f t="shared" si="11"/>
        <v>#DIV/0!</v>
      </c>
      <c r="AU45" s="62">
        <f t="shared" si="72"/>
        <v>0</v>
      </c>
      <c r="AV45" s="62" t="str">
        <f t="shared" si="13"/>
        <v>#DIV/0!</v>
      </c>
      <c r="AW45" s="62" t="str">
        <f t="shared" si="14"/>
        <v>#DIV/0!</v>
      </c>
      <c r="AX45" s="63">
        <f t="shared" si="15"/>
        <v>0</v>
      </c>
      <c r="AY45" s="64" t="str">
        <f t="shared" si="16"/>
        <v/>
      </c>
      <c r="BA45" s="2"/>
      <c r="BC45" s="56">
        <v>34.0</v>
      </c>
      <c r="BD45" s="57" t="str">
        <f t="shared" ref="BD45:BE45" si="89">B45</f>
        <v/>
      </c>
      <c r="BE45" s="65" t="str">
        <f t="shared" si="89"/>
        <v/>
      </c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1" t="str">
        <f t="shared" si="18"/>
        <v>#DIV/0!</v>
      </c>
      <c r="BV45" s="62">
        <f t="shared" si="19"/>
        <v>0</v>
      </c>
      <c r="BW45" s="62" t="str">
        <f t="shared" si="20"/>
        <v>#DIV/0!</v>
      </c>
      <c r="BX45" s="62" t="str">
        <f t="shared" si="21"/>
        <v>#DIV/0!</v>
      </c>
      <c r="BY45" s="63">
        <f t="shared" si="22"/>
        <v>0</v>
      </c>
      <c r="BZ45" s="64" t="str">
        <f t="shared" si="23"/>
        <v/>
      </c>
    </row>
    <row r="46" ht="15.75" customHeight="1">
      <c r="A46" s="56">
        <v>35.0</v>
      </c>
      <c r="B46" s="57"/>
      <c r="C46" s="65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1" t="str">
        <f t="shared" si="24"/>
        <v>#DIV/0!</v>
      </c>
      <c r="T46" s="62">
        <f t="shared" si="5"/>
        <v>0</v>
      </c>
      <c r="U46" s="62" t="str">
        <f t="shared" si="6"/>
        <v>#DIV/0!</v>
      </c>
      <c r="V46" s="62" t="str">
        <f t="shared" si="7"/>
        <v>#DIV/0!</v>
      </c>
      <c r="W46" s="63">
        <f t="shared" si="8"/>
        <v>0</v>
      </c>
      <c r="X46" s="64" t="str">
        <f t="shared" si="9"/>
        <v/>
      </c>
      <c r="Z46" s="2"/>
      <c r="AB46" s="56">
        <v>35.0</v>
      </c>
      <c r="AC46" s="57" t="str">
        <f t="shared" ref="AC46:AD46" si="90">B46</f>
        <v/>
      </c>
      <c r="AD46" s="65" t="str">
        <f t="shared" si="90"/>
        <v/>
      </c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1" t="str">
        <f t="shared" si="11"/>
        <v>#DIV/0!</v>
      </c>
      <c r="AU46" s="62">
        <f t="shared" si="72"/>
        <v>0</v>
      </c>
      <c r="AV46" s="62" t="str">
        <f t="shared" si="13"/>
        <v>#DIV/0!</v>
      </c>
      <c r="AW46" s="62" t="str">
        <f t="shared" si="14"/>
        <v>#DIV/0!</v>
      </c>
      <c r="AX46" s="63">
        <f t="shared" si="15"/>
        <v>0</v>
      </c>
      <c r="AY46" s="64" t="str">
        <f t="shared" si="16"/>
        <v/>
      </c>
      <c r="BA46" s="2"/>
      <c r="BC46" s="56">
        <v>35.0</v>
      </c>
      <c r="BD46" s="57" t="str">
        <f t="shared" ref="BD46:BE46" si="91">B46</f>
        <v/>
      </c>
      <c r="BE46" s="65" t="str">
        <f t="shared" si="91"/>
        <v/>
      </c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1" t="str">
        <f t="shared" si="18"/>
        <v>#DIV/0!</v>
      </c>
      <c r="BV46" s="62">
        <f t="shared" si="19"/>
        <v>0</v>
      </c>
      <c r="BW46" s="62" t="str">
        <f t="shared" si="20"/>
        <v>#DIV/0!</v>
      </c>
      <c r="BX46" s="62" t="str">
        <f t="shared" si="21"/>
        <v>#DIV/0!</v>
      </c>
      <c r="BY46" s="63">
        <f t="shared" si="22"/>
        <v>0</v>
      </c>
      <c r="BZ46" s="64" t="str">
        <f t="shared" si="23"/>
        <v/>
      </c>
    </row>
    <row r="47" ht="15.75" customHeight="1">
      <c r="A47" s="56">
        <v>36.0</v>
      </c>
      <c r="B47" s="57"/>
      <c r="C47" s="65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1" t="str">
        <f t="shared" si="24"/>
        <v>#DIV/0!</v>
      </c>
      <c r="T47" s="62">
        <f t="shared" si="5"/>
        <v>0</v>
      </c>
      <c r="U47" s="62" t="str">
        <f t="shared" si="6"/>
        <v>#DIV/0!</v>
      </c>
      <c r="V47" s="62" t="str">
        <f t="shared" si="7"/>
        <v>#DIV/0!</v>
      </c>
      <c r="W47" s="63">
        <f t="shared" si="8"/>
        <v>0</v>
      </c>
      <c r="X47" s="64" t="str">
        <f t="shared" si="9"/>
        <v/>
      </c>
      <c r="Z47" s="2"/>
      <c r="AB47" s="56">
        <v>36.0</v>
      </c>
      <c r="AC47" s="57" t="str">
        <f t="shared" ref="AC47:AD47" si="92">B47</f>
        <v/>
      </c>
      <c r="AD47" s="65" t="str">
        <f t="shared" si="92"/>
        <v/>
      </c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1" t="str">
        <f t="shared" si="11"/>
        <v>#DIV/0!</v>
      </c>
      <c r="AU47" s="62">
        <f t="shared" si="72"/>
        <v>0</v>
      </c>
      <c r="AV47" s="62" t="str">
        <f t="shared" si="13"/>
        <v>#DIV/0!</v>
      </c>
      <c r="AW47" s="62" t="str">
        <f t="shared" si="14"/>
        <v>#DIV/0!</v>
      </c>
      <c r="AX47" s="63">
        <f t="shared" si="15"/>
        <v>0</v>
      </c>
      <c r="AY47" s="64" t="str">
        <f t="shared" si="16"/>
        <v/>
      </c>
      <c r="BA47" s="2"/>
      <c r="BC47" s="56">
        <v>36.0</v>
      </c>
      <c r="BD47" s="57" t="str">
        <f t="shared" ref="BD47:BE47" si="93">B47</f>
        <v/>
      </c>
      <c r="BE47" s="65" t="str">
        <f t="shared" si="93"/>
        <v/>
      </c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1" t="str">
        <f t="shared" si="18"/>
        <v>#DIV/0!</v>
      </c>
      <c r="BV47" s="62">
        <f t="shared" si="19"/>
        <v>0</v>
      </c>
      <c r="BW47" s="62" t="str">
        <f t="shared" si="20"/>
        <v>#DIV/0!</v>
      </c>
      <c r="BX47" s="62" t="str">
        <f t="shared" si="21"/>
        <v>#DIV/0!</v>
      </c>
      <c r="BY47" s="63">
        <f t="shared" si="22"/>
        <v>0</v>
      </c>
      <c r="BZ47" s="64" t="str">
        <f t="shared" si="23"/>
        <v/>
      </c>
    </row>
    <row r="48" ht="15.75" customHeight="1">
      <c r="A48" s="56">
        <v>37.0</v>
      </c>
      <c r="B48" s="57"/>
      <c r="C48" s="65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1" t="str">
        <f t="shared" si="24"/>
        <v>#DIV/0!</v>
      </c>
      <c r="T48" s="62">
        <f t="shared" si="5"/>
        <v>0</v>
      </c>
      <c r="U48" s="62" t="str">
        <f t="shared" si="6"/>
        <v>#DIV/0!</v>
      </c>
      <c r="V48" s="62" t="str">
        <f t="shared" si="7"/>
        <v>#DIV/0!</v>
      </c>
      <c r="W48" s="63">
        <f t="shared" si="8"/>
        <v>0</v>
      </c>
      <c r="X48" s="64" t="str">
        <f t="shared" si="9"/>
        <v/>
      </c>
      <c r="Z48" s="2"/>
      <c r="AB48" s="56">
        <v>37.0</v>
      </c>
      <c r="AC48" s="57" t="str">
        <f t="shared" ref="AC48:AD48" si="94">B48</f>
        <v/>
      </c>
      <c r="AD48" s="65" t="str">
        <f t="shared" si="94"/>
        <v/>
      </c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1" t="str">
        <f t="shared" si="11"/>
        <v>#DIV/0!</v>
      </c>
      <c r="AU48" s="62">
        <f t="shared" si="72"/>
        <v>0</v>
      </c>
      <c r="AV48" s="62" t="str">
        <f t="shared" si="13"/>
        <v>#DIV/0!</v>
      </c>
      <c r="AW48" s="62" t="str">
        <f t="shared" si="14"/>
        <v>#DIV/0!</v>
      </c>
      <c r="AX48" s="63">
        <f t="shared" si="15"/>
        <v>0</v>
      </c>
      <c r="AY48" s="64" t="str">
        <f t="shared" si="16"/>
        <v/>
      </c>
      <c r="BA48" s="2"/>
      <c r="BC48" s="56">
        <v>37.0</v>
      </c>
      <c r="BD48" s="57" t="str">
        <f t="shared" ref="BD48:BE48" si="95">B48</f>
        <v/>
      </c>
      <c r="BE48" s="65" t="str">
        <f t="shared" si="95"/>
        <v/>
      </c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1" t="str">
        <f t="shared" si="18"/>
        <v>#DIV/0!</v>
      </c>
      <c r="BV48" s="62">
        <f t="shared" si="19"/>
        <v>0</v>
      </c>
      <c r="BW48" s="62" t="str">
        <f t="shared" si="20"/>
        <v>#DIV/0!</v>
      </c>
      <c r="BX48" s="62" t="str">
        <f t="shared" si="21"/>
        <v>#DIV/0!</v>
      </c>
      <c r="BY48" s="63">
        <f t="shared" si="22"/>
        <v>0</v>
      </c>
      <c r="BZ48" s="64" t="str">
        <f t="shared" si="23"/>
        <v/>
      </c>
    </row>
    <row r="49" ht="15.75" customHeight="1">
      <c r="A49" s="56">
        <v>38.0</v>
      </c>
      <c r="B49" s="57"/>
      <c r="C49" s="65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1" t="str">
        <f t="shared" si="24"/>
        <v>#DIV/0!</v>
      </c>
      <c r="T49" s="62">
        <f t="shared" si="5"/>
        <v>0</v>
      </c>
      <c r="U49" s="62" t="str">
        <f t="shared" si="6"/>
        <v>#DIV/0!</v>
      </c>
      <c r="V49" s="62" t="str">
        <f t="shared" si="7"/>
        <v>#DIV/0!</v>
      </c>
      <c r="W49" s="63">
        <f t="shared" si="8"/>
        <v>0</v>
      </c>
      <c r="X49" s="64" t="str">
        <f t="shared" si="9"/>
        <v/>
      </c>
      <c r="Z49" s="2"/>
      <c r="AB49" s="56">
        <v>38.0</v>
      </c>
      <c r="AC49" s="57" t="str">
        <f t="shared" ref="AC49:AD49" si="96">B49</f>
        <v/>
      </c>
      <c r="AD49" s="65" t="str">
        <f t="shared" si="96"/>
        <v/>
      </c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1" t="str">
        <f t="shared" si="11"/>
        <v>#DIV/0!</v>
      </c>
      <c r="AU49" s="62">
        <f t="shared" si="72"/>
        <v>0</v>
      </c>
      <c r="AV49" s="62" t="str">
        <f t="shared" si="13"/>
        <v>#DIV/0!</v>
      </c>
      <c r="AW49" s="62" t="str">
        <f t="shared" si="14"/>
        <v>#DIV/0!</v>
      </c>
      <c r="AX49" s="63">
        <f t="shared" si="15"/>
        <v>0</v>
      </c>
      <c r="AY49" s="64" t="str">
        <f t="shared" si="16"/>
        <v/>
      </c>
      <c r="BA49" s="2"/>
      <c r="BC49" s="56">
        <v>38.0</v>
      </c>
      <c r="BD49" s="57" t="str">
        <f t="shared" ref="BD49:BE49" si="97">B49</f>
        <v/>
      </c>
      <c r="BE49" s="65" t="str">
        <f t="shared" si="97"/>
        <v/>
      </c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1" t="str">
        <f t="shared" si="18"/>
        <v>#DIV/0!</v>
      </c>
      <c r="BV49" s="62">
        <f t="shared" si="19"/>
        <v>0</v>
      </c>
      <c r="BW49" s="62" t="str">
        <f t="shared" si="20"/>
        <v>#DIV/0!</v>
      </c>
      <c r="BX49" s="62" t="str">
        <f t="shared" si="21"/>
        <v>#DIV/0!</v>
      </c>
      <c r="BY49" s="63">
        <f t="shared" si="22"/>
        <v>0</v>
      </c>
      <c r="BZ49" s="64" t="str">
        <f t="shared" si="23"/>
        <v/>
      </c>
    </row>
    <row r="50" ht="15.75" customHeight="1">
      <c r="A50" s="56">
        <v>39.0</v>
      </c>
      <c r="B50" s="57"/>
      <c r="C50" s="65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1" t="str">
        <f t="shared" si="24"/>
        <v>#DIV/0!</v>
      </c>
      <c r="T50" s="62">
        <f t="shared" si="5"/>
        <v>0</v>
      </c>
      <c r="U50" s="62" t="str">
        <f t="shared" si="6"/>
        <v>#DIV/0!</v>
      </c>
      <c r="V50" s="62" t="str">
        <f t="shared" si="7"/>
        <v>#DIV/0!</v>
      </c>
      <c r="W50" s="63">
        <f t="shared" si="8"/>
        <v>0</v>
      </c>
      <c r="X50" s="64" t="str">
        <f t="shared" si="9"/>
        <v/>
      </c>
      <c r="Z50" s="2"/>
      <c r="AB50" s="56">
        <v>39.0</v>
      </c>
      <c r="AC50" s="57" t="str">
        <f t="shared" ref="AC50:AD50" si="98">B50</f>
        <v/>
      </c>
      <c r="AD50" s="65" t="str">
        <f t="shared" si="98"/>
        <v/>
      </c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1" t="str">
        <f t="shared" si="11"/>
        <v>#DIV/0!</v>
      </c>
      <c r="AU50" s="62">
        <f t="shared" si="72"/>
        <v>0</v>
      </c>
      <c r="AV50" s="62" t="str">
        <f t="shared" si="13"/>
        <v>#DIV/0!</v>
      </c>
      <c r="AW50" s="62" t="str">
        <f t="shared" si="14"/>
        <v>#DIV/0!</v>
      </c>
      <c r="AX50" s="63">
        <f t="shared" si="15"/>
        <v>0</v>
      </c>
      <c r="AY50" s="64" t="str">
        <f t="shared" si="16"/>
        <v/>
      </c>
      <c r="BA50" s="2"/>
      <c r="BC50" s="56">
        <v>39.0</v>
      </c>
      <c r="BD50" s="57" t="str">
        <f t="shared" ref="BD50:BE50" si="99">B50</f>
        <v/>
      </c>
      <c r="BE50" s="65" t="str">
        <f t="shared" si="99"/>
        <v/>
      </c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1" t="str">
        <f t="shared" si="18"/>
        <v>#DIV/0!</v>
      </c>
      <c r="BV50" s="62">
        <f t="shared" si="19"/>
        <v>0</v>
      </c>
      <c r="BW50" s="62" t="str">
        <f t="shared" si="20"/>
        <v>#DIV/0!</v>
      </c>
      <c r="BX50" s="62" t="str">
        <f t="shared" si="21"/>
        <v>#DIV/0!</v>
      </c>
      <c r="BY50" s="63">
        <f t="shared" si="22"/>
        <v>0</v>
      </c>
      <c r="BZ50" s="64" t="str">
        <f t="shared" si="23"/>
        <v/>
      </c>
    </row>
    <row r="51" ht="15.75" customHeight="1">
      <c r="A51" s="56">
        <v>40.0</v>
      </c>
      <c r="B51" s="57"/>
      <c r="C51" s="65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1" t="str">
        <f t="shared" si="24"/>
        <v>#DIV/0!</v>
      </c>
      <c r="T51" s="62">
        <f t="shared" si="5"/>
        <v>0</v>
      </c>
      <c r="U51" s="62" t="str">
        <f t="shared" si="6"/>
        <v>#DIV/0!</v>
      </c>
      <c r="V51" s="62" t="str">
        <f t="shared" si="7"/>
        <v>#DIV/0!</v>
      </c>
      <c r="W51" s="63">
        <f t="shared" si="8"/>
        <v>0</v>
      </c>
      <c r="X51" s="64" t="str">
        <f t="shared" si="9"/>
        <v/>
      </c>
      <c r="Z51" s="2"/>
      <c r="AB51" s="56">
        <v>40.0</v>
      </c>
      <c r="AC51" s="57" t="str">
        <f t="shared" ref="AC51:AD51" si="100">B51</f>
        <v/>
      </c>
      <c r="AD51" s="65" t="str">
        <f t="shared" si="100"/>
        <v/>
      </c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1" t="str">
        <f t="shared" si="11"/>
        <v>#DIV/0!</v>
      </c>
      <c r="AU51" s="62">
        <f t="shared" si="72"/>
        <v>0</v>
      </c>
      <c r="AV51" s="62" t="str">
        <f t="shared" si="13"/>
        <v>#DIV/0!</v>
      </c>
      <c r="AW51" s="62" t="str">
        <f t="shared" si="14"/>
        <v>#DIV/0!</v>
      </c>
      <c r="AX51" s="63">
        <f t="shared" si="15"/>
        <v>0</v>
      </c>
      <c r="AY51" s="64" t="str">
        <f t="shared" si="16"/>
        <v/>
      </c>
      <c r="BA51" s="2"/>
      <c r="BC51" s="56">
        <v>40.0</v>
      </c>
      <c r="BD51" s="57"/>
      <c r="BE51" s="65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1" t="str">
        <f t="shared" si="18"/>
        <v>#DIV/0!</v>
      </c>
      <c r="BV51" s="62">
        <f t="shared" si="19"/>
        <v>0</v>
      </c>
      <c r="BW51" s="62" t="str">
        <f t="shared" si="20"/>
        <v>#DIV/0!</v>
      </c>
      <c r="BX51" s="62" t="str">
        <f t="shared" si="21"/>
        <v>#DIV/0!</v>
      </c>
      <c r="BY51" s="63">
        <f t="shared" si="22"/>
        <v>0</v>
      </c>
      <c r="BZ51" s="64" t="str">
        <f t="shared" si="23"/>
        <v/>
      </c>
    </row>
    <row r="52" ht="15.75" customHeight="1">
      <c r="A52" s="56">
        <v>41.0</v>
      </c>
      <c r="B52" s="57"/>
      <c r="C52" s="65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1" t="str">
        <f t="shared" si="24"/>
        <v>#DIV/0!</v>
      </c>
      <c r="T52" s="62">
        <f t="shared" si="5"/>
        <v>0</v>
      </c>
      <c r="U52" s="62" t="str">
        <f t="shared" si="6"/>
        <v>#DIV/0!</v>
      </c>
      <c r="V52" s="62" t="str">
        <f t="shared" si="7"/>
        <v>#DIV/0!</v>
      </c>
      <c r="W52" s="63">
        <f t="shared" si="8"/>
        <v>0</v>
      </c>
      <c r="X52" s="64" t="str">
        <f t="shared" si="9"/>
        <v/>
      </c>
      <c r="Z52" s="2"/>
      <c r="AB52" s="56">
        <v>41.0</v>
      </c>
      <c r="AC52" s="57" t="str">
        <f t="shared" ref="AC52:AD52" si="101">B52</f>
        <v/>
      </c>
      <c r="AD52" s="65" t="str">
        <f t="shared" si="101"/>
        <v/>
      </c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1" t="str">
        <f t="shared" si="11"/>
        <v>#DIV/0!</v>
      </c>
      <c r="AU52" s="62">
        <f t="shared" si="72"/>
        <v>0</v>
      </c>
      <c r="AV52" s="62" t="str">
        <f t="shared" si="13"/>
        <v>#DIV/0!</v>
      </c>
      <c r="AW52" s="62" t="str">
        <f t="shared" si="14"/>
        <v>#DIV/0!</v>
      </c>
      <c r="AX52" s="63">
        <f t="shared" si="15"/>
        <v>0</v>
      </c>
      <c r="AY52" s="64" t="str">
        <f t="shared" si="16"/>
        <v/>
      </c>
      <c r="BA52" s="2"/>
      <c r="BC52" s="56">
        <v>41.0</v>
      </c>
      <c r="BD52" s="57"/>
      <c r="BE52" s="65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1" t="str">
        <f t="shared" si="18"/>
        <v>#DIV/0!</v>
      </c>
      <c r="BV52" s="62">
        <f t="shared" si="19"/>
        <v>0</v>
      </c>
      <c r="BW52" s="62" t="str">
        <f t="shared" si="20"/>
        <v>#DIV/0!</v>
      </c>
      <c r="BX52" s="62" t="str">
        <f t="shared" si="21"/>
        <v>#DIV/0!</v>
      </c>
      <c r="BY52" s="63">
        <f t="shared" si="22"/>
        <v>0</v>
      </c>
      <c r="BZ52" s="64" t="str">
        <f t="shared" si="23"/>
        <v/>
      </c>
    </row>
    <row r="53" ht="15.75" customHeight="1">
      <c r="A53" s="56">
        <v>42.0</v>
      </c>
      <c r="B53" s="57"/>
      <c r="C53" s="65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1" t="str">
        <f t="shared" si="24"/>
        <v>#DIV/0!</v>
      </c>
      <c r="T53" s="62">
        <f t="shared" si="5"/>
        <v>0</v>
      </c>
      <c r="U53" s="62" t="str">
        <f t="shared" si="6"/>
        <v>#DIV/0!</v>
      </c>
      <c r="V53" s="62" t="str">
        <f t="shared" si="7"/>
        <v>#DIV/0!</v>
      </c>
      <c r="W53" s="63">
        <f t="shared" si="8"/>
        <v>0</v>
      </c>
      <c r="X53" s="64" t="str">
        <f t="shared" si="9"/>
        <v/>
      </c>
      <c r="Z53" s="2"/>
      <c r="AB53" s="56">
        <v>42.0</v>
      </c>
      <c r="AC53" s="57" t="str">
        <f t="shared" ref="AC53:AD53" si="102">B53</f>
        <v/>
      </c>
      <c r="AD53" s="65" t="str">
        <f t="shared" si="102"/>
        <v/>
      </c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1" t="str">
        <f t="shared" si="11"/>
        <v>#DIV/0!</v>
      </c>
      <c r="AU53" s="62">
        <f t="shared" si="72"/>
        <v>0</v>
      </c>
      <c r="AV53" s="62" t="str">
        <f t="shared" si="13"/>
        <v>#DIV/0!</v>
      </c>
      <c r="AW53" s="62" t="str">
        <f t="shared" si="14"/>
        <v>#DIV/0!</v>
      </c>
      <c r="AX53" s="63">
        <f t="shared" si="15"/>
        <v>0</v>
      </c>
      <c r="AY53" s="64" t="str">
        <f t="shared" si="16"/>
        <v/>
      </c>
      <c r="BA53" s="2"/>
      <c r="BC53" s="56">
        <v>42.0</v>
      </c>
      <c r="BD53" s="57"/>
      <c r="BE53" s="65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1" t="str">
        <f t="shared" si="18"/>
        <v>#DIV/0!</v>
      </c>
      <c r="BV53" s="62">
        <f t="shared" si="19"/>
        <v>0</v>
      </c>
      <c r="BW53" s="62" t="str">
        <f t="shared" si="20"/>
        <v>#DIV/0!</v>
      </c>
      <c r="BX53" s="62" t="str">
        <f t="shared" si="21"/>
        <v>#DIV/0!</v>
      </c>
      <c r="BY53" s="63">
        <f t="shared" si="22"/>
        <v>0</v>
      </c>
      <c r="BZ53" s="64" t="str">
        <f t="shared" si="23"/>
        <v/>
      </c>
    </row>
    <row r="54" ht="15.75" customHeight="1">
      <c r="A54" s="56">
        <v>43.0</v>
      </c>
      <c r="B54" s="57"/>
      <c r="C54" s="65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1" t="str">
        <f t="shared" si="24"/>
        <v>#DIV/0!</v>
      </c>
      <c r="T54" s="62">
        <f t="shared" si="5"/>
        <v>0</v>
      </c>
      <c r="U54" s="62" t="str">
        <f t="shared" si="6"/>
        <v>#DIV/0!</v>
      </c>
      <c r="V54" s="62" t="str">
        <f t="shared" si="7"/>
        <v>#DIV/0!</v>
      </c>
      <c r="W54" s="63">
        <f t="shared" si="8"/>
        <v>0</v>
      </c>
      <c r="X54" s="64" t="str">
        <f t="shared" si="9"/>
        <v/>
      </c>
      <c r="Z54" s="2"/>
      <c r="AB54" s="56">
        <v>43.0</v>
      </c>
      <c r="AC54" s="57" t="str">
        <f t="shared" ref="AC54:AD54" si="103">B54</f>
        <v/>
      </c>
      <c r="AD54" s="65" t="str">
        <f t="shared" si="103"/>
        <v/>
      </c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1" t="str">
        <f t="shared" si="11"/>
        <v>#DIV/0!</v>
      </c>
      <c r="AU54" s="62">
        <f t="shared" si="72"/>
        <v>0</v>
      </c>
      <c r="AV54" s="62" t="str">
        <f t="shared" si="13"/>
        <v>#DIV/0!</v>
      </c>
      <c r="AW54" s="62" t="str">
        <f t="shared" si="14"/>
        <v>#DIV/0!</v>
      </c>
      <c r="AX54" s="63">
        <f t="shared" si="15"/>
        <v>0</v>
      </c>
      <c r="AY54" s="64" t="str">
        <f t="shared" si="16"/>
        <v/>
      </c>
      <c r="BA54" s="2"/>
      <c r="BC54" s="56">
        <v>43.0</v>
      </c>
      <c r="BD54" s="57"/>
      <c r="BE54" s="65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1" t="str">
        <f t="shared" si="18"/>
        <v>#DIV/0!</v>
      </c>
      <c r="BV54" s="62">
        <f t="shared" si="19"/>
        <v>0</v>
      </c>
      <c r="BW54" s="62" t="str">
        <f t="shared" si="20"/>
        <v>#DIV/0!</v>
      </c>
      <c r="BX54" s="62" t="str">
        <f t="shared" si="21"/>
        <v>#DIV/0!</v>
      </c>
      <c r="BY54" s="63">
        <f t="shared" si="22"/>
        <v>0</v>
      </c>
      <c r="BZ54" s="64" t="str">
        <f t="shared" si="23"/>
        <v/>
      </c>
    </row>
    <row r="55" ht="15.75" customHeight="1">
      <c r="A55" s="56">
        <v>44.0</v>
      </c>
      <c r="B55" s="57"/>
      <c r="C55" s="65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1" t="str">
        <f t="shared" si="24"/>
        <v>#DIV/0!</v>
      </c>
      <c r="T55" s="62">
        <f t="shared" si="5"/>
        <v>0</v>
      </c>
      <c r="U55" s="62" t="str">
        <f t="shared" si="6"/>
        <v>#DIV/0!</v>
      </c>
      <c r="V55" s="62" t="str">
        <f t="shared" si="7"/>
        <v>#DIV/0!</v>
      </c>
      <c r="W55" s="63">
        <f t="shared" si="8"/>
        <v>0</v>
      </c>
      <c r="X55" s="64" t="str">
        <f t="shared" si="9"/>
        <v/>
      </c>
      <c r="Z55" s="2"/>
      <c r="AB55" s="56">
        <v>44.0</v>
      </c>
      <c r="AC55" s="57" t="str">
        <f t="shared" ref="AC55:AD55" si="104">B55</f>
        <v/>
      </c>
      <c r="AD55" s="65" t="str">
        <f t="shared" si="104"/>
        <v/>
      </c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1" t="str">
        <f t="shared" si="11"/>
        <v>#DIV/0!</v>
      </c>
      <c r="AU55" s="62">
        <f t="shared" si="72"/>
        <v>0</v>
      </c>
      <c r="AV55" s="62" t="str">
        <f t="shared" si="13"/>
        <v>#DIV/0!</v>
      </c>
      <c r="AW55" s="62" t="str">
        <f t="shared" si="14"/>
        <v>#DIV/0!</v>
      </c>
      <c r="AX55" s="63">
        <f t="shared" si="15"/>
        <v>0</v>
      </c>
      <c r="AY55" s="64" t="str">
        <f t="shared" si="16"/>
        <v/>
      </c>
      <c r="BA55" s="2"/>
      <c r="BC55" s="56">
        <v>44.0</v>
      </c>
      <c r="BD55" s="57"/>
      <c r="BE55" s="65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1" t="str">
        <f t="shared" si="18"/>
        <v>#DIV/0!</v>
      </c>
      <c r="BV55" s="62">
        <f t="shared" si="19"/>
        <v>0</v>
      </c>
      <c r="BW55" s="62" t="str">
        <f t="shared" si="20"/>
        <v>#DIV/0!</v>
      </c>
      <c r="BX55" s="62" t="str">
        <f t="shared" si="21"/>
        <v>#DIV/0!</v>
      </c>
      <c r="BY55" s="63">
        <f t="shared" si="22"/>
        <v>0</v>
      </c>
      <c r="BZ55" s="64" t="str">
        <f t="shared" si="23"/>
        <v/>
      </c>
    </row>
    <row r="56" ht="15.75" customHeight="1">
      <c r="A56" s="56">
        <v>45.0</v>
      </c>
      <c r="B56" s="57"/>
      <c r="C56" s="65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1" t="str">
        <f t="shared" si="24"/>
        <v>#DIV/0!</v>
      </c>
      <c r="T56" s="62">
        <f t="shared" si="5"/>
        <v>0</v>
      </c>
      <c r="U56" s="62" t="str">
        <f t="shared" si="6"/>
        <v>#DIV/0!</v>
      </c>
      <c r="V56" s="62" t="str">
        <f t="shared" si="7"/>
        <v>#DIV/0!</v>
      </c>
      <c r="W56" s="63">
        <f t="shared" si="8"/>
        <v>0</v>
      </c>
      <c r="X56" s="64" t="str">
        <f t="shared" si="9"/>
        <v/>
      </c>
      <c r="Z56" s="2"/>
      <c r="AB56" s="56">
        <v>45.0</v>
      </c>
      <c r="AC56" s="57" t="str">
        <f t="shared" ref="AC56:AD56" si="105">B56</f>
        <v/>
      </c>
      <c r="AD56" s="65" t="str">
        <f t="shared" si="105"/>
        <v/>
      </c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1" t="str">
        <f t="shared" si="11"/>
        <v>#DIV/0!</v>
      </c>
      <c r="AU56" s="62">
        <f t="shared" si="72"/>
        <v>0</v>
      </c>
      <c r="AV56" s="62" t="str">
        <f t="shared" si="13"/>
        <v>#DIV/0!</v>
      </c>
      <c r="AW56" s="62" t="str">
        <f t="shared" si="14"/>
        <v>#DIV/0!</v>
      </c>
      <c r="AX56" s="63">
        <f t="shared" si="15"/>
        <v>0</v>
      </c>
      <c r="AY56" s="64" t="str">
        <f t="shared" si="16"/>
        <v/>
      </c>
      <c r="BA56" s="2"/>
      <c r="BC56" s="56">
        <v>45.0</v>
      </c>
      <c r="BD56" s="57" t="str">
        <f t="shared" ref="BD56:BE56" si="106">B56</f>
        <v/>
      </c>
      <c r="BE56" s="65" t="str">
        <f t="shared" si="106"/>
        <v/>
      </c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1" t="str">
        <f t="shared" si="18"/>
        <v>#DIV/0!</v>
      </c>
      <c r="BV56" s="62">
        <f t="shared" si="19"/>
        <v>0</v>
      </c>
      <c r="BW56" s="62" t="str">
        <f t="shared" si="20"/>
        <v>#DIV/0!</v>
      </c>
      <c r="BX56" s="62" t="str">
        <f t="shared" si="21"/>
        <v>#DIV/0!</v>
      </c>
      <c r="BY56" s="63">
        <f t="shared" si="22"/>
        <v>0</v>
      </c>
      <c r="BZ56" s="64" t="str">
        <f t="shared" si="23"/>
        <v/>
      </c>
    </row>
    <row r="57" ht="15.75" customHeight="1">
      <c r="A57" s="56">
        <v>46.0</v>
      </c>
      <c r="B57" s="57"/>
      <c r="C57" s="65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1" t="str">
        <f t="shared" si="24"/>
        <v>#DIV/0!</v>
      </c>
      <c r="T57" s="62">
        <f t="shared" si="5"/>
        <v>0</v>
      </c>
      <c r="U57" s="62" t="str">
        <f t="shared" si="6"/>
        <v>#DIV/0!</v>
      </c>
      <c r="V57" s="62" t="str">
        <f t="shared" si="7"/>
        <v>#DIV/0!</v>
      </c>
      <c r="W57" s="63">
        <f t="shared" si="8"/>
        <v>0</v>
      </c>
      <c r="X57" s="64" t="str">
        <f t="shared" si="9"/>
        <v/>
      </c>
      <c r="Z57" s="2"/>
      <c r="AB57" s="56">
        <v>46.0</v>
      </c>
      <c r="AC57" s="57" t="str">
        <f t="shared" ref="AC57:AD57" si="107">B57</f>
        <v/>
      </c>
      <c r="AD57" s="65" t="str">
        <f t="shared" si="107"/>
        <v/>
      </c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1" t="str">
        <f t="shared" si="11"/>
        <v>#DIV/0!</v>
      </c>
      <c r="AU57" s="62">
        <f t="shared" si="72"/>
        <v>0</v>
      </c>
      <c r="AV57" s="62" t="str">
        <f t="shared" si="13"/>
        <v>#DIV/0!</v>
      </c>
      <c r="AW57" s="62" t="str">
        <f t="shared" si="14"/>
        <v>#DIV/0!</v>
      </c>
      <c r="AX57" s="63">
        <f t="shared" si="15"/>
        <v>0</v>
      </c>
      <c r="AY57" s="64" t="str">
        <f t="shared" si="16"/>
        <v/>
      </c>
      <c r="BA57" s="2"/>
      <c r="BC57" s="56">
        <v>46.0</v>
      </c>
      <c r="BD57" s="57" t="str">
        <f t="shared" ref="BD57:BE57" si="108">B57</f>
        <v/>
      </c>
      <c r="BE57" s="65" t="str">
        <f t="shared" si="108"/>
        <v/>
      </c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1" t="str">
        <f t="shared" si="18"/>
        <v>#DIV/0!</v>
      </c>
      <c r="BV57" s="62">
        <f t="shared" si="19"/>
        <v>0</v>
      </c>
      <c r="BW57" s="62" t="str">
        <f t="shared" si="20"/>
        <v>#DIV/0!</v>
      </c>
      <c r="BX57" s="62" t="str">
        <f t="shared" si="21"/>
        <v>#DIV/0!</v>
      </c>
      <c r="BY57" s="63">
        <f t="shared" si="22"/>
        <v>0</v>
      </c>
      <c r="BZ57" s="64" t="str">
        <f t="shared" si="23"/>
        <v/>
      </c>
    </row>
    <row r="58" ht="15.75" customHeight="1">
      <c r="A58" s="56">
        <v>47.0</v>
      </c>
      <c r="B58" s="57"/>
      <c r="C58" s="65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1" t="str">
        <f t="shared" si="24"/>
        <v>#DIV/0!</v>
      </c>
      <c r="T58" s="62">
        <f t="shared" si="5"/>
        <v>0</v>
      </c>
      <c r="U58" s="62" t="str">
        <f t="shared" si="6"/>
        <v>#DIV/0!</v>
      </c>
      <c r="V58" s="62" t="str">
        <f t="shared" si="7"/>
        <v>#DIV/0!</v>
      </c>
      <c r="W58" s="63">
        <f t="shared" si="8"/>
        <v>0</v>
      </c>
      <c r="X58" s="64" t="str">
        <f t="shared" si="9"/>
        <v/>
      </c>
      <c r="Z58" s="2"/>
      <c r="AB58" s="56">
        <v>47.0</v>
      </c>
      <c r="AC58" s="57" t="str">
        <f t="shared" ref="AC58:AD58" si="109">B58</f>
        <v/>
      </c>
      <c r="AD58" s="65" t="str">
        <f t="shared" si="109"/>
        <v/>
      </c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1" t="str">
        <f t="shared" si="11"/>
        <v>#DIV/0!</v>
      </c>
      <c r="AU58" s="62">
        <f t="shared" si="72"/>
        <v>0</v>
      </c>
      <c r="AV58" s="62" t="str">
        <f t="shared" si="13"/>
        <v>#DIV/0!</v>
      </c>
      <c r="AW58" s="62" t="str">
        <f t="shared" si="14"/>
        <v>#DIV/0!</v>
      </c>
      <c r="AX58" s="63">
        <f t="shared" si="15"/>
        <v>0</v>
      </c>
      <c r="AY58" s="64" t="str">
        <f t="shared" si="16"/>
        <v/>
      </c>
      <c r="BA58" s="2"/>
      <c r="BC58" s="56">
        <v>47.0</v>
      </c>
      <c r="BD58" s="57" t="str">
        <f t="shared" ref="BD58:BE58" si="110">B58</f>
        <v/>
      </c>
      <c r="BE58" s="65" t="str">
        <f t="shared" si="110"/>
        <v/>
      </c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1" t="str">
        <f t="shared" si="18"/>
        <v>#DIV/0!</v>
      </c>
      <c r="BV58" s="62">
        <f t="shared" si="19"/>
        <v>0</v>
      </c>
      <c r="BW58" s="62" t="str">
        <f t="shared" si="20"/>
        <v>#DIV/0!</v>
      </c>
      <c r="BX58" s="62" t="str">
        <f t="shared" si="21"/>
        <v>#DIV/0!</v>
      </c>
      <c r="BY58" s="63">
        <f t="shared" si="22"/>
        <v>0</v>
      </c>
      <c r="BZ58" s="64" t="str">
        <f t="shared" si="23"/>
        <v/>
      </c>
    </row>
    <row r="59" ht="15.75" customHeight="1">
      <c r="A59" s="56">
        <v>48.0</v>
      </c>
      <c r="B59" s="57"/>
      <c r="C59" s="65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1" t="str">
        <f t="shared" si="24"/>
        <v>#DIV/0!</v>
      </c>
      <c r="T59" s="62">
        <f t="shared" si="5"/>
        <v>0</v>
      </c>
      <c r="U59" s="62" t="str">
        <f t="shared" si="6"/>
        <v>#DIV/0!</v>
      </c>
      <c r="V59" s="62" t="str">
        <f t="shared" si="7"/>
        <v>#DIV/0!</v>
      </c>
      <c r="W59" s="63">
        <f t="shared" si="8"/>
        <v>0</v>
      </c>
      <c r="X59" s="64" t="str">
        <f t="shared" si="9"/>
        <v/>
      </c>
      <c r="Z59" s="2"/>
      <c r="AB59" s="56">
        <v>48.0</v>
      </c>
      <c r="AC59" s="57" t="str">
        <f t="shared" ref="AC59:AD59" si="111">B59</f>
        <v/>
      </c>
      <c r="AD59" s="65" t="str">
        <f t="shared" si="111"/>
        <v/>
      </c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1" t="str">
        <f t="shared" si="11"/>
        <v>#DIV/0!</v>
      </c>
      <c r="AU59" s="62">
        <f t="shared" si="72"/>
        <v>0</v>
      </c>
      <c r="AV59" s="62" t="str">
        <f t="shared" si="13"/>
        <v>#DIV/0!</v>
      </c>
      <c r="AW59" s="62" t="str">
        <f t="shared" si="14"/>
        <v>#DIV/0!</v>
      </c>
      <c r="AX59" s="63">
        <f t="shared" si="15"/>
        <v>0</v>
      </c>
      <c r="AY59" s="64" t="str">
        <f t="shared" si="16"/>
        <v/>
      </c>
      <c r="BA59" s="2"/>
      <c r="BC59" s="56">
        <v>48.0</v>
      </c>
      <c r="BD59" s="57"/>
      <c r="BE59" s="65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1" t="str">
        <f t="shared" si="18"/>
        <v>#DIV/0!</v>
      </c>
      <c r="BV59" s="62">
        <f t="shared" si="19"/>
        <v>0</v>
      </c>
      <c r="BW59" s="62" t="str">
        <f t="shared" si="20"/>
        <v>#DIV/0!</v>
      </c>
      <c r="BX59" s="62" t="str">
        <f t="shared" si="21"/>
        <v>#DIV/0!</v>
      </c>
      <c r="BY59" s="63">
        <f t="shared" si="22"/>
        <v>0</v>
      </c>
      <c r="BZ59" s="64" t="str">
        <f t="shared" si="23"/>
        <v/>
      </c>
    </row>
    <row r="60" ht="15.75" customHeight="1">
      <c r="A60" s="56">
        <v>49.0</v>
      </c>
      <c r="B60" s="57"/>
      <c r="C60" s="65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1" t="str">
        <f t="shared" si="24"/>
        <v>#DIV/0!</v>
      </c>
      <c r="T60" s="62">
        <f t="shared" si="5"/>
        <v>0</v>
      </c>
      <c r="U60" s="62" t="str">
        <f t="shared" si="6"/>
        <v>#DIV/0!</v>
      </c>
      <c r="V60" s="62" t="str">
        <f t="shared" si="7"/>
        <v>#DIV/0!</v>
      </c>
      <c r="W60" s="63">
        <f t="shared" si="8"/>
        <v>0</v>
      </c>
      <c r="X60" s="64" t="str">
        <f t="shared" si="9"/>
        <v/>
      </c>
      <c r="Z60" s="2"/>
      <c r="AB60" s="56">
        <v>49.0</v>
      </c>
      <c r="AC60" s="57" t="str">
        <f t="shared" ref="AC60:AD60" si="112">B60</f>
        <v/>
      </c>
      <c r="AD60" s="65" t="str">
        <f t="shared" si="112"/>
        <v/>
      </c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1" t="str">
        <f t="shared" si="11"/>
        <v>#DIV/0!</v>
      </c>
      <c r="AU60" s="62">
        <f t="shared" si="72"/>
        <v>0</v>
      </c>
      <c r="AV60" s="62" t="str">
        <f t="shared" si="13"/>
        <v>#DIV/0!</v>
      </c>
      <c r="AW60" s="62" t="str">
        <f t="shared" si="14"/>
        <v>#DIV/0!</v>
      </c>
      <c r="AX60" s="63">
        <f t="shared" si="15"/>
        <v>0</v>
      </c>
      <c r="AY60" s="64" t="str">
        <f t="shared" si="16"/>
        <v/>
      </c>
      <c r="BA60" s="2"/>
      <c r="BC60" s="56">
        <v>49.0</v>
      </c>
      <c r="BD60" s="57" t="str">
        <f t="shared" ref="BD60:BE60" si="113">B60</f>
        <v/>
      </c>
      <c r="BE60" s="65" t="str">
        <f t="shared" si="113"/>
        <v/>
      </c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1" t="str">
        <f t="shared" si="18"/>
        <v>#DIV/0!</v>
      </c>
      <c r="BV60" s="62">
        <f t="shared" si="19"/>
        <v>0</v>
      </c>
      <c r="BW60" s="62" t="str">
        <f t="shared" si="20"/>
        <v>#DIV/0!</v>
      </c>
      <c r="BX60" s="62" t="str">
        <f t="shared" si="21"/>
        <v>#DIV/0!</v>
      </c>
      <c r="BY60" s="63">
        <f t="shared" si="22"/>
        <v>0</v>
      </c>
      <c r="BZ60" s="64" t="str">
        <f t="shared" si="23"/>
        <v/>
      </c>
    </row>
    <row r="61" ht="15.75" customHeight="1">
      <c r="A61" s="56">
        <v>50.0</v>
      </c>
      <c r="B61" s="57"/>
      <c r="C61" s="65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1" t="str">
        <f t="shared" si="24"/>
        <v>#DIV/0!</v>
      </c>
      <c r="T61" s="62">
        <f t="shared" si="5"/>
        <v>0</v>
      </c>
      <c r="U61" s="62" t="str">
        <f t="shared" si="6"/>
        <v>#DIV/0!</v>
      </c>
      <c r="V61" s="62" t="str">
        <f t="shared" si="7"/>
        <v>#DIV/0!</v>
      </c>
      <c r="W61" s="63">
        <f t="shared" si="8"/>
        <v>0</v>
      </c>
      <c r="X61" s="64" t="str">
        <f t="shared" si="9"/>
        <v/>
      </c>
      <c r="Z61" s="2"/>
      <c r="AB61" s="56">
        <v>50.0</v>
      </c>
      <c r="AC61" s="57" t="str">
        <f t="shared" ref="AC61:AD61" si="114">B61</f>
        <v/>
      </c>
      <c r="AD61" s="65" t="str">
        <f t="shared" si="114"/>
        <v/>
      </c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1" t="str">
        <f t="shared" si="11"/>
        <v>#DIV/0!</v>
      </c>
      <c r="AU61" s="62">
        <f t="shared" si="72"/>
        <v>0</v>
      </c>
      <c r="AV61" s="62" t="str">
        <f t="shared" si="13"/>
        <v>#DIV/0!</v>
      </c>
      <c r="AW61" s="62" t="str">
        <f t="shared" si="14"/>
        <v>#DIV/0!</v>
      </c>
      <c r="AX61" s="63">
        <f t="shared" si="15"/>
        <v>0</v>
      </c>
      <c r="AY61" s="64" t="str">
        <f t="shared" si="16"/>
        <v/>
      </c>
      <c r="BA61" s="2"/>
      <c r="BC61" s="56">
        <v>50.0</v>
      </c>
      <c r="BD61" s="57" t="str">
        <f t="shared" ref="BD61:BE61" si="115">B61</f>
        <v/>
      </c>
      <c r="BE61" s="65" t="str">
        <f t="shared" si="115"/>
        <v/>
      </c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1" t="str">
        <f t="shared" si="18"/>
        <v>#DIV/0!</v>
      </c>
      <c r="BV61" s="62">
        <f t="shared" si="19"/>
        <v>0</v>
      </c>
      <c r="BW61" s="62" t="str">
        <f t="shared" si="20"/>
        <v>#DIV/0!</v>
      </c>
      <c r="BX61" s="62" t="str">
        <f t="shared" si="21"/>
        <v>#DIV/0!</v>
      </c>
      <c r="BY61" s="63">
        <f t="shared" si="22"/>
        <v>0</v>
      </c>
      <c r="BZ61" s="64" t="str">
        <f t="shared" si="23"/>
        <v/>
      </c>
    </row>
    <row r="62" ht="15.75" customHeight="1"/>
    <row r="63" ht="15.75" customHeight="1"/>
    <row r="64" ht="15.75" customHeight="1">
      <c r="K64" s="71"/>
      <c r="L64" s="71"/>
      <c r="M64" s="71"/>
      <c r="N64" s="71"/>
      <c r="O64" s="71"/>
      <c r="P64" s="71"/>
      <c r="Q64" s="71"/>
      <c r="R64" s="71"/>
    </row>
    <row r="65" ht="15.75" customHeight="1">
      <c r="K65" s="71"/>
      <c r="L65" s="72"/>
      <c r="M65" s="71"/>
      <c r="N65" s="71"/>
      <c r="O65" s="71"/>
      <c r="P65" s="71"/>
      <c r="Q65" s="71"/>
      <c r="R65" s="71"/>
    </row>
    <row r="66" ht="15.75" customHeight="1">
      <c r="K66" s="71"/>
      <c r="L66" s="71"/>
      <c r="M66" s="71"/>
      <c r="N66" s="71"/>
      <c r="O66" s="71"/>
      <c r="P66" s="71"/>
      <c r="Q66" s="71"/>
      <c r="R66" s="71"/>
    </row>
    <row r="67" ht="15.75" customHeight="1">
      <c r="K67" s="71"/>
      <c r="L67" s="72"/>
      <c r="M67" s="71"/>
      <c r="N67" s="71"/>
      <c r="O67" s="71"/>
      <c r="P67" s="71"/>
      <c r="Q67" s="71"/>
      <c r="R67" s="71"/>
    </row>
    <row r="68" ht="15.75" customHeight="1">
      <c r="K68" s="71"/>
      <c r="L68" s="71"/>
      <c r="M68" s="71"/>
      <c r="N68" s="71"/>
      <c r="O68" s="71"/>
      <c r="P68" s="71"/>
      <c r="Q68" s="71"/>
      <c r="R68" s="71"/>
    </row>
    <row r="69" ht="15.75" customHeight="1">
      <c r="K69" s="71"/>
      <c r="L69" s="72"/>
      <c r="M69" s="71"/>
      <c r="N69" s="71"/>
      <c r="O69" s="71"/>
      <c r="P69" s="71"/>
      <c r="Q69" s="71"/>
      <c r="R69" s="71"/>
    </row>
    <row r="70" ht="15.75" customHeight="1">
      <c r="K70" s="71"/>
      <c r="L70" s="71"/>
      <c r="M70" s="71"/>
      <c r="N70" s="71"/>
      <c r="O70" s="71"/>
      <c r="P70" s="71"/>
      <c r="Q70" s="71"/>
      <c r="R70" s="71"/>
    </row>
    <row r="71" ht="15.75" customHeight="1">
      <c r="K71" s="71"/>
      <c r="L71" s="72"/>
      <c r="M71" s="71"/>
      <c r="N71" s="71"/>
      <c r="O71" s="71"/>
      <c r="P71" s="71"/>
      <c r="Q71" s="71"/>
      <c r="R71" s="71"/>
    </row>
    <row r="72" ht="15.75" customHeight="1">
      <c r="K72" s="71"/>
      <c r="L72" s="71"/>
      <c r="M72" s="71"/>
      <c r="N72" s="71"/>
      <c r="O72" s="71"/>
      <c r="P72" s="71"/>
      <c r="Q72" s="71"/>
      <c r="R72" s="71"/>
    </row>
    <row r="73" ht="15.75" customHeight="1">
      <c r="K73" s="71"/>
      <c r="L73" s="72"/>
      <c r="M73" s="71"/>
      <c r="N73" s="71"/>
      <c r="O73" s="71"/>
      <c r="P73" s="71"/>
      <c r="Q73" s="71"/>
      <c r="R73" s="71"/>
    </row>
    <row r="74" ht="15.75" customHeight="1">
      <c r="K74" s="71"/>
      <c r="L74" s="71"/>
      <c r="M74" s="71"/>
      <c r="N74" s="71"/>
      <c r="O74" s="71"/>
      <c r="P74" s="71"/>
      <c r="Q74" s="71"/>
      <c r="R74" s="71"/>
    </row>
    <row r="75" ht="15.75" customHeight="1">
      <c r="K75" s="71"/>
      <c r="L75" s="72"/>
      <c r="M75" s="71"/>
      <c r="N75" s="71"/>
      <c r="O75" s="71"/>
      <c r="P75" s="71"/>
      <c r="Q75" s="71"/>
      <c r="R75" s="71"/>
    </row>
    <row r="76" ht="15.75" customHeight="1">
      <c r="K76" s="71"/>
      <c r="L76" s="71"/>
      <c r="M76" s="71"/>
      <c r="N76" s="71"/>
      <c r="O76" s="71"/>
      <c r="P76" s="71"/>
      <c r="Q76" s="71"/>
      <c r="R76" s="71"/>
    </row>
    <row r="77" ht="15.75" customHeight="1">
      <c r="K77" s="71"/>
      <c r="L77" s="72"/>
      <c r="M77" s="71"/>
      <c r="N77" s="71"/>
      <c r="O77" s="71"/>
      <c r="P77" s="71"/>
      <c r="Q77" s="71"/>
      <c r="R77" s="71"/>
    </row>
    <row r="78" ht="15.75" customHeight="1">
      <c r="K78" s="71"/>
      <c r="L78" s="71"/>
      <c r="M78" s="71"/>
      <c r="N78" s="71"/>
      <c r="O78" s="71"/>
      <c r="P78" s="71"/>
      <c r="Q78" s="71"/>
      <c r="R78" s="71"/>
    </row>
    <row r="79" ht="15.75" customHeight="1">
      <c r="K79" s="71"/>
      <c r="L79" s="72"/>
      <c r="M79" s="71"/>
      <c r="N79" s="71"/>
      <c r="O79" s="71"/>
      <c r="P79" s="71"/>
      <c r="Q79" s="71"/>
      <c r="R79" s="71"/>
    </row>
    <row r="80" ht="15.75" customHeight="1">
      <c r="K80" s="71"/>
      <c r="L80" s="71"/>
      <c r="M80" s="71"/>
      <c r="N80" s="71"/>
      <c r="O80" s="71"/>
      <c r="P80" s="71"/>
      <c r="Q80" s="71"/>
      <c r="R80" s="71"/>
    </row>
    <row r="81" ht="15.75" customHeight="1">
      <c r="K81" s="71"/>
      <c r="L81" s="72"/>
      <c r="M81" s="71"/>
      <c r="N81" s="71"/>
      <c r="O81" s="71"/>
      <c r="P81" s="71"/>
      <c r="Q81" s="71"/>
      <c r="R81" s="71"/>
    </row>
    <row r="82" ht="15.75" customHeight="1">
      <c r="K82" s="71"/>
      <c r="L82" s="71"/>
      <c r="M82" s="71"/>
      <c r="N82" s="71"/>
      <c r="O82" s="71"/>
      <c r="P82" s="71"/>
      <c r="Q82" s="71"/>
      <c r="R82" s="71"/>
    </row>
    <row r="83" ht="15.75" customHeight="1">
      <c r="K83" s="71"/>
      <c r="L83" s="72"/>
      <c r="M83" s="71"/>
      <c r="N83" s="71"/>
      <c r="O83" s="71"/>
      <c r="P83" s="71"/>
      <c r="Q83" s="71"/>
      <c r="R83" s="71"/>
    </row>
    <row r="84" ht="15.75" customHeight="1">
      <c r="K84" s="71"/>
      <c r="L84" s="71"/>
      <c r="M84" s="71"/>
      <c r="N84" s="71"/>
      <c r="O84" s="71"/>
      <c r="P84" s="71"/>
      <c r="Q84" s="71"/>
      <c r="R84" s="71"/>
    </row>
    <row r="85" ht="15.75" customHeight="1">
      <c r="K85" s="71"/>
      <c r="L85" s="72"/>
      <c r="M85" s="71"/>
      <c r="N85" s="71"/>
      <c r="O85" s="71"/>
      <c r="P85" s="71"/>
      <c r="Q85" s="71"/>
      <c r="R85" s="71"/>
    </row>
    <row r="86" ht="15.75" customHeight="1">
      <c r="K86" s="71"/>
      <c r="L86" s="71"/>
      <c r="M86" s="71"/>
      <c r="N86" s="71"/>
      <c r="O86" s="71"/>
      <c r="P86" s="71"/>
      <c r="Q86" s="71"/>
      <c r="R86" s="71"/>
    </row>
    <row r="87" ht="15.75" customHeight="1">
      <c r="K87" s="71"/>
      <c r="L87" s="72"/>
      <c r="M87" s="71"/>
      <c r="N87" s="71"/>
      <c r="O87" s="71"/>
      <c r="P87" s="71"/>
      <c r="Q87" s="71"/>
      <c r="R87" s="71"/>
    </row>
    <row r="88" ht="15.75" customHeight="1">
      <c r="K88" s="71"/>
      <c r="L88" s="71"/>
      <c r="M88" s="71"/>
      <c r="N88" s="71"/>
      <c r="O88" s="71"/>
      <c r="P88" s="71"/>
      <c r="Q88" s="71"/>
      <c r="R88" s="71"/>
    </row>
    <row r="89" ht="15.75" customHeight="1">
      <c r="K89" s="71"/>
      <c r="L89" s="72"/>
      <c r="M89" s="71"/>
      <c r="N89" s="71"/>
      <c r="O89" s="71"/>
      <c r="P89" s="71"/>
      <c r="Q89" s="71"/>
      <c r="R89" s="71"/>
    </row>
    <row r="90" ht="15.75" customHeight="1">
      <c r="K90" s="71"/>
      <c r="L90" s="71"/>
      <c r="M90" s="71"/>
      <c r="N90" s="71"/>
      <c r="O90" s="71"/>
      <c r="P90" s="71"/>
      <c r="Q90" s="71"/>
      <c r="R90" s="71"/>
    </row>
    <row r="91" ht="15.75" customHeight="1">
      <c r="K91" s="71"/>
      <c r="L91" s="72"/>
      <c r="M91" s="71"/>
      <c r="N91" s="71"/>
      <c r="O91" s="71"/>
      <c r="P91" s="71"/>
      <c r="Q91" s="71"/>
      <c r="R91" s="71"/>
    </row>
    <row r="92" ht="15.75" customHeight="1">
      <c r="K92" s="71"/>
      <c r="L92" s="71"/>
      <c r="M92" s="71"/>
      <c r="N92" s="71"/>
      <c r="O92" s="71"/>
      <c r="P92" s="71"/>
      <c r="Q92" s="71"/>
      <c r="R92" s="7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8">
    <mergeCell ref="AB2:AC2"/>
    <mergeCell ref="AB3:AC3"/>
    <mergeCell ref="AB4:AC4"/>
    <mergeCell ref="AE4:AG4"/>
    <mergeCell ref="AB6:AY6"/>
    <mergeCell ref="AB7:AY7"/>
    <mergeCell ref="BC2:BD2"/>
    <mergeCell ref="BC3:BD3"/>
    <mergeCell ref="BC4:BD4"/>
    <mergeCell ref="BF4:BH4"/>
    <mergeCell ref="BC6:BZ6"/>
    <mergeCell ref="BC7:BZ7"/>
    <mergeCell ref="A2:B2"/>
    <mergeCell ref="C2:X2"/>
    <mergeCell ref="AD2:AY2"/>
    <mergeCell ref="BE2:BZ2"/>
    <mergeCell ref="C3:X3"/>
    <mergeCell ref="AD3:AY3"/>
    <mergeCell ref="BE3:BZ3"/>
    <mergeCell ref="A3:B3"/>
    <mergeCell ref="A4:B4"/>
    <mergeCell ref="D4:F4"/>
    <mergeCell ref="A6:X6"/>
    <mergeCell ref="A7:X7"/>
    <mergeCell ref="A8:C10"/>
    <mergeCell ref="D8:R10"/>
    <mergeCell ref="S8:S11"/>
    <mergeCell ref="T8:T11"/>
    <mergeCell ref="U8:U11"/>
    <mergeCell ref="V8:V11"/>
    <mergeCell ref="W8:W11"/>
    <mergeCell ref="X8:X11"/>
    <mergeCell ref="AB8:AD10"/>
    <mergeCell ref="BC8:BE10"/>
    <mergeCell ref="BF8:BT10"/>
    <mergeCell ref="BU8:BU11"/>
    <mergeCell ref="BV8:BV11"/>
    <mergeCell ref="BW8:BW11"/>
    <mergeCell ref="BX8:BX11"/>
    <mergeCell ref="BY8:BY11"/>
    <mergeCell ref="BZ8:BZ11"/>
    <mergeCell ref="AE8:AS10"/>
    <mergeCell ref="AT8:AT11"/>
    <mergeCell ref="AU8:AU11"/>
    <mergeCell ref="AV8:AV11"/>
    <mergeCell ref="AW8:AW11"/>
    <mergeCell ref="AX8:AX11"/>
    <mergeCell ref="AY8:AY11"/>
  </mergeCells>
  <conditionalFormatting sqref="D12:R61 AN12:AN41 BO12:BO41">
    <cfRule type="cellIs" dxfId="0" priority="1" operator="lessThan">
      <formula>7</formula>
    </cfRule>
  </conditionalFormatting>
  <conditionalFormatting sqref="AE12:AF14 AG12:AG61 AH12:AS14 AF17 AH17:AO17 AF20 AH20:AO20 AF22:AF24 AH22:AO24 AF26 AH26:AO26 AF28:AF31 AH28:AO31 AF33:AF35 AH33:AO35 AE42:AF61 AH42:AS61">
    <cfRule type="cellIs" dxfId="0" priority="2" operator="lessThan">
      <formula>7</formula>
    </cfRule>
  </conditionalFormatting>
  <conditionalFormatting sqref="AE13:AS41 D41:N41">
    <cfRule type="cellIs" dxfId="0" priority="3" operator="lessThan">
      <formula>7</formula>
    </cfRule>
  </conditionalFormatting>
  <conditionalFormatting sqref="BF12:BJ12 BF42:BJ61 BH12:BH61 BK12:BK61 BL12:BT12 BL42:BT61">
    <cfRule type="cellIs" dxfId="0" priority="4" operator="lessThan">
      <formula>7</formula>
    </cfRule>
  </conditionalFormatting>
  <conditionalFormatting sqref="BF13:BT41">
    <cfRule type="cellIs" dxfId="0" priority="5" operator="lessThan">
      <formula>7</formula>
    </cfRule>
  </conditionalFormatting>
  <dataValidations>
    <dataValidation type="decimal" allowBlank="1" showInputMessage="1" showErrorMessage="1" prompt="VALOR INCORRECTO - EL VALOR DEBE SER ENTRE 0 Y 10 PTS." sqref="D12:R61 BF12:BT61">
      <formula1>0.0</formula1>
      <formula2>10.0</formula2>
    </dataValidation>
    <dataValidation type="decimal" allowBlank="1" showInputMessage="1" showErrorMessage="1" prompt="VALOR INCORRECTO - EL VALOR DEBE SER ENTRE 0 Y 10 PTS" sqref="AE12:AS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1F3E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38.57"/>
    <col customWidth="1" min="4" max="21" width="4.86"/>
    <col customWidth="1" min="22" max="23" width="5.71"/>
    <col customWidth="1" min="24" max="24" width="5.86"/>
    <col customWidth="1" min="25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66.75" customHeight="1">
      <c r="AA1" s="73"/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>AG2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5" t="str">
        <f>BK2</f>
        <v>UNIDAD EDUCATIVA EMILIO ISAÍAS ABIHANNA </v>
      </c>
      <c r="CP2" s="6"/>
      <c r="CQ2" s="6"/>
      <c r="CR2" s="6"/>
      <c r="CS2" s="6"/>
      <c r="CT2" s="4"/>
      <c r="CV2" s="2"/>
      <c r="CX2" s="74" t="s">
        <v>0</v>
      </c>
      <c r="CY2" s="4"/>
      <c r="CZ2" s="5" t="str">
        <f>CO2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67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LIC. XIMENA NAULA YUQUILEMA, MAG.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ref="BK3:BK4" si="2">C3</f>
        <v>LIC. XIMENA NAULA YUQUILEMA, MAG.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12" t="str">
        <f t="shared" ref="CO3:CO4" si="3">C3</f>
        <v>LIC. XIMENA NAULA YUQUILEMA, MAG.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ref="CZ3:CZ4" si="4">C3</f>
        <v>LIC. XIMENA NAULA YUQUILEMA, MAG.</v>
      </c>
      <c r="DA3" s="6"/>
      <c r="DB3" s="6"/>
      <c r="DC3" s="6"/>
      <c r="DD3" s="4"/>
    </row>
    <row r="4" ht="21.0" customHeight="1">
      <c r="A4" s="3" t="s">
        <v>4</v>
      </c>
      <c r="B4" s="4"/>
      <c r="C4" s="9" t="s">
        <v>68</v>
      </c>
      <c r="D4" s="10" t="s">
        <v>6</v>
      </c>
      <c r="E4" s="6"/>
      <c r="F4" s="4"/>
      <c r="G4" s="11" t="s">
        <v>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74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LENGUAJE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LENGUAJE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LENGUAJE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LENGUAJE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80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81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82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LEN!CM10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'PROY. INTER'!B12</f>
        <v/>
      </c>
      <c r="C12" s="57" t="str">
        <f>'PROY. INTER'!C12</f>
        <v>Almeida Alvarado Ariana Guisela</v>
      </c>
      <c r="D12" s="119">
        <v>10.0</v>
      </c>
      <c r="E12" s="120"/>
      <c r="F12" s="119"/>
      <c r="G12" s="120"/>
      <c r="H12" s="119">
        <v>10.0</v>
      </c>
      <c r="I12" s="120"/>
      <c r="J12" s="120"/>
      <c r="K12" s="120"/>
      <c r="L12" s="62"/>
      <c r="M12" s="62"/>
      <c r="N12" s="121">
        <v>7.0</v>
      </c>
      <c r="O12" s="62"/>
      <c r="P12" s="121">
        <v>9.0</v>
      </c>
      <c r="Q12" s="62"/>
      <c r="R12" s="62"/>
      <c r="S12" s="62"/>
      <c r="T12" s="122"/>
      <c r="U12" s="122"/>
      <c r="V12" s="62">
        <f t="shared" ref="V12:V61" si="9">IFERROR(TRUNC(AVERAGE(D12:U12),2),"")*70/100</f>
        <v>6.3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9.3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19">
        <v>10.0</v>
      </c>
      <c r="AI12" s="120"/>
      <c r="AJ12" s="120"/>
      <c r="AK12" s="120"/>
      <c r="AL12" s="119">
        <v>9.5</v>
      </c>
      <c r="AM12" s="120"/>
      <c r="AN12" s="120"/>
      <c r="AO12" s="120"/>
      <c r="AP12" s="62"/>
      <c r="AQ12" s="62"/>
      <c r="AR12" s="121">
        <v>10.0</v>
      </c>
      <c r="AS12" s="62"/>
      <c r="AT12" s="121">
        <v>10.0</v>
      </c>
      <c r="AU12" s="62"/>
      <c r="AV12" s="62"/>
      <c r="AW12" s="62"/>
      <c r="AX12" s="122"/>
      <c r="AY12" s="122"/>
      <c r="AZ12" s="62">
        <f t="shared" ref="AZ12:AZ61" si="14">IFERROR(TRUNC(AVERAGE(AH12:AY12),2),"")*70/100</f>
        <v>6.909</v>
      </c>
      <c r="BA12" s="121">
        <v>9.0</v>
      </c>
      <c r="BB12" s="123">
        <f>'PROY. INTER'!AX12</f>
        <v>10</v>
      </c>
      <c r="BC12" s="62">
        <f t="shared" ref="BC12:BC61" si="15">AVERAGE(BA12:BB12)</f>
        <v>9.5</v>
      </c>
      <c r="BD12" s="62">
        <f t="shared" ref="BD12:BD61" si="16">BC12*30/100</f>
        <v>2.85</v>
      </c>
      <c r="BE12" s="64">
        <f t="shared" ref="BE12:BE61" si="17">IFERROR(TRUNC(SUM(AZ12+BD12),2),"")</f>
        <v>9.75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9.3</v>
      </c>
      <c r="CQ12" s="129">
        <f t="shared" ref="CQ12:CQ61" si="25">BE12</f>
        <v>9.75</v>
      </c>
      <c r="CR12" s="129">
        <f t="shared" ref="CR12:CR61" si="26">CI12</f>
        <v>0</v>
      </c>
      <c r="CS12" s="130">
        <f t="shared" ref="CS12:CS61" si="27">IFERROR(TRUNC(AVERAGE(CP12:CR12),2),"")*100/100</f>
        <v>6.35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6.35</v>
      </c>
      <c r="DB12" s="136"/>
      <c r="DC12" s="137">
        <f t="shared" ref="DC12:DC61" si="31">IF(DA12&gt;=7,DA12,IF(DA12="","",IF(DB12="",AVERAGE(DA12:DB12),IF(AND(DA12&lt;4.01,DB12&lt;&gt;""),DA12,IF(DB12&lt;7,DA12,7)))))</f>
        <v>6.35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'PROY. INTER'!B13</f>
        <v/>
      </c>
      <c r="C13" s="57" t="str">
        <f>'PROY. INTER'!C13</f>
        <v>Alvarado Vargas Dacmar Alejandra</v>
      </c>
      <c r="D13" s="139">
        <v>10.0</v>
      </c>
      <c r="E13" s="140"/>
      <c r="F13" s="140"/>
      <c r="G13" s="140"/>
      <c r="H13" s="139">
        <v>10.0</v>
      </c>
      <c r="I13" s="140"/>
      <c r="J13" s="140"/>
      <c r="K13" s="140"/>
      <c r="L13" s="62"/>
      <c r="M13" s="62"/>
      <c r="N13" s="121">
        <v>7.0</v>
      </c>
      <c r="O13" s="62"/>
      <c r="P13" s="121">
        <v>9.0</v>
      </c>
      <c r="Q13" s="62"/>
      <c r="R13" s="62"/>
      <c r="S13" s="62"/>
      <c r="T13" s="141"/>
      <c r="U13" s="141"/>
      <c r="V13" s="62">
        <f t="shared" si="9"/>
        <v>6.3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9.3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9.5</v>
      </c>
      <c r="AI13" s="140"/>
      <c r="AJ13" s="140"/>
      <c r="AK13" s="140"/>
      <c r="AL13" s="139">
        <v>9.5</v>
      </c>
      <c r="AM13" s="140"/>
      <c r="AN13" s="140"/>
      <c r="AO13" s="140"/>
      <c r="AP13" s="62"/>
      <c r="AQ13" s="62"/>
      <c r="AR13" s="121">
        <v>9.0</v>
      </c>
      <c r="AS13" s="62"/>
      <c r="AT13" s="121">
        <v>10.0</v>
      </c>
      <c r="AU13" s="62"/>
      <c r="AV13" s="62"/>
      <c r="AW13" s="62"/>
      <c r="AX13" s="141"/>
      <c r="AY13" s="141"/>
      <c r="AZ13" s="62">
        <f t="shared" si="14"/>
        <v>6.65</v>
      </c>
      <c r="BA13" s="121">
        <v>8.0</v>
      </c>
      <c r="BB13" s="123">
        <f>'PROY. INTER'!AX13</f>
        <v>10</v>
      </c>
      <c r="BC13" s="62">
        <f t="shared" si="15"/>
        <v>9</v>
      </c>
      <c r="BD13" s="62">
        <f t="shared" si="16"/>
        <v>2.7</v>
      </c>
      <c r="BE13" s="64">
        <f t="shared" si="17"/>
        <v>9.35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9.3</v>
      </c>
      <c r="CQ13" s="129">
        <f t="shared" si="25"/>
        <v>9.35</v>
      </c>
      <c r="CR13" s="129">
        <f t="shared" si="26"/>
        <v>0</v>
      </c>
      <c r="CS13" s="130">
        <f t="shared" si="27"/>
        <v>6.21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6.21</v>
      </c>
      <c r="DB13" s="142"/>
      <c r="DC13" s="137">
        <f t="shared" si="31"/>
        <v>6.21</v>
      </c>
      <c r="DD13" s="138" t="str">
        <f t="shared" si="32"/>
        <v>NO PROMOVIDO</v>
      </c>
    </row>
    <row r="14">
      <c r="A14" s="56">
        <v>3.0</v>
      </c>
      <c r="B14" s="57" t="str">
        <f>'PROY. INTER'!B14</f>
        <v/>
      </c>
      <c r="C14" s="57" t="str">
        <f>'PROY. INTER'!C14</f>
        <v>Ampuero Cornejo Cesar Jeanpierre</v>
      </c>
      <c r="D14" s="139">
        <v>7.0</v>
      </c>
      <c r="E14" s="140"/>
      <c r="F14" s="140"/>
      <c r="G14" s="140"/>
      <c r="H14" s="139">
        <v>8.0</v>
      </c>
      <c r="I14" s="140"/>
      <c r="J14" s="140"/>
      <c r="K14" s="140"/>
      <c r="L14" s="62"/>
      <c r="M14" s="62"/>
      <c r="N14" s="121">
        <v>8.0</v>
      </c>
      <c r="O14" s="62"/>
      <c r="P14" s="121">
        <v>9.0</v>
      </c>
      <c r="Q14" s="62"/>
      <c r="R14" s="62"/>
      <c r="S14" s="62"/>
      <c r="T14" s="141"/>
      <c r="U14" s="141"/>
      <c r="V14" s="62">
        <f t="shared" si="9"/>
        <v>5.6</v>
      </c>
      <c r="W14" s="121">
        <v>10.0</v>
      </c>
      <c r="X14" s="123">
        <f>'PROY. INTER'!W14</f>
        <v>8.2</v>
      </c>
      <c r="Y14" s="62">
        <f t="shared" si="10"/>
        <v>9.1</v>
      </c>
      <c r="Z14" s="62">
        <f t="shared" si="11"/>
        <v>2.73</v>
      </c>
      <c r="AA14" s="64">
        <f t="shared" si="12"/>
        <v>8.33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39">
        <v>8.0</v>
      </c>
      <c r="AI14" s="140"/>
      <c r="AJ14" s="140"/>
      <c r="AK14" s="140"/>
      <c r="AL14" s="139">
        <v>9.0</v>
      </c>
      <c r="AM14" s="140"/>
      <c r="AN14" s="140"/>
      <c r="AO14" s="140"/>
      <c r="AP14" s="62"/>
      <c r="AQ14" s="62"/>
      <c r="AR14" s="121">
        <v>8.0</v>
      </c>
      <c r="AS14" s="62"/>
      <c r="AT14" s="121">
        <v>7.0</v>
      </c>
      <c r="AU14" s="62"/>
      <c r="AV14" s="62"/>
      <c r="AW14" s="62"/>
      <c r="AX14" s="141"/>
      <c r="AY14" s="141"/>
      <c r="AZ14" s="62">
        <f t="shared" si="14"/>
        <v>5.6</v>
      </c>
      <c r="BA14" s="121">
        <v>7.0</v>
      </c>
      <c r="BB14" s="123">
        <f>'PROY. INTER'!AX14</f>
        <v>10</v>
      </c>
      <c r="BC14" s="62">
        <f t="shared" si="15"/>
        <v>8.5</v>
      </c>
      <c r="BD14" s="62">
        <f t="shared" si="16"/>
        <v>2.55</v>
      </c>
      <c r="BE14" s="64">
        <f t="shared" si="17"/>
        <v>8.15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8.33</v>
      </c>
      <c r="CQ14" s="129">
        <f t="shared" si="25"/>
        <v>8.15</v>
      </c>
      <c r="CR14" s="129">
        <f t="shared" si="26"/>
        <v>0</v>
      </c>
      <c r="CS14" s="130">
        <f t="shared" si="27"/>
        <v>5.49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5.49</v>
      </c>
      <c r="DB14" s="136"/>
      <c r="DC14" s="137">
        <f t="shared" si="31"/>
        <v>5.49</v>
      </c>
      <c r="DD14" s="138" t="str">
        <f t="shared" si="32"/>
        <v>NO PROMOVIDO</v>
      </c>
    </row>
    <row r="15">
      <c r="A15" s="56">
        <v>4.0</v>
      </c>
      <c r="B15" s="57" t="str">
        <f>'PROY. INTER'!B15</f>
        <v/>
      </c>
      <c r="C15" s="57" t="str">
        <f>'PROY. INTER'!C15</f>
        <v>Aylla Murillo Kerly Kristhel</v>
      </c>
      <c r="D15" s="139">
        <v>7.0</v>
      </c>
      <c r="E15" s="140"/>
      <c r="F15" s="140"/>
      <c r="G15" s="140"/>
      <c r="H15" s="139">
        <v>7.0</v>
      </c>
      <c r="I15" s="140"/>
      <c r="J15" s="140"/>
      <c r="K15" s="140"/>
      <c r="L15" s="62"/>
      <c r="M15" s="62"/>
      <c r="N15" s="121">
        <v>7.0</v>
      </c>
      <c r="O15" s="62"/>
      <c r="P15" s="121">
        <v>7.0</v>
      </c>
      <c r="Q15" s="62"/>
      <c r="R15" s="62"/>
      <c r="S15" s="62"/>
      <c r="T15" s="141"/>
      <c r="U15" s="141"/>
      <c r="V15" s="62">
        <f t="shared" si="9"/>
        <v>4.9</v>
      </c>
      <c r="W15" s="121">
        <v>10.0</v>
      </c>
      <c r="X15" s="123">
        <f>'PROY. INTER'!W15</f>
        <v>6.73</v>
      </c>
      <c r="Y15" s="62">
        <f t="shared" si="10"/>
        <v>8.365</v>
      </c>
      <c r="Z15" s="62">
        <f t="shared" si="11"/>
        <v>2.5095</v>
      </c>
      <c r="AA15" s="64">
        <f t="shared" si="12"/>
        <v>7.4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39">
        <v>9.0</v>
      </c>
      <c r="AI15" s="140"/>
      <c r="AJ15" s="140"/>
      <c r="AK15" s="140"/>
      <c r="AL15" s="139">
        <v>9.5</v>
      </c>
      <c r="AM15" s="140"/>
      <c r="AN15" s="140"/>
      <c r="AO15" s="140"/>
      <c r="AP15" s="62"/>
      <c r="AQ15" s="62"/>
      <c r="AR15" s="144">
        <v>8.0</v>
      </c>
      <c r="AS15" s="143"/>
      <c r="AT15" s="144">
        <v>10.0</v>
      </c>
      <c r="AU15" s="143"/>
      <c r="AV15" s="143"/>
      <c r="AW15" s="143"/>
      <c r="AX15" s="141"/>
      <c r="AY15" s="141"/>
      <c r="AZ15" s="62">
        <f t="shared" si="14"/>
        <v>6.384</v>
      </c>
      <c r="BA15" s="121">
        <v>7.0</v>
      </c>
      <c r="BB15" s="123">
        <f>'PROY. INTER'!AX15</f>
        <v>10</v>
      </c>
      <c r="BC15" s="62">
        <f t="shared" si="15"/>
        <v>8.5</v>
      </c>
      <c r="BD15" s="62">
        <f t="shared" si="16"/>
        <v>2.55</v>
      </c>
      <c r="BE15" s="64">
        <f t="shared" si="17"/>
        <v>8.93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7.4</v>
      </c>
      <c r="CQ15" s="129">
        <f t="shared" si="25"/>
        <v>8.93</v>
      </c>
      <c r="CR15" s="129">
        <f t="shared" si="26"/>
        <v>0</v>
      </c>
      <c r="CS15" s="130">
        <f t="shared" si="27"/>
        <v>5.44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5.44</v>
      </c>
      <c r="DB15" s="136"/>
      <c r="DC15" s="137">
        <f t="shared" si="31"/>
        <v>5.44</v>
      </c>
      <c r="DD15" s="138" t="str">
        <f t="shared" si="32"/>
        <v>NO PROMOVIDO</v>
      </c>
    </row>
    <row r="16">
      <c r="A16" s="56">
        <v>5.0</v>
      </c>
      <c r="B16" s="57" t="str">
        <f>'PROY. INTER'!B16</f>
        <v/>
      </c>
      <c r="C16" s="57" t="str">
        <f>'PROY. INTER'!C16</f>
        <v>Campuzano Meza Naydelyn Odeth</v>
      </c>
      <c r="D16" s="139">
        <v>7.0</v>
      </c>
      <c r="E16" s="140"/>
      <c r="F16" s="140"/>
      <c r="G16" s="140"/>
      <c r="H16" s="139">
        <v>7.0</v>
      </c>
      <c r="I16" s="140"/>
      <c r="J16" s="140"/>
      <c r="K16" s="140"/>
      <c r="L16" s="62"/>
      <c r="M16" s="62"/>
      <c r="N16" s="121">
        <v>8.0</v>
      </c>
      <c r="O16" s="62"/>
      <c r="P16" s="121">
        <v>9.0</v>
      </c>
      <c r="Q16" s="62"/>
      <c r="R16" s="62"/>
      <c r="S16" s="62"/>
      <c r="T16" s="141"/>
      <c r="U16" s="141"/>
      <c r="V16" s="62">
        <f t="shared" si="9"/>
        <v>5.425</v>
      </c>
      <c r="W16" s="121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7.82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39">
        <v>7.0</v>
      </c>
      <c r="AI16" s="140"/>
      <c r="AJ16" s="140"/>
      <c r="AK16" s="140"/>
      <c r="AL16" s="139">
        <v>7.0</v>
      </c>
      <c r="AM16" s="140"/>
      <c r="AN16" s="140"/>
      <c r="AO16" s="140"/>
      <c r="AP16" s="62"/>
      <c r="AQ16" s="62"/>
      <c r="AR16" s="144">
        <v>8.35</v>
      </c>
      <c r="AS16" s="143"/>
      <c r="AT16" s="144">
        <v>10.0</v>
      </c>
      <c r="AU16" s="143"/>
      <c r="AV16" s="143"/>
      <c r="AW16" s="143"/>
      <c r="AX16" s="141"/>
      <c r="AY16" s="141"/>
      <c r="AZ16" s="62">
        <f t="shared" si="14"/>
        <v>5.656</v>
      </c>
      <c r="BA16" s="121">
        <v>7.0</v>
      </c>
      <c r="BB16" s="123">
        <f>'PROY. INTER'!AX16</f>
        <v>2</v>
      </c>
      <c r="BC16" s="62">
        <f t="shared" si="15"/>
        <v>4.5</v>
      </c>
      <c r="BD16" s="62">
        <f t="shared" si="16"/>
        <v>1.35</v>
      </c>
      <c r="BE16" s="64">
        <f t="shared" si="17"/>
        <v>7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7.82</v>
      </c>
      <c r="CQ16" s="129">
        <f t="shared" si="25"/>
        <v>7</v>
      </c>
      <c r="CR16" s="129">
        <f t="shared" si="26"/>
        <v>0</v>
      </c>
      <c r="CS16" s="130">
        <f t="shared" si="27"/>
        <v>4.94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4.94</v>
      </c>
      <c r="DB16" s="136"/>
      <c r="DC16" s="137">
        <f t="shared" si="31"/>
        <v>4.94</v>
      </c>
      <c r="DD16" s="138" t="str">
        <f t="shared" si="32"/>
        <v>NO PROMOVIDO</v>
      </c>
    </row>
    <row r="17" ht="15.0" customHeight="1">
      <c r="A17" s="56">
        <v>6.0</v>
      </c>
      <c r="B17" s="57" t="str">
        <f>'PROY. INTER'!B17</f>
        <v/>
      </c>
      <c r="C17" s="57" t="str">
        <f>'PROY. INTER'!C17</f>
        <v>Cantos Zúñiga a Hernán Snayder</v>
      </c>
      <c r="D17" s="139">
        <v>7.0</v>
      </c>
      <c r="E17" s="140"/>
      <c r="F17" s="140"/>
      <c r="G17" s="140"/>
      <c r="H17" s="139">
        <v>8.0</v>
      </c>
      <c r="I17" s="140"/>
      <c r="J17" s="140"/>
      <c r="K17" s="140"/>
      <c r="L17" s="62"/>
      <c r="M17" s="62"/>
      <c r="N17" s="121">
        <v>7.0</v>
      </c>
      <c r="O17" s="62"/>
      <c r="P17" s="121">
        <v>9.0</v>
      </c>
      <c r="Q17" s="62"/>
      <c r="R17" s="62"/>
      <c r="S17" s="62"/>
      <c r="T17" s="141"/>
      <c r="U17" s="141"/>
      <c r="V17" s="62">
        <f t="shared" si="9"/>
        <v>5.425</v>
      </c>
      <c r="W17" s="121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8.4</v>
      </c>
      <c r="AC17" s="2"/>
      <c r="AE17" s="56">
        <v>6.0</v>
      </c>
      <c r="AF17" s="124" t="str">
        <f t="shared" ref="AF17:AG17" si="45">B17</f>
        <v/>
      </c>
      <c r="AG17" s="125" t="str">
        <f t="shared" si="45"/>
        <v>Cantos Zúñiga a Hernán Snayder</v>
      </c>
      <c r="AH17" s="139">
        <v>7.0</v>
      </c>
      <c r="AI17" s="140"/>
      <c r="AJ17" s="140"/>
      <c r="AK17" s="140"/>
      <c r="AL17" s="139">
        <v>7.0</v>
      </c>
      <c r="AM17" s="140"/>
      <c r="AN17" s="140"/>
      <c r="AO17" s="140"/>
      <c r="AP17" s="62"/>
      <c r="AQ17" s="62"/>
      <c r="AR17" s="144">
        <v>9.0</v>
      </c>
      <c r="AS17" s="143"/>
      <c r="AT17" s="144">
        <v>10.0</v>
      </c>
      <c r="AU17" s="143"/>
      <c r="AV17" s="143"/>
      <c r="AW17" s="143"/>
      <c r="AX17" s="141"/>
      <c r="AY17" s="141"/>
      <c r="AZ17" s="62">
        <f t="shared" si="14"/>
        <v>5.775</v>
      </c>
      <c r="BA17" s="121">
        <v>9.0</v>
      </c>
      <c r="BB17" s="123">
        <f>'PROY. INTER'!AX17</f>
        <v>10</v>
      </c>
      <c r="BC17" s="62">
        <f t="shared" si="15"/>
        <v>9.5</v>
      </c>
      <c r="BD17" s="62">
        <f t="shared" si="16"/>
        <v>2.85</v>
      </c>
      <c r="BE17" s="64">
        <f t="shared" si="17"/>
        <v>8.62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8.4</v>
      </c>
      <c r="CQ17" s="129">
        <f t="shared" si="25"/>
        <v>8.62</v>
      </c>
      <c r="CR17" s="129">
        <f t="shared" si="26"/>
        <v>0</v>
      </c>
      <c r="CS17" s="130">
        <f t="shared" si="27"/>
        <v>5.67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5.67</v>
      </c>
      <c r="DB17" s="136"/>
      <c r="DC17" s="137">
        <f t="shared" si="31"/>
        <v>5.67</v>
      </c>
      <c r="DD17" s="138" t="str">
        <f t="shared" si="32"/>
        <v>NO PROMOVIDO</v>
      </c>
    </row>
    <row r="18">
      <c r="A18" s="56">
        <v>7.0</v>
      </c>
      <c r="B18" s="57" t="str">
        <f>'PROY. INTER'!B18</f>
        <v/>
      </c>
      <c r="C18" s="57" t="str">
        <f>'PROY. INTER'!C18</f>
        <v>Carranza Dumes Genesis Daniela</v>
      </c>
      <c r="D18" s="139">
        <v>10.0</v>
      </c>
      <c r="E18" s="140"/>
      <c r="F18" s="140"/>
      <c r="G18" s="140"/>
      <c r="H18" s="139">
        <v>10.0</v>
      </c>
      <c r="I18" s="140"/>
      <c r="J18" s="140"/>
      <c r="K18" s="140"/>
      <c r="L18" s="62"/>
      <c r="M18" s="62"/>
      <c r="N18" s="121">
        <v>7.0</v>
      </c>
      <c r="O18" s="62"/>
      <c r="P18" s="121">
        <v>9.0</v>
      </c>
      <c r="Q18" s="62"/>
      <c r="R18" s="62"/>
      <c r="S18" s="62"/>
      <c r="T18" s="141"/>
      <c r="U18" s="141"/>
      <c r="V18" s="62">
        <f t="shared" si="9"/>
        <v>6.3</v>
      </c>
      <c r="W18" s="121">
        <v>10.0</v>
      </c>
      <c r="X18" s="123">
        <f>'PROY. INTER'!W18</f>
        <v>9</v>
      </c>
      <c r="Y18" s="62">
        <f t="shared" si="10"/>
        <v>9.5</v>
      </c>
      <c r="Z18" s="62">
        <f t="shared" si="11"/>
        <v>2.85</v>
      </c>
      <c r="AA18" s="64">
        <f t="shared" si="12"/>
        <v>9.15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39">
        <v>9.0</v>
      </c>
      <c r="AI18" s="140"/>
      <c r="AJ18" s="140"/>
      <c r="AK18" s="140"/>
      <c r="AL18" s="139">
        <v>8.0</v>
      </c>
      <c r="AM18" s="140"/>
      <c r="AN18" s="140"/>
      <c r="AO18" s="140"/>
      <c r="AP18" s="62"/>
      <c r="AQ18" s="62"/>
      <c r="AR18" s="144">
        <v>8.0</v>
      </c>
      <c r="AS18" s="143"/>
      <c r="AT18" s="144">
        <v>8.0</v>
      </c>
      <c r="AU18" s="143"/>
      <c r="AV18" s="143"/>
      <c r="AW18" s="143"/>
      <c r="AX18" s="141"/>
      <c r="AY18" s="141"/>
      <c r="AZ18" s="62">
        <f t="shared" si="14"/>
        <v>5.775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7.27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9.15</v>
      </c>
      <c r="CQ18" s="129">
        <f t="shared" si="25"/>
        <v>7.27</v>
      </c>
      <c r="CR18" s="129">
        <f t="shared" si="26"/>
        <v>0</v>
      </c>
      <c r="CS18" s="130">
        <f t="shared" si="27"/>
        <v>5.47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5.47</v>
      </c>
      <c r="DB18" s="136"/>
      <c r="DC18" s="137">
        <f t="shared" si="31"/>
        <v>5.47</v>
      </c>
      <c r="DD18" s="138" t="str">
        <f t="shared" si="32"/>
        <v>NO PROMOVIDO</v>
      </c>
    </row>
    <row r="19">
      <c r="A19" s="56">
        <v>8.0</v>
      </c>
      <c r="B19" s="57" t="str">
        <f>'PROY. INTER'!B19</f>
        <v/>
      </c>
      <c r="C19" s="57" t="str">
        <f>'PROY. INTER'!C19</f>
        <v>Castro De La Rosa Cristopher Ruben</v>
      </c>
      <c r="D19" s="139">
        <v>7.0</v>
      </c>
      <c r="E19" s="140"/>
      <c r="F19" s="140"/>
      <c r="G19" s="140"/>
      <c r="H19" s="139">
        <v>2.35</v>
      </c>
      <c r="I19" s="140"/>
      <c r="J19" s="140"/>
      <c r="K19" s="140"/>
      <c r="L19" s="62"/>
      <c r="M19" s="62"/>
      <c r="N19" s="121">
        <v>8.0</v>
      </c>
      <c r="O19" s="62"/>
      <c r="P19" s="121">
        <v>9.0</v>
      </c>
      <c r="Q19" s="62"/>
      <c r="R19" s="62"/>
      <c r="S19" s="62"/>
      <c r="T19" s="141"/>
      <c r="U19" s="141"/>
      <c r="V19" s="62">
        <f t="shared" si="9"/>
        <v>4.606</v>
      </c>
      <c r="W19" s="121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7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7.9</v>
      </c>
      <c r="AI19" s="140"/>
      <c r="AJ19" s="140"/>
      <c r="AK19" s="140"/>
      <c r="AL19" s="139">
        <v>7.9</v>
      </c>
      <c r="AM19" s="140"/>
      <c r="AN19" s="139"/>
      <c r="AO19" s="140"/>
      <c r="AP19" s="62"/>
      <c r="AQ19" s="62"/>
      <c r="AR19" s="144">
        <v>8.5</v>
      </c>
      <c r="AS19" s="143"/>
      <c r="AT19" s="144">
        <v>8.05</v>
      </c>
      <c r="AU19" s="143"/>
      <c r="AV19" s="144"/>
      <c r="AW19" s="143"/>
      <c r="AX19" s="145"/>
      <c r="AY19" s="141"/>
      <c r="AZ19" s="62">
        <f t="shared" si="14"/>
        <v>5.656</v>
      </c>
      <c r="BA19" s="121">
        <v>7.0</v>
      </c>
      <c r="BB19" s="123">
        <f>'PROY. INTER'!AX19</f>
        <v>2</v>
      </c>
      <c r="BC19" s="62">
        <f t="shared" si="15"/>
        <v>4.5</v>
      </c>
      <c r="BD19" s="62">
        <f t="shared" si="16"/>
        <v>1.35</v>
      </c>
      <c r="BE19" s="64">
        <f t="shared" si="17"/>
        <v>7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7</v>
      </c>
      <c r="CQ19" s="129">
        <f t="shared" si="25"/>
        <v>7</v>
      </c>
      <c r="CR19" s="129">
        <f t="shared" si="26"/>
        <v>0</v>
      </c>
      <c r="CS19" s="130">
        <f t="shared" si="27"/>
        <v>4.66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4.66</v>
      </c>
      <c r="DB19" s="136"/>
      <c r="DC19" s="137">
        <f t="shared" si="31"/>
        <v>4.66</v>
      </c>
      <c r="DD19" s="138" t="str">
        <f t="shared" si="32"/>
        <v>NO PROMOVIDO</v>
      </c>
    </row>
    <row r="20">
      <c r="A20" s="56">
        <v>9.0</v>
      </c>
      <c r="B20" s="57" t="str">
        <f>'PROY. INTER'!B20</f>
        <v/>
      </c>
      <c r="C20" s="57" t="str">
        <f>'PROY. INTER'!C20</f>
        <v>Chamba Maurad Joshelyn Juleixi</v>
      </c>
      <c r="D20" s="139">
        <v>7.0</v>
      </c>
      <c r="E20" s="140"/>
      <c r="F20" s="140"/>
      <c r="G20" s="140"/>
      <c r="H20" s="139">
        <v>7.0</v>
      </c>
      <c r="I20" s="140"/>
      <c r="J20" s="140"/>
      <c r="K20" s="140"/>
      <c r="L20" s="62"/>
      <c r="M20" s="62"/>
      <c r="N20" s="121">
        <v>8.0</v>
      </c>
      <c r="O20" s="62"/>
      <c r="P20" s="121">
        <v>7.0</v>
      </c>
      <c r="Q20" s="62"/>
      <c r="R20" s="62"/>
      <c r="S20" s="62"/>
      <c r="T20" s="141"/>
      <c r="U20" s="141"/>
      <c r="V20" s="62">
        <f t="shared" si="9"/>
        <v>5.075</v>
      </c>
      <c r="W20" s="121">
        <v>7.0</v>
      </c>
      <c r="X20" s="123">
        <f>'PROY. INTER'!W20</f>
        <v>6</v>
      </c>
      <c r="Y20" s="62">
        <f t="shared" si="10"/>
        <v>6.5</v>
      </c>
      <c r="Z20" s="62">
        <f t="shared" si="11"/>
        <v>1.95</v>
      </c>
      <c r="AA20" s="64">
        <f t="shared" si="12"/>
        <v>7.02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39">
        <v>7.0</v>
      </c>
      <c r="AI20" s="140"/>
      <c r="AJ20" s="140"/>
      <c r="AK20" s="140"/>
      <c r="AL20" s="139">
        <v>8.0</v>
      </c>
      <c r="AM20" s="140"/>
      <c r="AN20" s="140"/>
      <c r="AO20" s="140"/>
      <c r="AP20" s="62"/>
      <c r="AQ20" s="62"/>
      <c r="AR20" s="144">
        <v>8.0</v>
      </c>
      <c r="AS20" s="143"/>
      <c r="AT20" s="144">
        <v>5.0</v>
      </c>
      <c r="AU20" s="143"/>
      <c r="AV20" s="143"/>
      <c r="AW20" s="143"/>
      <c r="AX20" s="141"/>
      <c r="AY20" s="141"/>
      <c r="AZ20" s="62">
        <f t="shared" si="14"/>
        <v>4.9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7.45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7.02</v>
      </c>
      <c r="CQ20" s="129">
        <f t="shared" si="25"/>
        <v>7.45</v>
      </c>
      <c r="CR20" s="129">
        <f t="shared" si="26"/>
        <v>0</v>
      </c>
      <c r="CS20" s="130">
        <f t="shared" si="27"/>
        <v>4.82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4.82</v>
      </c>
      <c r="DB20" s="136"/>
      <c r="DC20" s="137">
        <f t="shared" si="31"/>
        <v>4.82</v>
      </c>
      <c r="DD20" s="138" t="str">
        <f t="shared" si="32"/>
        <v>NO PROMOVIDO</v>
      </c>
    </row>
    <row r="21" ht="15.75" customHeight="1">
      <c r="A21" s="56">
        <v>10.0</v>
      </c>
      <c r="B21" s="57" t="str">
        <f>'PROY. INTER'!B21</f>
        <v/>
      </c>
      <c r="C21" s="57" t="str">
        <f>'PROY. INTER'!C21</f>
        <v>Cedeño Sanchez Josué</v>
      </c>
      <c r="D21" s="139">
        <v>7.0</v>
      </c>
      <c r="E21" s="140"/>
      <c r="F21" s="140"/>
      <c r="G21" s="140"/>
      <c r="H21" s="139">
        <v>7.0</v>
      </c>
      <c r="I21" s="140"/>
      <c r="J21" s="140"/>
      <c r="K21" s="140"/>
      <c r="L21" s="62"/>
      <c r="M21" s="62"/>
      <c r="N21" s="121">
        <v>8.0</v>
      </c>
      <c r="O21" s="62"/>
      <c r="P21" s="121">
        <v>7.0</v>
      </c>
      <c r="Q21" s="62"/>
      <c r="R21" s="62"/>
      <c r="S21" s="62"/>
      <c r="T21" s="141"/>
      <c r="U21" s="141"/>
      <c r="V21" s="62">
        <f t="shared" si="9"/>
        <v>5.075</v>
      </c>
      <c r="W21" s="121">
        <v>7.0</v>
      </c>
      <c r="X21" s="123">
        <f>'PROY. INTER'!W21</f>
        <v>6</v>
      </c>
      <c r="Y21" s="62">
        <f t="shared" si="10"/>
        <v>6.5</v>
      </c>
      <c r="Z21" s="62">
        <f t="shared" si="11"/>
        <v>1.95</v>
      </c>
      <c r="AA21" s="64">
        <f t="shared" si="12"/>
        <v>7.02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39">
        <v>7.3</v>
      </c>
      <c r="AI21" s="140"/>
      <c r="AJ21" s="140"/>
      <c r="AK21" s="140"/>
      <c r="AL21" s="139">
        <v>7.9</v>
      </c>
      <c r="AM21" s="140"/>
      <c r="AN21" s="140"/>
      <c r="AO21" s="140"/>
      <c r="AP21" s="62"/>
      <c r="AQ21" s="62"/>
      <c r="AR21" s="144">
        <v>8.0</v>
      </c>
      <c r="AS21" s="143"/>
      <c r="AT21" s="144">
        <v>8.0</v>
      </c>
      <c r="AU21" s="143"/>
      <c r="AV21" s="143"/>
      <c r="AW21" s="143"/>
      <c r="AX21" s="145"/>
      <c r="AY21" s="145"/>
      <c r="AZ21" s="62">
        <f t="shared" si="14"/>
        <v>5.46</v>
      </c>
      <c r="BA21" s="121">
        <v>8.3</v>
      </c>
      <c r="BB21" s="123">
        <f>'PROY. INTER'!AX21</f>
        <v>2</v>
      </c>
      <c r="BC21" s="62">
        <f t="shared" si="15"/>
        <v>5.15</v>
      </c>
      <c r="BD21" s="62">
        <f t="shared" si="16"/>
        <v>1.545</v>
      </c>
      <c r="BE21" s="64">
        <f t="shared" si="17"/>
        <v>7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7.02</v>
      </c>
      <c r="CQ21" s="129">
        <f t="shared" si="25"/>
        <v>7</v>
      </c>
      <c r="CR21" s="129">
        <f t="shared" si="26"/>
        <v>0</v>
      </c>
      <c r="CS21" s="130">
        <f t="shared" si="27"/>
        <v>4.67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4.67</v>
      </c>
      <c r="DB21" s="136"/>
      <c r="DC21" s="137">
        <f t="shared" si="31"/>
        <v>4.67</v>
      </c>
      <c r="DD21" s="138" t="str">
        <f t="shared" si="32"/>
        <v>NO PROMOVIDO</v>
      </c>
    </row>
    <row r="22" ht="15.75" customHeight="1">
      <c r="A22" s="56">
        <v>11.0</v>
      </c>
      <c r="B22" s="57" t="str">
        <f>'PROY. INTER'!B22</f>
        <v/>
      </c>
      <c r="C22" s="57" t="str">
        <f>'PROY. INTER'!C22</f>
        <v>Espinoza Martinez Stefano Juliano</v>
      </c>
      <c r="D22" s="139">
        <v>10.0</v>
      </c>
      <c r="E22" s="140"/>
      <c r="F22" s="140"/>
      <c r="G22" s="140"/>
      <c r="H22" s="139">
        <v>10.0</v>
      </c>
      <c r="I22" s="140"/>
      <c r="J22" s="140"/>
      <c r="K22" s="140"/>
      <c r="L22" s="62"/>
      <c r="M22" s="62"/>
      <c r="N22" s="121">
        <v>10.0</v>
      </c>
      <c r="O22" s="62"/>
      <c r="P22" s="121">
        <v>10.0</v>
      </c>
      <c r="Q22" s="62"/>
      <c r="R22" s="62"/>
      <c r="S22" s="62"/>
      <c r="T22" s="141"/>
      <c r="U22" s="141"/>
      <c r="V22" s="62">
        <f t="shared" si="9"/>
        <v>7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10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39">
        <v>10.0</v>
      </c>
      <c r="AI22" s="140"/>
      <c r="AJ22" s="140"/>
      <c r="AK22" s="140"/>
      <c r="AL22" s="139">
        <v>10.0</v>
      </c>
      <c r="AM22" s="140"/>
      <c r="AN22" s="140"/>
      <c r="AO22" s="140"/>
      <c r="AP22" s="62"/>
      <c r="AQ22" s="62"/>
      <c r="AR22" s="144">
        <v>10.0</v>
      </c>
      <c r="AS22" s="143"/>
      <c r="AT22" s="144">
        <v>10.0</v>
      </c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10</v>
      </c>
      <c r="CQ22" s="129">
        <f t="shared" si="25"/>
        <v>10</v>
      </c>
      <c r="CR22" s="129">
        <f t="shared" si="26"/>
        <v>0</v>
      </c>
      <c r="CS22" s="130">
        <f t="shared" si="27"/>
        <v>6.66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6.66</v>
      </c>
      <c r="DB22" s="136"/>
      <c r="DC22" s="137">
        <f t="shared" si="31"/>
        <v>6.66</v>
      </c>
      <c r="DD22" s="138" t="str">
        <f t="shared" si="32"/>
        <v>NO PROMOVIDO</v>
      </c>
    </row>
    <row r="23" ht="15.75" customHeight="1">
      <c r="A23" s="56">
        <v>12.0</v>
      </c>
      <c r="B23" s="57" t="str">
        <f>'PROY. INTER'!B23</f>
        <v/>
      </c>
      <c r="C23" s="57" t="str">
        <f>'PROY. INTER'!C23</f>
        <v>Espinoza Morante Melany Ginger</v>
      </c>
      <c r="D23" s="139">
        <v>10.0</v>
      </c>
      <c r="E23" s="140"/>
      <c r="F23" s="140"/>
      <c r="G23" s="140"/>
      <c r="H23" s="139">
        <v>10.0</v>
      </c>
      <c r="I23" s="140"/>
      <c r="J23" s="140"/>
      <c r="K23" s="140"/>
      <c r="L23" s="62"/>
      <c r="M23" s="62"/>
      <c r="N23" s="121">
        <v>8.0</v>
      </c>
      <c r="O23" s="62"/>
      <c r="P23" s="121">
        <v>10.0</v>
      </c>
      <c r="Q23" s="62"/>
      <c r="R23" s="62"/>
      <c r="S23" s="62"/>
      <c r="T23" s="141"/>
      <c r="U23" s="141"/>
      <c r="V23" s="62">
        <f t="shared" si="9"/>
        <v>6.65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9.23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39">
        <v>10.0</v>
      </c>
      <c r="AI23" s="140"/>
      <c r="AJ23" s="140"/>
      <c r="AK23" s="140"/>
      <c r="AL23" s="139">
        <v>10.0</v>
      </c>
      <c r="AM23" s="140"/>
      <c r="AN23" s="140"/>
      <c r="AO23" s="140"/>
      <c r="AP23" s="62"/>
      <c r="AQ23" s="62"/>
      <c r="AR23" s="144">
        <v>9.0</v>
      </c>
      <c r="AS23" s="143"/>
      <c r="AT23" s="144">
        <v>9.0</v>
      </c>
      <c r="AU23" s="143"/>
      <c r="AV23" s="143"/>
      <c r="AW23" s="143"/>
      <c r="AX23" s="141"/>
      <c r="AY23" s="141"/>
      <c r="AZ23" s="62">
        <f t="shared" si="14"/>
        <v>6.65</v>
      </c>
      <c r="BA23" s="121">
        <v>10.0</v>
      </c>
      <c r="BB23" s="123">
        <f>'PROY. INTER'!AX23</f>
        <v>10</v>
      </c>
      <c r="BC23" s="62">
        <f t="shared" si="15"/>
        <v>10</v>
      </c>
      <c r="BD23" s="62">
        <f t="shared" si="16"/>
        <v>3</v>
      </c>
      <c r="BE23" s="64">
        <f t="shared" si="17"/>
        <v>9.65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9.23</v>
      </c>
      <c r="CQ23" s="129">
        <f t="shared" si="25"/>
        <v>9.65</v>
      </c>
      <c r="CR23" s="129">
        <f t="shared" si="26"/>
        <v>0</v>
      </c>
      <c r="CS23" s="130">
        <f t="shared" si="27"/>
        <v>6.29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6.29</v>
      </c>
      <c r="DB23" s="136"/>
      <c r="DC23" s="137">
        <f t="shared" si="31"/>
        <v>6.29</v>
      </c>
      <c r="DD23" s="138" t="str">
        <f t="shared" si="32"/>
        <v>NO PROMOVIDO</v>
      </c>
    </row>
    <row r="24" ht="15.75" customHeight="1">
      <c r="A24" s="56">
        <v>13.0</v>
      </c>
      <c r="B24" s="57" t="str">
        <f>'PROY. INTER'!B24</f>
        <v/>
      </c>
      <c r="C24" s="57" t="str">
        <f>'PROY. INTER'!C24</f>
        <v>Garrido franco Génesis Lissette</v>
      </c>
      <c r="D24" s="139">
        <v>8.0</v>
      </c>
      <c r="E24" s="140"/>
      <c r="F24" s="140"/>
      <c r="G24" s="140"/>
      <c r="H24" s="139">
        <v>10.0</v>
      </c>
      <c r="I24" s="140"/>
      <c r="J24" s="140"/>
      <c r="K24" s="140"/>
      <c r="L24" s="62"/>
      <c r="M24" s="62"/>
      <c r="N24" s="121">
        <v>8.0</v>
      </c>
      <c r="O24" s="62"/>
      <c r="P24" s="121">
        <v>8.0</v>
      </c>
      <c r="Q24" s="62"/>
      <c r="R24" s="62"/>
      <c r="S24" s="62"/>
      <c r="T24" s="141"/>
      <c r="U24" s="141"/>
      <c r="V24" s="62">
        <f t="shared" si="9"/>
        <v>5.95</v>
      </c>
      <c r="W24" s="121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8.8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39">
        <v>10.0</v>
      </c>
      <c r="AI24" s="140"/>
      <c r="AJ24" s="140"/>
      <c r="AK24" s="140"/>
      <c r="AL24" s="139">
        <v>10.0</v>
      </c>
      <c r="AM24" s="140"/>
      <c r="AN24" s="140"/>
      <c r="AO24" s="140"/>
      <c r="AP24" s="62"/>
      <c r="AQ24" s="62"/>
      <c r="AR24" s="144">
        <v>9.0</v>
      </c>
      <c r="AS24" s="143"/>
      <c r="AT24" s="144">
        <v>10.0</v>
      </c>
      <c r="AU24" s="143"/>
      <c r="AV24" s="143"/>
      <c r="AW24" s="143"/>
      <c r="AX24" s="141"/>
      <c r="AY24" s="141"/>
      <c r="AZ24" s="62">
        <f t="shared" si="14"/>
        <v>6.825</v>
      </c>
      <c r="BA24" s="121">
        <v>8.0</v>
      </c>
      <c r="BB24" s="123">
        <f>'PROY. INTER'!AX24</f>
        <v>10</v>
      </c>
      <c r="BC24" s="62">
        <f t="shared" si="15"/>
        <v>9</v>
      </c>
      <c r="BD24" s="62">
        <f t="shared" si="16"/>
        <v>2.7</v>
      </c>
      <c r="BE24" s="64">
        <f t="shared" si="17"/>
        <v>9.52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8.8</v>
      </c>
      <c r="CQ24" s="129">
        <f t="shared" si="25"/>
        <v>9.52</v>
      </c>
      <c r="CR24" s="129">
        <f t="shared" si="26"/>
        <v>0</v>
      </c>
      <c r="CS24" s="130">
        <f t="shared" si="27"/>
        <v>6.1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6.1</v>
      </c>
      <c r="DB24" s="136"/>
      <c r="DC24" s="137">
        <f t="shared" si="31"/>
        <v>6.1</v>
      </c>
      <c r="DD24" s="138" t="str">
        <f t="shared" si="32"/>
        <v>NO PROMOVIDO</v>
      </c>
    </row>
    <row r="25" ht="15.0" customHeight="1">
      <c r="A25" s="56">
        <v>14.0</v>
      </c>
      <c r="B25" s="57" t="str">
        <f>'PROY. INTER'!B25</f>
        <v/>
      </c>
      <c r="C25" s="57" t="str">
        <f>'PROY. INTER'!C25</f>
        <v>Gonzalez Gonzalez Jean Carlos</v>
      </c>
      <c r="D25" s="139">
        <v>7.0</v>
      </c>
      <c r="E25" s="140"/>
      <c r="F25" s="140"/>
      <c r="G25" s="140"/>
      <c r="H25" s="139">
        <v>6.0</v>
      </c>
      <c r="I25" s="140"/>
      <c r="J25" s="140"/>
      <c r="K25" s="140"/>
      <c r="L25" s="62"/>
      <c r="M25" s="62"/>
      <c r="N25" s="121">
        <v>8.0</v>
      </c>
      <c r="O25" s="62"/>
      <c r="P25" s="121">
        <v>7.0</v>
      </c>
      <c r="Q25" s="62"/>
      <c r="R25" s="62"/>
      <c r="S25" s="62"/>
      <c r="T25" s="141"/>
      <c r="U25" s="141"/>
      <c r="V25" s="62">
        <f t="shared" si="9"/>
        <v>4.9</v>
      </c>
      <c r="W25" s="121">
        <v>8.0</v>
      </c>
      <c r="X25" s="123">
        <f>'PROY. INTER'!W25</f>
        <v>6</v>
      </c>
      <c r="Y25" s="62">
        <f t="shared" si="10"/>
        <v>7</v>
      </c>
      <c r="Z25" s="62">
        <f t="shared" si="11"/>
        <v>2.1</v>
      </c>
      <c r="AA25" s="64">
        <f t="shared" si="12"/>
        <v>7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7.0</v>
      </c>
      <c r="AI25" s="140"/>
      <c r="AJ25" s="140"/>
      <c r="AK25" s="140"/>
      <c r="AL25" s="139">
        <v>7.5</v>
      </c>
      <c r="AM25" s="140"/>
      <c r="AN25" s="140"/>
      <c r="AO25" s="140"/>
      <c r="AP25" s="62"/>
      <c r="AQ25" s="62"/>
      <c r="AR25" s="144">
        <v>8.0</v>
      </c>
      <c r="AS25" s="143"/>
      <c r="AT25" s="144">
        <v>8.5</v>
      </c>
      <c r="AU25" s="143"/>
      <c r="AV25" s="143"/>
      <c r="AW25" s="143"/>
      <c r="AX25" s="145"/>
      <c r="AY25" s="145"/>
      <c r="AZ25" s="62">
        <f t="shared" si="14"/>
        <v>5.425</v>
      </c>
      <c r="BA25" s="121">
        <v>8.5</v>
      </c>
      <c r="BB25" s="123">
        <f>'PROY. INTER'!AX25</f>
        <v>10</v>
      </c>
      <c r="BC25" s="62">
        <f t="shared" si="15"/>
        <v>9.25</v>
      </c>
      <c r="BD25" s="62">
        <f t="shared" si="16"/>
        <v>2.775</v>
      </c>
      <c r="BE25" s="64">
        <f t="shared" si="17"/>
        <v>8.2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7</v>
      </c>
      <c r="CQ25" s="129">
        <f t="shared" si="25"/>
        <v>8.2</v>
      </c>
      <c r="CR25" s="129">
        <f t="shared" si="26"/>
        <v>0</v>
      </c>
      <c r="CS25" s="130">
        <f t="shared" si="27"/>
        <v>5.06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5.06</v>
      </c>
      <c r="DB25" s="136"/>
      <c r="DC25" s="137">
        <f t="shared" si="31"/>
        <v>5.06</v>
      </c>
      <c r="DD25" s="138" t="str">
        <f t="shared" si="32"/>
        <v>NO PROMOVIDO</v>
      </c>
    </row>
    <row r="26" ht="15.75" customHeight="1">
      <c r="A26" s="56">
        <v>15.0</v>
      </c>
      <c r="B26" s="57" t="str">
        <f>'PROY. INTER'!B26</f>
        <v/>
      </c>
      <c r="C26" s="57" t="str">
        <f>'PROY. INTER'!C26</f>
        <v>Guevara Benites Jean Pierre</v>
      </c>
      <c r="D26" s="139">
        <v>9.0</v>
      </c>
      <c r="E26" s="140"/>
      <c r="F26" s="140"/>
      <c r="G26" s="140"/>
      <c r="H26" s="139">
        <v>10.0</v>
      </c>
      <c r="I26" s="140"/>
      <c r="J26" s="140"/>
      <c r="K26" s="140"/>
      <c r="L26" s="62"/>
      <c r="M26" s="62"/>
      <c r="N26" s="121">
        <v>10.0</v>
      </c>
      <c r="O26" s="62"/>
      <c r="P26" s="121">
        <v>10.0</v>
      </c>
      <c r="Q26" s="62"/>
      <c r="R26" s="62"/>
      <c r="S26" s="62"/>
      <c r="T26" s="141"/>
      <c r="U26" s="141"/>
      <c r="V26" s="62">
        <f t="shared" si="9"/>
        <v>6.825</v>
      </c>
      <c r="W26" s="121">
        <v>10.0</v>
      </c>
      <c r="X26" s="123">
        <f>'PROY. INTER'!W26</f>
        <v>7.73</v>
      </c>
      <c r="Y26" s="62">
        <f t="shared" si="10"/>
        <v>8.865</v>
      </c>
      <c r="Z26" s="62">
        <f t="shared" si="11"/>
        <v>2.6595</v>
      </c>
      <c r="AA26" s="64">
        <f t="shared" si="12"/>
        <v>9.48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39">
        <v>9.0</v>
      </c>
      <c r="AI26" s="140"/>
      <c r="AJ26" s="140"/>
      <c r="AK26" s="140"/>
      <c r="AL26" s="139">
        <v>9.0</v>
      </c>
      <c r="AM26" s="140"/>
      <c r="AN26" s="140"/>
      <c r="AO26" s="140"/>
      <c r="AP26" s="62"/>
      <c r="AQ26" s="62"/>
      <c r="AR26" s="144">
        <v>8.0</v>
      </c>
      <c r="AS26" s="143"/>
      <c r="AT26" s="144">
        <v>8.0</v>
      </c>
      <c r="AU26" s="143"/>
      <c r="AV26" s="143"/>
      <c r="AW26" s="143"/>
      <c r="AX26" s="141"/>
      <c r="AY26" s="141"/>
      <c r="AZ26" s="62">
        <f t="shared" si="14"/>
        <v>5.95</v>
      </c>
      <c r="BA26" s="121">
        <v>7.0</v>
      </c>
      <c r="BB26" s="123">
        <f>'PROY. INTER'!AX26</f>
        <v>10</v>
      </c>
      <c r="BC26" s="62">
        <f t="shared" si="15"/>
        <v>8.5</v>
      </c>
      <c r="BD26" s="62">
        <f t="shared" si="16"/>
        <v>2.55</v>
      </c>
      <c r="BE26" s="64">
        <f t="shared" si="17"/>
        <v>8.5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9.48</v>
      </c>
      <c r="CQ26" s="129">
        <f t="shared" si="25"/>
        <v>8.5</v>
      </c>
      <c r="CR26" s="129">
        <f t="shared" si="26"/>
        <v>0</v>
      </c>
      <c r="CS26" s="130">
        <f t="shared" si="27"/>
        <v>5.99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5.99</v>
      </c>
      <c r="DB26" s="136"/>
      <c r="DC26" s="137">
        <f t="shared" si="31"/>
        <v>5.99</v>
      </c>
      <c r="DD26" s="138" t="str">
        <f t="shared" si="32"/>
        <v>NO PROMOVIDO</v>
      </c>
    </row>
    <row r="27" ht="15.75" customHeight="1">
      <c r="A27" s="56">
        <v>16.0</v>
      </c>
      <c r="B27" s="57" t="str">
        <f>'PROY. INTER'!B27</f>
        <v/>
      </c>
      <c r="C27" s="57" t="str">
        <f>'PROY. INTER'!C27</f>
        <v>Mero Carcamo Adriana Carolina</v>
      </c>
      <c r="D27" s="139">
        <v>9.0</v>
      </c>
      <c r="E27" s="140"/>
      <c r="F27" s="140"/>
      <c r="G27" s="140"/>
      <c r="H27" s="139">
        <v>10.0</v>
      </c>
      <c r="I27" s="140"/>
      <c r="J27" s="140"/>
      <c r="K27" s="140"/>
      <c r="L27" s="62"/>
      <c r="M27" s="62"/>
      <c r="N27" s="121">
        <v>8.0</v>
      </c>
      <c r="O27" s="62"/>
      <c r="P27" s="121">
        <v>7.0</v>
      </c>
      <c r="Q27" s="62"/>
      <c r="R27" s="62"/>
      <c r="S27" s="62"/>
      <c r="T27" s="141"/>
      <c r="U27" s="141"/>
      <c r="V27" s="62">
        <f t="shared" si="9"/>
        <v>5.95</v>
      </c>
      <c r="W27" s="121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12"/>
        <v>7.9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39">
        <v>8.0</v>
      </c>
      <c r="AI27" s="140"/>
      <c r="AJ27" s="140"/>
      <c r="AK27" s="140"/>
      <c r="AL27" s="139">
        <v>8.0</v>
      </c>
      <c r="AM27" s="140"/>
      <c r="AN27" s="140"/>
      <c r="AO27" s="140"/>
      <c r="AP27" s="62"/>
      <c r="AQ27" s="62"/>
      <c r="AR27" s="144">
        <v>8.0</v>
      </c>
      <c r="AS27" s="143"/>
      <c r="AT27" s="144">
        <v>7.0</v>
      </c>
      <c r="AU27" s="143"/>
      <c r="AV27" s="143"/>
      <c r="AW27" s="143"/>
      <c r="AX27" s="141"/>
      <c r="AY27" s="141"/>
      <c r="AZ27" s="62">
        <f t="shared" si="14"/>
        <v>5.425</v>
      </c>
      <c r="BA27" s="121">
        <v>8.5</v>
      </c>
      <c r="BB27" s="123">
        <f>'PROY. INTER'!AX27</f>
        <v>2</v>
      </c>
      <c r="BC27" s="62">
        <f t="shared" si="15"/>
        <v>5.25</v>
      </c>
      <c r="BD27" s="62">
        <f t="shared" si="16"/>
        <v>1.575</v>
      </c>
      <c r="BE27" s="64">
        <f t="shared" si="17"/>
        <v>7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7.9</v>
      </c>
      <c r="CQ27" s="129">
        <f t="shared" si="25"/>
        <v>7</v>
      </c>
      <c r="CR27" s="129">
        <f t="shared" si="26"/>
        <v>0</v>
      </c>
      <c r="CS27" s="130">
        <f t="shared" si="27"/>
        <v>4.96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4.96</v>
      </c>
      <c r="DB27" s="136"/>
      <c r="DC27" s="137">
        <f t="shared" si="31"/>
        <v>4.96</v>
      </c>
      <c r="DD27" s="138" t="str">
        <f t="shared" si="32"/>
        <v>NO PROMOVIDO</v>
      </c>
    </row>
    <row r="28" ht="15.75" customHeight="1">
      <c r="A28" s="56">
        <v>17.0</v>
      </c>
      <c r="B28" s="57" t="str">
        <f>'PROY. INTER'!B28</f>
        <v/>
      </c>
      <c r="C28" s="57" t="str">
        <f>'PROY. INTER'!C28</f>
        <v>Moreira Villamar Darwin Matias</v>
      </c>
      <c r="D28" s="139">
        <v>10.0</v>
      </c>
      <c r="E28" s="140"/>
      <c r="F28" s="140"/>
      <c r="G28" s="140"/>
      <c r="H28" s="139">
        <v>10.0</v>
      </c>
      <c r="I28" s="140"/>
      <c r="J28" s="140"/>
      <c r="K28" s="140"/>
      <c r="L28" s="62"/>
      <c r="M28" s="62"/>
      <c r="N28" s="121">
        <v>8.0</v>
      </c>
      <c r="O28" s="62"/>
      <c r="P28" s="121">
        <v>9.0</v>
      </c>
      <c r="Q28" s="62"/>
      <c r="R28" s="62"/>
      <c r="S28" s="62"/>
      <c r="T28" s="141"/>
      <c r="U28" s="141"/>
      <c r="V28" s="62">
        <f t="shared" si="9"/>
        <v>6.475</v>
      </c>
      <c r="W28" s="121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9.43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39">
        <v>10.0</v>
      </c>
      <c r="AI28" s="140"/>
      <c r="AJ28" s="140"/>
      <c r="AK28" s="140"/>
      <c r="AL28" s="139">
        <v>9.0</v>
      </c>
      <c r="AM28" s="140"/>
      <c r="AN28" s="140"/>
      <c r="AO28" s="140"/>
      <c r="AP28" s="62"/>
      <c r="AQ28" s="62"/>
      <c r="AR28" s="144">
        <v>8.0</v>
      </c>
      <c r="AS28" s="143"/>
      <c r="AT28" s="144">
        <v>9.0</v>
      </c>
      <c r="AU28" s="143"/>
      <c r="AV28" s="143"/>
      <c r="AW28" s="143"/>
      <c r="AX28" s="141"/>
      <c r="AY28" s="141"/>
      <c r="AZ28" s="62">
        <f t="shared" si="14"/>
        <v>6.3</v>
      </c>
      <c r="BA28" s="121">
        <v>10.0</v>
      </c>
      <c r="BB28" s="123">
        <f>'PROY. INTER'!AX28</f>
        <v>10</v>
      </c>
      <c r="BC28" s="62">
        <f t="shared" si="15"/>
        <v>10</v>
      </c>
      <c r="BD28" s="62">
        <f t="shared" si="16"/>
        <v>3</v>
      </c>
      <c r="BE28" s="64">
        <f t="shared" si="17"/>
        <v>9.3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9.43</v>
      </c>
      <c r="CQ28" s="129">
        <f t="shared" si="25"/>
        <v>9.3</v>
      </c>
      <c r="CR28" s="129">
        <f t="shared" si="26"/>
        <v>0</v>
      </c>
      <c r="CS28" s="130">
        <f t="shared" si="27"/>
        <v>6.24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6.24</v>
      </c>
      <c r="DB28" s="136"/>
      <c r="DC28" s="137">
        <f t="shared" si="31"/>
        <v>6.24</v>
      </c>
      <c r="DD28" s="138" t="str">
        <f t="shared" si="32"/>
        <v>NO PROMOVIDO</v>
      </c>
    </row>
    <row r="29" ht="15.75" customHeight="1">
      <c r="A29" s="56">
        <v>18.0</v>
      </c>
      <c r="B29" s="57" t="str">
        <f>'PROY. INTER'!B29</f>
        <v/>
      </c>
      <c r="C29" s="57" t="str">
        <f>'PROY. INTER'!C29</f>
        <v>Peña Macias Enrique Alexander</v>
      </c>
      <c r="D29" s="139">
        <v>10.0</v>
      </c>
      <c r="E29" s="140"/>
      <c r="F29" s="140"/>
      <c r="G29" s="140"/>
      <c r="H29" s="139">
        <v>10.0</v>
      </c>
      <c r="I29" s="140"/>
      <c r="J29" s="140"/>
      <c r="K29" s="140"/>
      <c r="L29" s="62"/>
      <c r="M29" s="62"/>
      <c r="N29" s="121">
        <v>9.0</v>
      </c>
      <c r="O29" s="62"/>
      <c r="P29" s="121">
        <v>10.0</v>
      </c>
      <c r="Q29" s="62"/>
      <c r="R29" s="62"/>
      <c r="S29" s="62"/>
      <c r="T29" s="141"/>
      <c r="U29" s="141"/>
      <c r="V29" s="62">
        <f t="shared" si="9"/>
        <v>6.825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9.7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39">
        <v>9.0</v>
      </c>
      <c r="AI29" s="140"/>
      <c r="AJ29" s="140"/>
      <c r="AK29" s="140"/>
      <c r="AL29" s="139">
        <v>9.0</v>
      </c>
      <c r="AM29" s="140"/>
      <c r="AN29" s="140"/>
      <c r="AO29" s="140"/>
      <c r="AP29" s="62"/>
      <c r="AQ29" s="62"/>
      <c r="AR29" s="144">
        <v>8.0</v>
      </c>
      <c r="AS29" s="143"/>
      <c r="AT29" s="144">
        <v>10.0</v>
      </c>
      <c r="AU29" s="143"/>
      <c r="AV29" s="143"/>
      <c r="AW29" s="143"/>
      <c r="AX29" s="141"/>
      <c r="AY29" s="141"/>
      <c r="AZ29" s="62">
        <f t="shared" si="14"/>
        <v>6.3</v>
      </c>
      <c r="BA29" s="121">
        <v>8.0</v>
      </c>
      <c r="BB29" s="123">
        <f>'PROY. INTER'!AX29</f>
        <v>10</v>
      </c>
      <c r="BC29" s="62">
        <f t="shared" si="15"/>
        <v>9</v>
      </c>
      <c r="BD29" s="62">
        <f t="shared" si="16"/>
        <v>2.7</v>
      </c>
      <c r="BE29" s="64">
        <f t="shared" si="17"/>
        <v>9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9.7</v>
      </c>
      <c r="CQ29" s="129">
        <f t="shared" si="25"/>
        <v>9</v>
      </c>
      <c r="CR29" s="129">
        <f t="shared" si="26"/>
        <v>0</v>
      </c>
      <c r="CS29" s="130">
        <f t="shared" si="27"/>
        <v>6.23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6.23</v>
      </c>
      <c r="DB29" s="136"/>
      <c r="DC29" s="137">
        <f t="shared" si="31"/>
        <v>6.23</v>
      </c>
      <c r="DD29" s="138" t="str">
        <f t="shared" si="32"/>
        <v>NO PROMOVIDO</v>
      </c>
    </row>
    <row r="30" ht="15.75" customHeight="1">
      <c r="A30" s="56">
        <v>19.0</v>
      </c>
      <c r="B30" s="57" t="str">
        <f>'PROY. INTER'!B30</f>
        <v/>
      </c>
      <c r="C30" s="57" t="str">
        <f>'PROY. INTER'!C30</f>
        <v>Roman Arreaga Stefani Asley</v>
      </c>
      <c r="D30" s="139">
        <v>10.0</v>
      </c>
      <c r="E30" s="140"/>
      <c r="F30" s="140"/>
      <c r="G30" s="140"/>
      <c r="H30" s="139">
        <v>10.0</v>
      </c>
      <c r="I30" s="140"/>
      <c r="J30" s="140"/>
      <c r="K30" s="140"/>
      <c r="L30" s="62"/>
      <c r="M30" s="62"/>
      <c r="N30" s="121">
        <v>8.0</v>
      </c>
      <c r="O30" s="62"/>
      <c r="P30" s="121">
        <v>9.0</v>
      </c>
      <c r="Q30" s="62"/>
      <c r="R30" s="62"/>
      <c r="S30" s="62"/>
      <c r="T30" s="141"/>
      <c r="U30" s="141"/>
      <c r="V30" s="62">
        <f t="shared" si="9"/>
        <v>6.475</v>
      </c>
      <c r="W30" s="121">
        <v>10.0</v>
      </c>
      <c r="X30" s="123">
        <f>'PROY. INTER'!W30</f>
        <v>9.47</v>
      </c>
      <c r="Y30" s="62">
        <f t="shared" si="10"/>
        <v>9.735</v>
      </c>
      <c r="Z30" s="62">
        <f t="shared" si="11"/>
        <v>2.9205</v>
      </c>
      <c r="AA30" s="64">
        <f t="shared" si="12"/>
        <v>9.39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39">
        <v>9.5</v>
      </c>
      <c r="AI30" s="140"/>
      <c r="AJ30" s="140"/>
      <c r="AK30" s="140"/>
      <c r="AL30" s="139">
        <v>9.0</v>
      </c>
      <c r="AM30" s="140"/>
      <c r="AN30" s="140"/>
      <c r="AO30" s="140"/>
      <c r="AP30" s="62"/>
      <c r="AQ30" s="62"/>
      <c r="AR30" s="144">
        <v>9.0</v>
      </c>
      <c r="AS30" s="143"/>
      <c r="AT30" s="144">
        <v>9.0</v>
      </c>
      <c r="AU30" s="143"/>
      <c r="AV30" s="143"/>
      <c r="AW30" s="143"/>
      <c r="AX30" s="141"/>
      <c r="AY30" s="141"/>
      <c r="AZ30" s="62">
        <f t="shared" si="14"/>
        <v>6.384</v>
      </c>
      <c r="BA30" s="121">
        <v>10.0</v>
      </c>
      <c r="BB30" s="123">
        <f>'PROY. INTER'!AX30</f>
        <v>10</v>
      </c>
      <c r="BC30" s="62">
        <f t="shared" si="15"/>
        <v>10</v>
      </c>
      <c r="BD30" s="62">
        <f t="shared" si="16"/>
        <v>3</v>
      </c>
      <c r="BE30" s="64">
        <f t="shared" si="17"/>
        <v>9.38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9.39</v>
      </c>
      <c r="CQ30" s="129">
        <f t="shared" si="25"/>
        <v>9.38</v>
      </c>
      <c r="CR30" s="129">
        <f t="shared" si="26"/>
        <v>0</v>
      </c>
      <c r="CS30" s="130">
        <f t="shared" si="27"/>
        <v>6.25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6.25</v>
      </c>
      <c r="DB30" s="136"/>
      <c r="DC30" s="137">
        <f t="shared" si="31"/>
        <v>6.25</v>
      </c>
      <c r="DD30" s="138" t="str">
        <f t="shared" si="32"/>
        <v>NO PROMOVIDO</v>
      </c>
    </row>
    <row r="31" ht="15.75" customHeight="1">
      <c r="A31" s="56">
        <v>20.0</v>
      </c>
      <c r="B31" s="57" t="str">
        <f>'PROY. INTER'!B31</f>
        <v/>
      </c>
      <c r="C31" s="57" t="str">
        <f>'PROY. INTER'!C31</f>
        <v>Sánchez Ponce Sandra Stefania</v>
      </c>
      <c r="D31" s="139">
        <v>10.0</v>
      </c>
      <c r="E31" s="140"/>
      <c r="F31" s="140"/>
      <c r="G31" s="140"/>
      <c r="H31" s="139">
        <v>10.0</v>
      </c>
      <c r="I31" s="140"/>
      <c r="J31" s="140"/>
      <c r="K31" s="140"/>
      <c r="L31" s="62"/>
      <c r="M31" s="62"/>
      <c r="N31" s="121">
        <v>8.0</v>
      </c>
      <c r="O31" s="62"/>
      <c r="P31" s="121">
        <v>9.5</v>
      </c>
      <c r="Q31" s="62"/>
      <c r="R31" s="62"/>
      <c r="S31" s="62"/>
      <c r="T31" s="141"/>
      <c r="U31" s="141"/>
      <c r="V31" s="62">
        <f t="shared" si="9"/>
        <v>6.559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9.55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39">
        <v>10.0</v>
      </c>
      <c r="AI31" s="140"/>
      <c r="AJ31" s="140"/>
      <c r="AK31" s="140"/>
      <c r="AL31" s="139">
        <v>10.0</v>
      </c>
      <c r="AM31" s="140"/>
      <c r="AN31" s="140"/>
      <c r="AO31" s="140"/>
      <c r="AP31" s="62"/>
      <c r="AQ31" s="62"/>
      <c r="AR31" s="144">
        <v>10.0</v>
      </c>
      <c r="AS31" s="143"/>
      <c r="AT31" s="144">
        <v>10.0</v>
      </c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9.55</v>
      </c>
      <c r="CQ31" s="129">
        <f t="shared" si="25"/>
        <v>10</v>
      </c>
      <c r="CR31" s="129">
        <f t="shared" si="26"/>
        <v>0</v>
      </c>
      <c r="CS31" s="130">
        <f t="shared" si="27"/>
        <v>6.51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6.51</v>
      </c>
      <c r="DB31" s="136"/>
      <c r="DC31" s="137">
        <f t="shared" si="31"/>
        <v>6.51</v>
      </c>
      <c r="DD31" s="138" t="str">
        <f t="shared" si="32"/>
        <v>NO PROMOVIDO</v>
      </c>
    </row>
    <row r="32" ht="15.75" customHeight="1">
      <c r="A32" s="56">
        <v>21.0</v>
      </c>
      <c r="B32" s="57" t="str">
        <f>'PROY. INTER'!B32</f>
        <v/>
      </c>
      <c r="C32" s="57" t="str">
        <f>'PROY. INTER'!C32</f>
        <v>Torres Vera Anderson</v>
      </c>
      <c r="D32" s="139">
        <v>8.0</v>
      </c>
      <c r="E32" s="140"/>
      <c r="F32" s="140"/>
      <c r="G32" s="140"/>
      <c r="H32" s="139">
        <v>8.0</v>
      </c>
      <c r="I32" s="140"/>
      <c r="J32" s="140"/>
      <c r="K32" s="140"/>
      <c r="L32" s="62"/>
      <c r="M32" s="62"/>
      <c r="N32" s="121">
        <v>7.0</v>
      </c>
      <c r="O32" s="62"/>
      <c r="P32" s="121">
        <v>9.0</v>
      </c>
      <c r="Q32" s="62"/>
      <c r="R32" s="62"/>
      <c r="S32" s="62"/>
      <c r="T32" s="141"/>
      <c r="U32" s="141"/>
      <c r="V32" s="62">
        <f t="shared" si="9"/>
        <v>5.6</v>
      </c>
      <c r="W32" s="121">
        <v>10.0</v>
      </c>
      <c r="X32" s="123">
        <f>'PROY. INTER'!W32</f>
        <v>6.47</v>
      </c>
      <c r="Y32" s="62">
        <f t="shared" si="10"/>
        <v>8.235</v>
      </c>
      <c r="Z32" s="62">
        <f t="shared" si="11"/>
        <v>2.4705</v>
      </c>
      <c r="AA32" s="64">
        <f t="shared" si="12"/>
        <v>8.07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39">
        <v>8.0</v>
      </c>
      <c r="AI32" s="140"/>
      <c r="AJ32" s="140"/>
      <c r="AK32" s="140"/>
      <c r="AL32" s="139">
        <v>8.0</v>
      </c>
      <c r="AM32" s="140"/>
      <c r="AN32" s="140"/>
      <c r="AO32" s="140"/>
      <c r="AP32" s="62"/>
      <c r="AQ32" s="62"/>
      <c r="AR32" s="144">
        <v>8.0</v>
      </c>
      <c r="AS32" s="143"/>
      <c r="AT32" s="144">
        <v>9.0</v>
      </c>
      <c r="AU32" s="143"/>
      <c r="AV32" s="143"/>
      <c r="AW32" s="143"/>
      <c r="AX32" s="141"/>
      <c r="AY32" s="141"/>
      <c r="AZ32" s="62">
        <f t="shared" si="14"/>
        <v>5.775</v>
      </c>
      <c r="BA32" s="121">
        <v>7.0</v>
      </c>
      <c r="BB32" s="123">
        <f>'PROY. INTER'!AX32</f>
        <v>10</v>
      </c>
      <c r="BC32" s="62">
        <f t="shared" si="15"/>
        <v>8.5</v>
      </c>
      <c r="BD32" s="62">
        <f t="shared" si="16"/>
        <v>2.55</v>
      </c>
      <c r="BE32" s="64">
        <f t="shared" si="17"/>
        <v>8.32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8.07</v>
      </c>
      <c r="CQ32" s="129">
        <f t="shared" si="25"/>
        <v>8.32</v>
      </c>
      <c r="CR32" s="129">
        <f t="shared" si="26"/>
        <v>0</v>
      </c>
      <c r="CS32" s="130">
        <f t="shared" si="27"/>
        <v>5.46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5.46</v>
      </c>
      <c r="DB32" s="136"/>
      <c r="DC32" s="137">
        <f t="shared" si="31"/>
        <v>5.46</v>
      </c>
      <c r="DD32" s="138" t="str">
        <f t="shared" si="32"/>
        <v>NO PROMOVIDO</v>
      </c>
    </row>
    <row r="33" ht="15.75" customHeight="1">
      <c r="A33" s="56">
        <v>22.0</v>
      </c>
      <c r="B33" s="57" t="str">
        <f>'PROY. INTER'!B33</f>
        <v/>
      </c>
      <c r="C33" s="57" t="str">
        <f>'PROY. INTER'!C33</f>
        <v>Valero Pefiafiel Carlos José</v>
      </c>
      <c r="D33" s="139">
        <v>8.0</v>
      </c>
      <c r="E33" s="140"/>
      <c r="F33" s="140"/>
      <c r="G33" s="140"/>
      <c r="H33" s="139">
        <v>10.0</v>
      </c>
      <c r="I33" s="140"/>
      <c r="J33" s="140"/>
      <c r="K33" s="140"/>
      <c r="L33" s="62"/>
      <c r="M33" s="62"/>
      <c r="N33" s="121">
        <v>9.5</v>
      </c>
      <c r="O33" s="62"/>
      <c r="P33" s="121">
        <v>8.0</v>
      </c>
      <c r="Q33" s="62"/>
      <c r="R33" s="62"/>
      <c r="S33" s="62"/>
      <c r="T33" s="141"/>
      <c r="U33" s="141"/>
      <c r="V33" s="62">
        <f t="shared" si="9"/>
        <v>6.209</v>
      </c>
      <c r="W33" s="121">
        <v>10.0</v>
      </c>
      <c r="X33" s="123">
        <f>'PROY. INTER'!W33</f>
        <v>9.2</v>
      </c>
      <c r="Y33" s="62">
        <f t="shared" si="10"/>
        <v>9.6</v>
      </c>
      <c r="Z33" s="62">
        <f t="shared" si="11"/>
        <v>2.88</v>
      </c>
      <c r="AA33" s="64">
        <f t="shared" si="12"/>
        <v>9.08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39">
        <v>8.0</v>
      </c>
      <c r="AI33" s="140"/>
      <c r="AJ33" s="140"/>
      <c r="AK33" s="140"/>
      <c r="AL33" s="139">
        <v>8.0</v>
      </c>
      <c r="AM33" s="140"/>
      <c r="AN33" s="140"/>
      <c r="AO33" s="140"/>
      <c r="AP33" s="62"/>
      <c r="AQ33" s="62"/>
      <c r="AR33" s="144">
        <v>9.0</v>
      </c>
      <c r="AS33" s="143"/>
      <c r="AT33" s="144">
        <v>8.0</v>
      </c>
      <c r="AU33" s="143"/>
      <c r="AV33" s="143"/>
      <c r="AW33" s="143"/>
      <c r="AX33" s="141"/>
      <c r="AY33" s="141"/>
      <c r="AZ33" s="62">
        <f t="shared" si="14"/>
        <v>5.775</v>
      </c>
      <c r="BA33" s="121">
        <v>8.0</v>
      </c>
      <c r="BB33" s="123">
        <f>'PROY. INTER'!AX33</f>
        <v>10</v>
      </c>
      <c r="BC33" s="62">
        <f t="shared" si="15"/>
        <v>9</v>
      </c>
      <c r="BD33" s="62">
        <f t="shared" si="16"/>
        <v>2.7</v>
      </c>
      <c r="BE33" s="64">
        <f t="shared" si="17"/>
        <v>8.47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9.08</v>
      </c>
      <c r="CQ33" s="129">
        <f t="shared" si="25"/>
        <v>8.47</v>
      </c>
      <c r="CR33" s="129">
        <f t="shared" si="26"/>
        <v>0</v>
      </c>
      <c r="CS33" s="130">
        <f t="shared" si="27"/>
        <v>5.85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5.85</v>
      </c>
      <c r="DB33" s="136"/>
      <c r="DC33" s="137">
        <f t="shared" si="31"/>
        <v>5.85</v>
      </c>
      <c r="DD33" s="138" t="str">
        <f t="shared" si="32"/>
        <v>NO PROMOVIDO</v>
      </c>
    </row>
    <row r="34" ht="15.75" customHeight="1">
      <c r="A34" s="56">
        <v>23.0</v>
      </c>
      <c r="B34" s="57" t="str">
        <f>'PROY. INTER'!B34</f>
        <v/>
      </c>
      <c r="C34" s="57" t="str">
        <f>'PROY. INTER'!C34</f>
        <v>Veliz chicaiza Alex isaac</v>
      </c>
      <c r="D34" s="139">
        <v>7.0</v>
      </c>
      <c r="E34" s="140"/>
      <c r="F34" s="140"/>
      <c r="G34" s="140"/>
      <c r="H34" s="139">
        <v>7.0</v>
      </c>
      <c r="I34" s="140"/>
      <c r="J34" s="140"/>
      <c r="K34" s="140"/>
      <c r="L34" s="62"/>
      <c r="M34" s="62"/>
      <c r="N34" s="121">
        <v>8.0</v>
      </c>
      <c r="O34" s="62"/>
      <c r="P34" s="121">
        <v>9.0</v>
      </c>
      <c r="Q34" s="62"/>
      <c r="R34" s="62"/>
      <c r="S34" s="62"/>
      <c r="T34" s="141"/>
      <c r="U34" s="141"/>
      <c r="V34" s="62">
        <f t="shared" si="9"/>
        <v>5.425</v>
      </c>
      <c r="W34" s="121">
        <v>7.0</v>
      </c>
      <c r="X34" s="123">
        <f>'PROY. INTER'!W34</f>
        <v>7.33</v>
      </c>
      <c r="Y34" s="62">
        <f t="shared" si="10"/>
        <v>7.165</v>
      </c>
      <c r="Z34" s="62">
        <f t="shared" si="11"/>
        <v>2.1495</v>
      </c>
      <c r="AA34" s="64">
        <f t="shared" si="12"/>
        <v>7.57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39">
        <v>8.0</v>
      </c>
      <c r="AI34" s="140"/>
      <c r="AJ34" s="140"/>
      <c r="AK34" s="140"/>
      <c r="AL34" s="139">
        <v>8.0</v>
      </c>
      <c r="AM34" s="140"/>
      <c r="AN34" s="140"/>
      <c r="AO34" s="140"/>
      <c r="AP34" s="62"/>
      <c r="AQ34" s="62"/>
      <c r="AR34" s="144">
        <v>8.0</v>
      </c>
      <c r="AS34" s="143"/>
      <c r="AT34" s="144">
        <v>7.0</v>
      </c>
      <c r="AU34" s="143"/>
      <c r="AV34" s="143"/>
      <c r="AW34" s="143"/>
      <c r="AX34" s="141"/>
      <c r="AY34" s="141"/>
      <c r="AZ34" s="62">
        <f t="shared" si="14"/>
        <v>5.425</v>
      </c>
      <c r="BA34" s="121">
        <v>7.5</v>
      </c>
      <c r="BB34" s="123">
        <f>'PROY. INTER'!AX34</f>
        <v>10</v>
      </c>
      <c r="BC34" s="62">
        <f t="shared" si="15"/>
        <v>8.75</v>
      </c>
      <c r="BD34" s="62">
        <f t="shared" si="16"/>
        <v>2.625</v>
      </c>
      <c r="BE34" s="64">
        <f t="shared" si="17"/>
        <v>8.05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7.57</v>
      </c>
      <c r="CQ34" s="129">
        <f t="shared" si="25"/>
        <v>8.05</v>
      </c>
      <c r="CR34" s="129">
        <f t="shared" si="26"/>
        <v>0</v>
      </c>
      <c r="CS34" s="130">
        <f t="shared" si="27"/>
        <v>5.2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5.2</v>
      </c>
      <c r="DB34" s="136"/>
      <c r="DC34" s="137">
        <f t="shared" si="31"/>
        <v>5.2</v>
      </c>
      <c r="DD34" s="138" t="str">
        <f t="shared" si="32"/>
        <v>NO PROMOVIDO</v>
      </c>
    </row>
    <row r="35" ht="15.75" customHeight="1">
      <c r="A35" s="56">
        <v>24.0</v>
      </c>
      <c r="B35" s="57" t="str">
        <f>'PROY. INTER'!B35</f>
        <v/>
      </c>
      <c r="C35" s="57" t="str">
        <f>'PROY. INTER'!C35</f>
        <v>Zambrano Zhicay Victor Humberto</v>
      </c>
      <c r="D35" s="139">
        <v>10.0</v>
      </c>
      <c r="E35" s="140"/>
      <c r="F35" s="140"/>
      <c r="G35" s="140"/>
      <c r="H35" s="139">
        <v>10.0</v>
      </c>
      <c r="I35" s="140"/>
      <c r="J35" s="140"/>
      <c r="K35" s="140"/>
      <c r="L35" s="62"/>
      <c r="M35" s="62"/>
      <c r="N35" s="121">
        <v>9.0</v>
      </c>
      <c r="O35" s="62"/>
      <c r="P35" s="121">
        <v>9.5</v>
      </c>
      <c r="Q35" s="62"/>
      <c r="R35" s="62"/>
      <c r="S35" s="62"/>
      <c r="T35" s="141"/>
      <c r="U35" s="141"/>
      <c r="V35" s="62">
        <f t="shared" si="9"/>
        <v>6.734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9.69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39">
        <v>8.0</v>
      </c>
      <c r="AI35" s="140"/>
      <c r="AJ35" s="140"/>
      <c r="AK35" s="140"/>
      <c r="AL35" s="139">
        <v>9.0</v>
      </c>
      <c r="AM35" s="140"/>
      <c r="AN35" s="140"/>
      <c r="AO35" s="140"/>
      <c r="AP35" s="62"/>
      <c r="AQ35" s="62"/>
      <c r="AR35" s="144">
        <v>8.0</v>
      </c>
      <c r="AS35" s="143"/>
      <c r="AT35" s="144">
        <v>8.5</v>
      </c>
      <c r="AU35" s="143"/>
      <c r="AV35" s="143"/>
      <c r="AW35" s="143"/>
      <c r="AX35" s="141"/>
      <c r="AY35" s="141"/>
      <c r="AZ35" s="62">
        <f t="shared" si="14"/>
        <v>5.859</v>
      </c>
      <c r="BA35" s="121">
        <v>8.0</v>
      </c>
      <c r="BB35" s="123">
        <f>'PROY. INTER'!AX35</f>
        <v>10</v>
      </c>
      <c r="BC35" s="62">
        <f t="shared" si="15"/>
        <v>9</v>
      </c>
      <c r="BD35" s="62">
        <f t="shared" si="16"/>
        <v>2.7</v>
      </c>
      <c r="BE35" s="64">
        <f t="shared" si="17"/>
        <v>8.55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9.69</v>
      </c>
      <c r="CQ35" s="129">
        <f t="shared" si="25"/>
        <v>8.55</v>
      </c>
      <c r="CR35" s="129">
        <f t="shared" si="26"/>
        <v>0</v>
      </c>
      <c r="CS35" s="130">
        <f t="shared" si="27"/>
        <v>6.08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6.08</v>
      </c>
      <c r="DB35" s="136"/>
      <c r="DC35" s="137">
        <f t="shared" si="31"/>
        <v>6.08</v>
      </c>
      <c r="DD35" s="138" t="str">
        <f t="shared" si="32"/>
        <v>NO PROMOVIDO</v>
      </c>
    </row>
    <row r="36" ht="15.75" customHeight="1">
      <c r="A36" s="56">
        <v>25.0</v>
      </c>
      <c r="B36" s="57" t="str">
        <f>'PROY. INTER'!B36</f>
        <v/>
      </c>
      <c r="C36" s="57" t="str">
        <f>'PROY. INTER'!C36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62"/>
      <c r="O36" s="62"/>
      <c r="P36" s="62"/>
      <c r="Q36" s="62"/>
      <c r="R36" s="62"/>
      <c r="S36" s="62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'PROY. INTER'!B37</f>
        <v/>
      </c>
      <c r="C37" s="57" t="str">
        <f>'PROY. INTER'!C37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62"/>
      <c r="O37" s="62"/>
      <c r="P37" s="62"/>
      <c r="Q37" s="62"/>
      <c r="R37" s="62"/>
      <c r="S37" s="62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'PROY. INTER'!B38</f>
        <v/>
      </c>
      <c r="C38" s="57" t="str">
        <f>'PROY. INTER'!C38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62"/>
      <c r="O38" s="62"/>
      <c r="P38" s="62"/>
      <c r="Q38" s="62"/>
      <c r="R38" s="62"/>
      <c r="S38" s="62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'PROY. INTER'!B39</f>
        <v/>
      </c>
      <c r="C39" s="57" t="str">
        <f>'PROY. INTER'!C39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62"/>
      <c r="O39" s="62"/>
      <c r="P39" s="62"/>
      <c r="Q39" s="62"/>
      <c r="R39" s="62"/>
      <c r="S39" s="62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'PROY. INTER'!B40</f>
        <v/>
      </c>
      <c r="C40" s="57" t="str">
        <f>'PROY. INTER'!C40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62"/>
      <c r="O40" s="62"/>
      <c r="P40" s="62"/>
      <c r="Q40" s="62"/>
      <c r="R40" s="62"/>
      <c r="S40" s="62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'PROY. INTER'!B41</f>
        <v/>
      </c>
      <c r="C41" s="57" t="str">
        <f>'PROY. INTER'!C41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62"/>
      <c r="O41" s="62"/>
      <c r="P41" s="62"/>
      <c r="Q41" s="62"/>
      <c r="R41" s="62"/>
      <c r="S41" s="62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'PROY. INTER'!B42</f>
        <v/>
      </c>
      <c r="C42" s="57" t="str">
        <f>'PROY. INTER'!C42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62"/>
      <c r="O42" s="62"/>
      <c r="P42" s="62"/>
      <c r="Q42" s="62"/>
      <c r="R42" s="62"/>
      <c r="S42" s="62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'PROY. INTER'!B43</f>
        <v/>
      </c>
      <c r="C43" s="57" t="str">
        <f>'PROY. INTER'!C43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62"/>
      <c r="O43" s="62"/>
      <c r="P43" s="62"/>
      <c r="Q43" s="62"/>
      <c r="R43" s="62"/>
      <c r="S43" s="62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'PROY. INTER'!B44</f>
        <v/>
      </c>
      <c r="C44" s="57" t="str">
        <f>'PROY. INTER'!C44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62"/>
      <c r="O44" s="62"/>
      <c r="P44" s="62"/>
      <c r="Q44" s="62"/>
      <c r="R44" s="62"/>
      <c r="S44" s="62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'PROY. INTER'!B45</f>
        <v/>
      </c>
      <c r="C45" s="57" t="str">
        <f>'PROY. INTER'!C45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62"/>
      <c r="O45" s="62"/>
      <c r="P45" s="62"/>
      <c r="Q45" s="62"/>
      <c r="R45" s="62"/>
      <c r="S45" s="62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'PROY. INTER'!B46</f>
        <v/>
      </c>
      <c r="C46" s="57" t="str">
        <f>'PROY. INTER'!C46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62"/>
      <c r="O46" s="62"/>
      <c r="P46" s="62"/>
      <c r="Q46" s="62"/>
      <c r="R46" s="62"/>
      <c r="S46" s="62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'PROY. INTER'!B47</f>
        <v/>
      </c>
      <c r="C47" s="57" t="str">
        <f>'PROY. INTER'!C47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62"/>
      <c r="O47" s="62"/>
      <c r="P47" s="62"/>
      <c r="Q47" s="62"/>
      <c r="R47" s="62"/>
      <c r="S47" s="62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'PROY. INTER'!B48</f>
        <v/>
      </c>
      <c r="C48" s="57" t="str">
        <f>'PROY. INTER'!C48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62"/>
      <c r="O48" s="62"/>
      <c r="P48" s="62"/>
      <c r="Q48" s="62"/>
      <c r="R48" s="62"/>
      <c r="S48" s="62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'PROY. INTER'!B49</f>
        <v/>
      </c>
      <c r="C49" s="57" t="str">
        <f>'PROY. INTER'!C49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62"/>
      <c r="O49" s="62"/>
      <c r="P49" s="62"/>
      <c r="Q49" s="62"/>
      <c r="R49" s="62"/>
      <c r="S49" s="62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'PROY. INTER'!B50</f>
        <v/>
      </c>
      <c r="C50" s="57" t="str">
        <f>'PROY. INTER'!C50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62"/>
      <c r="O50" s="62"/>
      <c r="P50" s="62"/>
      <c r="Q50" s="62"/>
      <c r="R50" s="62"/>
      <c r="S50" s="62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'PROY. INTER'!B56</f>
        <v/>
      </c>
      <c r="C51" s="57" t="str">
        <f>'PROY. INTER'!C56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62"/>
      <c r="O51" s="62"/>
      <c r="P51" s="62"/>
      <c r="Q51" s="62"/>
      <c r="R51" s="62"/>
      <c r="S51" s="62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'PROY. INTER'!B57</f>
        <v/>
      </c>
      <c r="C52" s="57" t="str">
        <f>'PROY. INTER'!C57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62"/>
      <c r="O52" s="62"/>
      <c r="P52" s="62"/>
      <c r="Q52" s="62"/>
      <c r="R52" s="62"/>
      <c r="S52" s="62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'PROY. INTER'!B58</f>
        <v/>
      </c>
      <c r="C53" s="57" t="str">
        <f>'PROY. INTER'!C58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62"/>
      <c r="O53" s="62"/>
      <c r="P53" s="62"/>
      <c r="Q53" s="62"/>
      <c r="R53" s="62"/>
      <c r="S53" s="62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'PROY. INTER'!B60</f>
        <v/>
      </c>
      <c r="C54" s="57" t="str">
        <f>'PROY. INTER'!C60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62"/>
      <c r="O54" s="62"/>
      <c r="P54" s="62"/>
      <c r="Q54" s="62"/>
      <c r="R54" s="62"/>
      <c r="S54" s="62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'PROY. INTER'!B61</f>
        <v/>
      </c>
      <c r="C55" s="57" t="str">
        <f>'PROY. INTER'!C61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62"/>
      <c r="O55" s="62"/>
      <c r="P55" s="62"/>
      <c r="Q55" s="62"/>
      <c r="R55" s="62"/>
      <c r="S55" s="62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'PROY. INTER'!B62</f>
        <v/>
      </c>
      <c r="C56" s="57" t="str">
        <f>'PROY. INTER'!C62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'PROY. INTER'!B63</f>
        <v/>
      </c>
      <c r="C57" s="57" t="str">
        <f>'PROY. INTER'!C63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'PROY. INTER'!B64</f>
        <v/>
      </c>
      <c r="C58" s="57" t="str">
        <f>'PROY. INTER'!C64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'PROY. INTER'!B65</f>
        <v/>
      </c>
      <c r="C59" s="57" t="str">
        <f>'PROY. INTER'!C65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'PROY. INTER'!B66</f>
        <v/>
      </c>
      <c r="C60" s="57" t="str">
        <f>'PROY. INTER'!C66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'PROY. INTER'!B67</f>
        <v/>
      </c>
      <c r="C61" s="57" t="str">
        <f>'PROY. INTER'!C67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5.691666667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8">
    <mergeCell ref="D8:S8"/>
    <mergeCell ref="D9:K9"/>
    <mergeCell ref="A7:AA7"/>
    <mergeCell ref="V8:V11"/>
    <mergeCell ref="W8:W11"/>
    <mergeCell ref="X8:X11"/>
    <mergeCell ref="Y8:Y11"/>
    <mergeCell ref="Z8:Z11"/>
    <mergeCell ref="AA8:AA11"/>
    <mergeCell ref="AH8:AW8"/>
    <mergeCell ref="AH9:AO9"/>
    <mergeCell ref="AX8:AY10"/>
    <mergeCell ref="AZ8:AZ11"/>
    <mergeCell ref="BA8:BA11"/>
    <mergeCell ref="BB8:BB11"/>
    <mergeCell ref="BC8:BC11"/>
    <mergeCell ref="BD8:BD11"/>
    <mergeCell ref="BE8:BE11"/>
    <mergeCell ref="BL8:CA8"/>
    <mergeCell ref="BL9:BS9"/>
    <mergeCell ref="CB8:CC10"/>
    <mergeCell ref="BT9:CA9"/>
    <mergeCell ref="BZ10:CA10"/>
    <mergeCell ref="CS10:CS11"/>
    <mergeCell ref="CT10:CT11"/>
    <mergeCell ref="BI7:CI7"/>
    <mergeCell ref="CD8:CD11"/>
    <mergeCell ref="CE8:CE11"/>
    <mergeCell ref="CF8:CF11"/>
    <mergeCell ref="CG8:CG11"/>
    <mergeCell ref="CH8:CH11"/>
    <mergeCell ref="CI8:CI11"/>
    <mergeCell ref="N10:O10"/>
    <mergeCell ref="P10:Q10"/>
    <mergeCell ref="T8:U10"/>
    <mergeCell ref="D10:E10"/>
    <mergeCell ref="F10:G10"/>
    <mergeCell ref="H10:I10"/>
    <mergeCell ref="J10:K10"/>
    <mergeCell ref="L10:M10"/>
    <mergeCell ref="R10:S10"/>
    <mergeCell ref="CO2:CT2"/>
    <mergeCell ref="CX2:CY2"/>
    <mergeCell ref="CZ2:DD2"/>
    <mergeCell ref="A2:B2"/>
    <mergeCell ref="C2:AA2"/>
    <mergeCell ref="AE2:AF2"/>
    <mergeCell ref="AG2:BE2"/>
    <mergeCell ref="BI2:BJ2"/>
    <mergeCell ref="BK2:CI2"/>
    <mergeCell ref="CM2:CN2"/>
    <mergeCell ref="CX3:CY3"/>
    <mergeCell ref="CZ3:DD3"/>
    <mergeCell ref="CX4:CY4"/>
    <mergeCell ref="DA4:DB4"/>
    <mergeCell ref="CX6:DD6"/>
    <mergeCell ref="CX7:DD7"/>
    <mergeCell ref="DA10:DD10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CM6:CT6"/>
    <mergeCell ref="CM7:CT7"/>
    <mergeCell ref="CM9:CO9"/>
    <mergeCell ref="CP9:CT9"/>
    <mergeCell ref="CM10:CO10"/>
    <mergeCell ref="CP10:CR10"/>
    <mergeCell ref="AE8:AG10"/>
    <mergeCell ref="AH10:AI10"/>
    <mergeCell ref="A8:C10"/>
    <mergeCell ref="L9:S9"/>
    <mergeCell ref="D4:F4"/>
    <mergeCell ref="A6:AA6"/>
    <mergeCell ref="AE6:BE6"/>
    <mergeCell ref="BI6:CI6"/>
    <mergeCell ref="AE7:BE7"/>
    <mergeCell ref="AP9:AW9"/>
    <mergeCell ref="AV10:AW10"/>
    <mergeCell ref="AJ10:AK10"/>
    <mergeCell ref="AL10:AM10"/>
    <mergeCell ref="AN10:AO10"/>
    <mergeCell ref="AP10:AQ10"/>
    <mergeCell ref="AR10:AS10"/>
    <mergeCell ref="AT10:AU10"/>
    <mergeCell ref="BI8:BK10"/>
    <mergeCell ref="BL10:BM10"/>
    <mergeCell ref="BN10:BO10"/>
    <mergeCell ref="BP10:BQ10"/>
    <mergeCell ref="BR10:BS10"/>
    <mergeCell ref="BT10:BU10"/>
    <mergeCell ref="BV10:BW10"/>
    <mergeCell ref="BX10:BY10"/>
    <mergeCell ref="CP63:CQ63"/>
    <mergeCell ref="CP64:CQ64"/>
    <mergeCell ref="CQ66:CR66"/>
    <mergeCell ref="CS76:CT76"/>
    <mergeCell ref="CS77:CT77"/>
  </mergeCells>
  <conditionalFormatting sqref="D12:K61">
    <cfRule type="cellIs" dxfId="0" priority="1" operator="lessThan">
      <formula>7</formula>
    </cfRule>
  </conditionalFormatting>
  <conditionalFormatting sqref="D12:S61">
    <cfRule type="cellIs" dxfId="0" priority="2" operator="between">
      <formula>0</formula>
      <formula>10</formula>
    </cfRule>
  </conditionalFormatting>
  <conditionalFormatting sqref="D12:U61">
    <cfRule type="cellIs" dxfId="0" priority="3" operator="between">
      <formula>0.00</formula>
      <formula>10.00</formula>
    </cfRule>
  </conditionalFormatting>
  <conditionalFormatting sqref="W12:W61">
    <cfRule type="cellIs" dxfId="0" priority="4" operator="between">
      <formula>0.00</formula>
      <formula>10.00</formula>
    </cfRule>
  </conditionalFormatting>
  <conditionalFormatting sqref="AH12:AO61">
    <cfRule type="cellIs" dxfId="0" priority="5" operator="lessThan">
      <formula>7</formula>
    </cfRule>
  </conditionalFormatting>
  <conditionalFormatting sqref="BL12:BS61">
    <cfRule type="cellIs" dxfId="0" priority="6" operator="lessThan">
      <formula>7</formula>
    </cfRule>
  </conditionalFormatting>
  <conditionalFormatting sqref="CT12:CT61">
    <cfRule type="containsText" dxfId="1" priority="7" operator="containsText" text="REPROBADO">
      <formula>NOT(ISERROR(SEARCH(("REPROBADO"),(CT12))))</formula>
    </cfRule>
  </conditionalFormatting>
  <conditionalFormatting sqref="CT12:CT61">
    <cfRule type="containsText" dxfId="2" priority="8" operator="containsText" text="SUPLETORIO">
      <formula>NOT(ISERROR(SEARCH(("SUPLETORIO"),(CT12))))</formula>
    </cfRule>
  </conditionalFormatting>
  <conditionalFormatting sqref="CT12:CT61">
    <cfRule type="containsText" dxfId="3" priority="9" operator="containsText" text="APROBADO">
      <formula>NOT(ISERROR(SEARCH(("APROBADO"),(CT12))))</formula>
    </cfRule>
  </conditionalFormatting>
  <conditionalFormatting sqref="CT12:CT61">
    <cfRule type="containsText" dxfId="4" priority="10" operator="containsText" text="REMEDIAL">
      <formula>NOT(ISERROR(SEARCH(("REMEDIAL"),(CT12))))</formula>
    </cfRule>
  </conditionalFormatting>
  <conditionalFormatting sqref="CT12:CT61">
    <cfRule type="containsText" dxfId="5" priority="11" operator="containsText" text="SUPLETORIO">
      <formula>NOT(ISERROR(SEARCH(("SUPLETORIO"),(CT12))))</formula>
    </cfRule>
  </conditionalFormatting>
  <conditionalFormatting sqref="CT12:CT61">
    <cfRule type="containsText" dxfId="6" priority="12" operator="containsText" text="APROBADO">
      <formula>NOT(ISERROR(SEARCH(("APROBADO"),(CT12))))</formula>
    </cfRule>
  </conditionalFormatting>
  <conditionalFormatting sqref="DC12:DC61">
    <cfRule type="expression" dxfId="7" priority="13">
      <formula>ISERROR(DC12)</formula>
    </cfRule>
  </conditionalFormatting>
  <conditionalFormatting sqref="DD12:DD61">
    <cfRule type="containsText" dxfId="0" priority="14" operator="containsText" text="NO PROMOVIDO">
      <formula>NOT(ISERROR(SEARCH(("NO PROMOVIDO"),(DD12))))</formula>
    </cfRule>
  </conditionalFormatting>
  <conditionalFormatting sqref="DD12:DD61">
    <cfRule type="containsText" dxfId="8" priority="15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 DEBE SER ENTRE 0 Y 10 PTS" sqref="D12:U61 W12:W61 AH12:AY61 BA12:BA61 BL12:CC61 CE12:CE61">
      <formula1>0.0</formula1>
      <formula2>10.0</formula2>
    </dataValidation>
  </dataValidations>
  <printOptions horizontalCentered="1" verticalCentered="1"/>
  <pageMargins bottom="0.1968503937007874" footer="0.0" header="0.0" left="0.1968503937007874" right="0.6267558263759745" top="0.1968503937007874"/>
  <pageSetup paperSize="9" scale="7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4" width="5.71"/>
    <col customWidth="1" min="55" max="55" width="6.29"/>
    <col customWidth="1" min="56" max="56" width="5.71"/>
    <col customWidth="1" min="57" max="57" width="7.57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4.57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121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COCA AGURTO ESTEBENSON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COCA AGURTO ESTEBENSON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COCA AGURTO ESTEBENSON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COCA AGURTO ESTEBENSON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8" t="str">
        <f>A7</f>
        <v>MATERIA: MATEMATICA</v>
      </c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G7" s="2"/>
      <c r="BI7" s="16" t="str">
        <f>A7</f>
        <v>MATERIA: MATEMATICA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MATEMATICA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MATEMATICA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123</v>
      </c>
      <c r="AC8" s="2"/>
      <c r="AE8" s="17" t="s">
        <v>12</v>
      </c>
      <c r="AF8" s="18"/>
      <c r="AG8" s="19"/>
      <c r="AH8" s="169" t="s">
        <v>75</v>
      </c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170"/>
      <c r="AX8" s="171" t="s">
        <v>76</v>
      </c>
      <c r="AY8" s="19"/>
      <c r="AZ8" s="172" t="s">
        <v>77</v>
      </c>
      <c r="BA8" s="173" t="s">
        <v>78</v>
      </c>
      <c r="BB8" s="173" t="s">
        <v>16</v>
      </c>
      <c r="BC8" s="174" t="s">
        <v>79</v>
      </c>
      <c r="BD8" s="175">
        <v>0.3</v>
      </c>
      <c r="BE8" s="176" t="s">
        <v>124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125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MATE!CM10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77"/>
      <c r="E12" s="177"/>
      <c r="F12" s="178">
        <v>8.0</v>
      </c>
      <c r="G12" s="179"/>
      <c r="H12" s="180">
        <v>9.0</v>
      </c>
      <c r="I12" s="177"/>
      <c r="J12" s="178">
        <v>9.5</v>
      </c>
      <c r="K12" s="179"/>
      <c r="L12" s="181"/>
      <c r="M12" s="181"/>
      <c r="N12" s="181"/>
      <c r="O12" s="182"/>
      <c r="P12" s="182"/>
      <c r="Q12" s="182"/>
      <c r="R12" s="62"/>
      <c r="S12" s="62"/>
      <c r="T12" s="122"/>
      <c r="U12" s="122"/>
      <c r="V12" s="62">
        <f t="shared" ref="V12:V61" si="9">IFERROR(TRUNC(AVERAGE(D12:U12),2),"")*70/100</f>
        <v>6.181</v>
      </c>
      <c r="W12" s="183">
        <v>9.0</v>
      </c>
      <c r="X12" s="123">
        <f>'PROY. INTER'!W12</f>
        <v>10</v>
      </c>
      <c r="Y12" s="62">
        <f t="shared" ref="Y12:Y61" si="10">AVERAGE(W12:X12)</f>
        <v>9.5</v>
      </c>
      <c r="Z12" s="62">
        <f t="shared" ref="Z12:Z61" si="11">Y12*30/100</f>
        <v>2.85</v>
      </c>
      <c r="AA12" s="64">
        <f t="shared" ref="AA12:AA20" si="12">IFERROR(TRUNC(SUM(V12+Z12),2),"")</f>
        <v>9.03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20"/>
      <c r="AI12" s="120"/>
      <c r="AJ12" s="119">
        <v>9.0</v>
      </c>
      <c r="AK12" s="120"/>
      <c r="AL12" s="119">
        <v>10.0</v>
      </c>
      <c r="AM12" s="120"/>
      <c r="AN12" s="119">
        <v>9.0</v>
      </c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6.531</v>
      </c>
      <c r="BA12" s="121">
        <v>9.0</v>
      </c>
      <c r="BB12" s="123">
        <f>'PROY. INTER'!AX12</f>
        <v>10</v>
      </c>
      <c r="BC12" s="62">
        <f t="shared" ref="BC12:BC61" si="15">AVERAGE(BA12:BB12)</f>
        <v>9.5</v>
      </c>
      <c r="BD12" s="62">
        <f t="shared" ref="BD12:BD61" si="16">BC12*30/100</f>
        <v>2.85</v>
      </c>
      <c r="BE12" s="64">
        <f t="shared" ref="BE12:BE61" si="17">IFERROR(TRUNC(SUM(AZ12+BD12),2),"")</f>
        <v>9.38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9.03</v>
      </c>
      <c r="CQ12" s="129">
        <f t="shared" ref="CQ12:CQ61" si="25">BE12</f>
        <v>9.38</v>
      </c>
      <c r="CR12" s="129">
        <f t="shared" ref="CR12:CR61" si="26">CI12</f>
        <v>0</v>
      </c>
      <c r="CS12" s="130">
        <f t="shared" ref="CS12:CS61" si="27">IFERROR(TRUNC(AVERAGE(CP12:CR12),2),"")*100/100</f>
        <v>6.13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6.13</v>
      </c>
      <c r="DB12" s="136"/>
      <c r="DC12" s="137">
        <f t="shared" ref="DC12:DC61" si="31">IF(DA12&gt;=7,DA12,IF(DA12="","",IF(DB12="",AVERAGE(DA12:DB12),IF(AND(DA12&lt;4.01,DB12&lt;&gt;""),DA12,IF(DB12&lt;7,DA12,7)))))</f>
        <v>6.13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79"/>
      <c r="E13" s="179"/>
      <c r="F13" s="184">
        <v>7.0</v>
      </c>
      <c r="G13" s="185"/>
      <c r="H13" s="178">
        <v>8.0</v>
      </c>
      <c r="I13" s="179"/>
      <c r="J13" s="184">
        <v>10.0</v>
      </c>
      <c r="K13" s="185"/>
      <c r="L13" s="181"/>
      <c r="M13" s="181"/>
      <c r="N13" s="181"/>
      <c r="O13" s="181"/>
      <c r="P13" s="181"/>
      <c r="Q13" s="181"/>
      <c r="R13" s="181"/>
      <c r="S13" s="181"/>
      <c r="T13" s="141"/>
      <c r="U13" s="141"/>
      <c r="V13" s="62">
        <f t="shared" si="9"/>
        <v>5.831</v>
      </c>
      <c r="W13" s="183">
        <v>8.0</v>
      </c>
      <c r="X13" s="123">
        <f>'PROY. INTER'!W13</f>
        <v>10</v>
      </c>
      <c r="Y13" s="62">
        <f t="shared" si="10"/>
        <v>9</v>
      </c>
      <c r="Z13" s="62">
        <f t="shared" si="11"/>
        <v>2.7</v>
      </c>
      <c r="AA13" s="64">
        <f t="shared" si="12"/>
        <v>8.53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40"/>
      <c r="AI13" s="140"/>
      <c r="AJ13" s="139">
        <v>8.0</v>
      </c>
      <c r="AK13" s="140"/>
      <c r="AL13" s="139">
        <v>9.0</v>
      </c>
      <c r="AM13" s="120"/>
      <c r="AN13" s="139">
        <v>8.0</v>
      </c>
      <c r="AO13" s="140"/>
      <c r="AP13" s="62"/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5.831</v>
      </c>
      <c r="BA13" s="121">
        <v>8.0</v>
      </c>
      <c r="BB13" s="123">
        <f>'PROY. INTER'!AX13</f>
        <v>10</v>
      </c>
      <c r="BC13" s="62">
        <f t="shared" si="15"/>
        <v>9</v>
      </c>
      <c r="BD13" s="62">
        <f t="shared" si="16"/>
        <v>2.7</v>
      </c>
      <c r="BE13" s="64">
        <f t="shared" si="17"/>
        <v>8.53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8.53</v>
      </c>
      <c r="CQ13" s="129">
        <f t="shared" si="25"/>
        <v>8.53</v>
      </c>
      <c r="CR13" s="129">
        <f t="shared" si="26"/>
        <v>0</v>
      </c>
      <c r="CS13" s="130">
        <f t="shared" si="27"/>
        <v>5.68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5.68</v>
      </c>
      <c r="DB13" s="142"/>
      <c r="DC13" s="137">
        <f t="shared" si="31"/>
        <v>5.68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77"/>
      <c r="E14" s="177"/>
      <c r="F14" s="184">
        <v>5.0</v>
      </c>
      <c r="G14" s="185"/>
      <c r="H14" s="180">
        <v>7.0</v>
      </c>
      <c r="I14" s="177"/>
      <c r="J14" s="184">
        <v>9.0</v>
      </c>
      <c r="K14" s="185"/>
      <c r="L14" s="181"/>
      <c r="M14" s="181"/>
      <c r="N14" s="186"/>
      <c r="O14" s="182"/>
      <c r="P14" s="187"/>
      <c r="Q14" s="187"/>
      <c r="R14" s="143"/>
      <c r="S14" s="143"/>
      <c r="T14" s="141"/>
      <c r="U14" s="141"/>
      <c r="V14" s="62">
        <f t="shared" si="9"/>
        <v>4.9</v>
      </c>
      <c r="W14" s="183">
        <v>7.0</v>
      </c>
      <c r="X14" s="123">
        <f>'PROY. INTER'!W14</f>
        <v>8.2</v>
      </c>
      <c r="Y14" s="62">
        <f t="shared" si="10"/>
        <v>7.6</v>
      </c>
      <c r="Z14" s="62">
        <f t="shared" si="11"/>
        <v>2.28</v>
      </c>
      <c r="AA14" s="64">
        <f t="shared" si="12"/>
        <v>7.18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40"/>
      <c r="AI14" s="140"/>
      <c r="AJ14" s="139">
        <v>7.0</v>
      </c>
      <c r="AK14" s="140"/>
      <c r="AL14" s="139">
        <v>7.0</v>
      </c>
      <c r="AM14" s="120"/>
      <c r="AN14" s="139">
        <v>8.0</v>
      </c>
      <c r="AO14" s="140"/>
      <c r="AP14" s="62"/>
      <c r="AQ14" s="62"/>
      <c r="AR14" s="62"/>
      <c r="AS14" s="62"/>
      <c r="AT14" s="62"/>
      <c r="AU14" s="62"/>
      <c r="AV14" s="62"/>
      <c r="AW14" s="62"/>
      <c r="AX14" s="141"/>
      <c r="AY14" s="141"/>
      <c r="AZ14" s="62">
        <f t="shared" si="14"/>
        <v>5.131</v>
      </c>
      <c r="BA14" s="121">
        <v>8.0</v>
      </c>
      <c r="BB14" s="123">
        <f>'PROY. INTER'!AX14</f>
        <v>10</v>
      </c>
      <c r="BC14" s="62">
        <f t="shared" si="15"/>
        <v>9</v>
      </c>
      <c r="BD14" s="62">
        <f t="shared" si="16"/>
        <v>2.7</v>
      </c>
      <c r="BE14" s="64">
        <f t="shared" si="17"/>
        <v>7.83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7.18</v>
      </c>
      <c r="CQ14" s="129">
        <f t="shared" si="25"/>
        <v>7.83</v>
      </c>
      <c r="CR14" s="129">
        <f t="shared" si="26"/>
        <v>0</v>
      </c>
      <c r="CS14" s="130">
        <f t="shared" si="27"/>
        <v>5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</v>
      </c>
      <c r="DB14" s="136"/>
      <c r="DC14" s="137">
        <f t="shared" si="31"/>
        <v>5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77"/>
      <c r="E15" s="177"/>
      <c r="F15" s="184">
        <v>6.0</v>
      </c>
      <c r="G15" s="185"/>
      <c r="H15" s="180">
        <v>6.0</v>
      </c>
      <c r="I15" s="177"/>
      <c r="J15" s="184">
        <v>6.0</v>
      </c>
      <c r="K15" s="185"/>
      <c r="L15" s="181"/>
      <c r="M15" s="181"/>
      <c r="N15" s="186"/>
      <c r="O15" s="182"/>
      <c r="P15" s="187"/>
      <c r="Q15" s="187"/>
      <c r="R15" s="143"/>
      <c r="S15" s="143"/>
      <c r="T15" s="141"/>
      <c r="U15" s="141"/>
      <c r="V15" s="62">
        <f t="shared" si="9"/>
        <v>4.2</v>
      </c>
      <c r="W15" s="183">
        <v>6.0</v>
      </c>
      <c r="X15" s="123">
        <f>'PROY. INTER'!W15</f>
        <v>6.73</v>
      </c>
      <c r="Y15" s="62">
        <f t="shared" si="10"/>
        <v>6.365</v>
      </c>
      <c r="Z15" s="62">
        <f t="shared" si="11"/>
        <v>1.9095</v>
      </c>
      <c r="AA15" s="64">
        <f t="shared" si="12"/>
        <v>6.1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40"/>
      <c r="AI15" s="140"/>
      <c r="AJ15" s="139">
        <v>8.0</v>
      </c>
      <c r="AK15" s="140"/>
      <c r="AL15" s="139">
        <v>8.0</v>
      </c>
      <c r="AM15" s="120"/>
      <c r="AN15" s="139">
        <v>8.0</v>
      </c>
      <c r="AO15" s="140"/>
      <c r="AP15" s="62"/>
      <c r="AQ15" s="62"/>
      <c r="AR15" s="143"/>
      <c r="AS15" s="143"/>
      <c r="AT15" s="143"/>
      <c r="AU15" s="143"/>
      <c r="AV15" s="143"/>
      <c r="AW15" s="143"/>
      <c r="AX15" s="141"/>
      <c r="AY15" s="141"/>
      <c r="AZ15" s="62">
        <f t="shared" si="14"/>
        <v>5.6</v>
      </c>
      <c r="BA15" s="121">
        <v>8.0</v>
      </c>
      <c r="BB15" s="123">
        <f>'PROY. INTER'!AX15</f>
        <v>10</v>
      </c>
      <c r="BC15" s="62">
        <f t="shared" si="15"/>
        <v>9</v>
      </c>
      <c r="BD15" s="62">
        <f t="shared" si="16"/>
        <v>2.7</v>
      </c>
      <c r="BE15" s="64">
        <f t="shared" si="17"/>
        <v>8.3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6.1</v>
      </c>
      <c r="CQ15" s="129">
        <f t="shared" si="25"/>
        <v>8.3</v>
      </c>
      <c r="CR15" s="129">
        <f t="shared" si="26"/>
        <v>0</v>
      </c>
      <c r="CS15" s="130">
        <f t="shared" si="27"/>
        <v>4.8</v>
      </c>
      <c r="CT15" s="131" t="str">
        <f t="shared" si="28"/>
        <v>REPROBADO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4.8</v>
      </c>
      <c r="DB15" s="136"/>
      <c r="DC15" s="137">
        <f t="shared" si="31"/>
        <v>4.8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77"/>
      <c r="E16" s="177"/>
      <c r="F16" s="184">
        <v>8.0</v>
      </c>
      <c r="G16" s="185"/>
      <c r="H16" s="180">
        <v>8.0</v>
      </c>
      <c r="I16" s="177"/>
      <c r="J16" s="184">
        <v>8.0</v>
      </c>
      <c r="K16" s="185"/>
      <c r="L16" s="181"/>
      <c r="M16" s="181"/>
      <c r="N16" s="186"/>
      <c r="O16" s="182"/>
      <c r="P16" s="187"/>
      <c r="Q16" s="187"/>
      <c r="R16" s="143"/>
      <c r="S16" s="143"/>
      <c r="T16" s="141"/>
      <c r="U16" s="141"/>
      <c r="V16" s="62">
        <f t="shared" si="9"/>
        <v>5.6</v>
      </c>
      <c r="W16" s="183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8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40"/>
      <c r="AI16" s="140"/>
      <c r="AJ16" s="139">
        <v>8.0</v>
      </c>
      <c r="AK16" s="140"/>
      <c r="AL16" s="139">
        <v>8.0</v>
      </c>
      <c r="AM16" s="120"/>
      <c r="AN16" s="139">
        <v>8.0</v>
      </c>
      <c r="AO16" s="140"/>
      <c r="AP16" s="62"/>
      <c r="AQ16" s="62"/>
      <c r="AR16" s="143"/>
      <c r="AS16" s="143"/>
      <c r="AT16" s="143"/>
      <c r="AU16" s="143"/>
      <c r="AV16" s="143"/>
      <c r="AW16" s="143"/>
      <c r="AX16" s="141"/>
      <c r="AY16" s="141"/>
      <c r="AZ16" s="62">
        <f t="shared" si="14"/>
        <v>5.6</v>
      </c>
      <c r="BA16" s="121">
        <v>8.0</v>
      </c>
      <c r="BB16" s="123">
        <f>'PROY. INTER'!AX16</f>
        <v>2</v>
      </c>
      <c r="BC16" s="62">
        <f t="shared" si="15"/>
        <v>5</v>
      </c>
      <c r="BD16" s="62">
        <f t="shared" si="16"/>
        <v>1.5</v>
      </c>
      <c r="BE16" s="64">
        <f t="shared" si="17"/>
        <v>7.1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8</v>
      </c>
      <c r="CQ16" s="129">
        <f t="shared" si="25"/>
        <v>7.1</v>
      </c>
      <c r="CR16" s="129">
        <f t="shared" si="26"/>
        <v>0</v>
      </c>
      <c r="CS16" s="130">
        <f t="shared" si="27"/>
        <v>5.03</v>
      </c>
      <c r="CT16" s="131" t="str">
        <f t="shared" si="28"/>
        <v>SUPLETORIO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5.03</v>
      </c>
      <c r="DB16" s="136"/>
      <c r="DC16" s="137">
        <f t="shared" si="31"/>
        <v>5.03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77"/>
      <c r="E17" s="177"/>
      <c r="F17" s="184">
        <v>6.0</v>
      </c>
      <c r="G17" s="185"/>
      <c r="H17" s="180">
        <v>7.0</v>
      </c>
      <c r="I17" s="177"/>
      <c r="J17" s="184">
        <v>9.0</v>
      </c>
      <c r="K17" s="185"/>
      <c r="L17" s="181"/>
      <c r="M17" s="181"/>
      <c r="N17" s="186"/>
      <c r="O17" s="182"/>
      <c r="P17" s="187"/>
      <c r="Q17" s="187"/>
      <c r="R17" s="143"/>
      <c r="S17" s="143"/>
      <c r="T17" s="141"/>
      <c r="U17" s="141"/>
      <c r="V17" s="62">
        <f t="shared" si="9"/>
        <v>5.131</v>
      </c>
      <c r="W17" s="183">
        <v>7.0</v>
      </c>
      <c r="X17" s="123">
        <f>'PROY. INTER'!W17</f>
        <v>9.87</v>
      </c>
      <c r="Y17" s="62">
        <f t="shared" si="10"/>
        <v>8.435</v>
      </c>
      <c r="Z17" s="62">
        <f t="shared" si="11"/>
        <v>2.5305</v>
      </c>
      <c r="AA17" s="64">
        <f t="shared" si="12"/>
        <v>7.66</v>
      </c>
      <c r="AC17" s="2"/>
      <c r="AE17" s="56">
        <v>6.0</v>
      </c>
      <c r="AF17" s="124" t="str">
        <f t="shared" ref="AF17:AG17" si="45">B17</f>
        <v/>
      </c>
      <c r="AG17" s="188" t="str">
        <f t="shared" si="45"/>
        <v>Cantos Zúñiga a Hernán Snayder</v>
      </c>
      <c r="AH17" s="140"/>
      <c r="AI17" s="140"/>
      <c r="AJ17" s="139">
        <v>8.0</v>
      </c>
      <c r="AK17" s="140"/>
      <c r="AL17" s="139">
        <v>8.0</v>
      </c>
      <c r="AM17" s="120"/>
      <c r="AN17" s="139">
        <v>7.0</v>
      </c>
      <c r="AO17" s="140"/>
      <c r="AP17" s="62"/>
      <c r="AQ17" s="62"/>
      <c r="AR17" s="143"/>
      <c r="AS17" s="143"/>
      <c r="AT17" s="143"/>
      <c r="AU17" s="143"/>
      <c r="AV17" s="143"/>
      <c r="AW17" s="143"/>
      <c r="AX17" s="141"/>
      <c r="AY17" s="141"/>
      <c r="AZ17" s="62">
        <f t="shared" si="14"/>
        <v>5.362</v>
      </c>
      <c r="BA17" s="121">
        <v>8.0</v>
      </c>
      <c r="BB17" s="123">
        <f>'PROY. INTER'!AX17</f>
        <v>10</v>
      </c>
      <c r="BC17" s="62">
        <f t="shared" si="15"/>
        <v>9</v>
      </c>
      <c r="BD17" s="62">
        <f t="shared" si="16"/>
        <v>2.7</v>
      </c>
      <c r="BE17" s="64">
        <f t="shared" si="17"/>
        <v>8.06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7.66</v>
      </c>
      <c r="CQ17" s="129">
        <f t="shared" si="25"/>
        <v>8.06</v>
      </c>
      <c r="CR17" s="129">
        <f t="shared" si="26"/>
        <v>0</v>
      </c>
      <c r="CS17" s="130">
        <f t="shared" si="27"/>
        <v>5.24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5.24</v>
      </c>
      <c r="DB17" s="136"/>
      <c r="DC17" s="137">
        <f t="shared" si="31"/>
        <v>5.24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77"/>
      <c r="E18" s="177"/>
      <c r="F18" s="184">
        <v>8.0</v>
      </c>
      <c r="G18" s="185"/>
      <c r="H18" s="180">
        <v>9.0</v>
      </c>
      <c r="I18" s="177"/>
      <c r="J18" s="184">
        <v>10.0</v>
      </c>
      <c r="K18" s="185"/>
      <c r="L18" s="181"/>
      <c r="M18" s="181"/>
      <c r="N18" s="186"/>
      <c r="O18" s="182"/>
      <c r="P18" s="187"/>
      <c r="Q18" s="187"/>
      <c r="R18" s="143"/>
      <c r="S18" s="143"/>
      <c r="T18" s="141"/>
      <c r="U18" s="141"/>
      <c r="V18" s="62">
        <f t="shared" si="9"/>
        <v>6.3</v>
      </c>
      <c r="W18" s="183">
        <v>9.0</v>
      </c>
      <c r="X18" s="123">
        <f>'PROY. INTER'!W18</f>
        <v>9</v>
      </c>
      <c r="Y18" s="62">
        <f t="shared" si="10"/>
        <v>9</v>
      </c>
      <c r="Z18" s="62">
        <f t="shared" si="11"/>
        <v>2.7</v>
      </c>
      <c r="AA18" s="64">
        <f t="shared" si="12"/>
        <v>9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40"/>
      <c r="AI18" s="140"/>
      <c r="AJ18" s="139">
        <v>8.0</v>
      </c>
      <c r="AK18" s="140"/>
      <c r="AL18" s="139">
        <v>8.0</v>
      </c>
      <c r="AM18" s="120"/>
      <c r="AN18" s="139">
        <v>8.0</v>
      </c>
      <c r="AO18" s="140"/>
      <c r="AP18" s="62"/>
      <c r="AQ18" s="62"/>
      <c r="AR18" s="143"/>
      <c r="AS18" s="143"/>
      <c r="AT18" s="143"/>
      <c r="AU18" s="143"/>
      <c r="AV18" s="143"/>
      <c r="AW18" s="143"/>
      <c r="AX18" s="141"/>
      <c r="AY18" s="141"/>
      <c r="AZ18" s="62">
        <f t="shared" si="14"/>
        <v>5.6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7.1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</v>
      </c>
      <c r="CQ18" s="129">
        <f t="shared" si="25"/>
        <v>7.1</v>
      </c>
      <c r="CR18" s="129">
        <f t="shared" si="26"/>
        <v>0</v>
      </c>
      <c r="CS18" s="130">
        <f t="shared" si="27"/>
        <v>5.36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5.36</v>
      </c>
      <c r="DB18" s="136"/>
      <c r="DC18" s="137">
        <f t="shared" si="31"/>
        <v>5.36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77"/>
      <c r="E19" s="177"/>
      <c r="F19" s="184">
        <v>8.0</v>
      </c>
      <c r="G19" s="185"/>
      <c r="H19" s="180">
        <v>8.0</v>
      </c>
      <c r="I19" s="177"/>
      <c r="J19" s="184">
        <v>8.0</v>
      </c>
      <c r="K19" s="185"/>
      <c r="L19" s="181"/>
      <c r="M19" s="181"/>
      <c r="N19" s="186"/>
      <c r="O19" s="182"/>
      <c r="P19" s="187"/>
      <c r="Q19" s="187"/>
      <c r="R19" s="143"/>
      <c r="S19" s="143"/>
      <c r="T19" s="141"/>
      <c r="U19" s="141"/>
      <c r="V19" s="62">
        <f t="shared" si="9"/>
        <v>5.6</v>
      </c>
      <c r="W19" s="183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8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40"/>
      <c r="AI19" s="140"/>
      <c r="AJ19" s="139">
        <v>8.0</v>
      </c>
      <c r="AK19" s="140"/>
      <c r="AL19" s="139">
        <v>8.0</v>
      </c>
      <c r="AM19" s="120"/>
      <c r="AN19" s="139">
        <v>8.0</v>
      </c>
      <c r="AO19" s="140"/>
      <c r="AP19" s="62"/>
      <c r="AQ19" s="62"/>
      <c r="AR19" s="143"/>
      <c r="AS19" s="143"/>
      <c r="AT19" s="143"/>
      <c r="AU19" s="143"/>
      <c r="AV19" s="143"/>
      <c r="AW19" s="143"/>
      <c r="AX19" s="141"/>
      <c r="AY19" s="141"/>
      <c r="AZ19" s="62">
        <f t="shared" si="14"/>
        <v>5.6</v>
      </c>
      <c r="BA19" s="121">
        <v>8.0</v>
      </c>
      <c r="BB19" s="123">
        <f>'PROY. INTER'!AX19</f>
        <v>2</v>
      </c>
      <c r="BC19" s="62">
        <f t="shared" si="15"/>
        <v>5</v>
      </c>
      <c r="BD19" s="62">
        <f t="shared" si="16"/>
        <v>1.5</v>
      </c>
      <c r="BE19" s="64">
        <f t="shared" si="17"/>
        <v>7.1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8</v>
      </c>
      <c r="CQ19" s="129">
        <f t="shared" si="25"/>
        <v>7.1</v>
      </c>
      <c r="CR19" s="129">
        <f t="shared" si="26"/>
        <v>0</v>
      </c>
      <c r="CS19" s="130">
        <f t="shared" si="27"/>
        <v>5.03</v>
      </c>
      <c r="CT19" s="131" t="str">
        <f t="shared" si="28"/>
        <v>SUPLETORIO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5.03</v>
      </c>
      <c r="DB19" s="136"/>
      <c r="DC19" s="137">
        <f t="shared" si="31"/>
        <v>5.03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77"/>
      <c r="E20" s="177"/>
      <c r="F20" s="184">
        <v>6.0</v>
      </c>
      <c r="G20" s="185"/>
      <c r="H20" s="180">
        <v>6.0</v>
      </c>
      <c r="I20" s="177"/>
      <c r="J20" s="184">
        <v>8.0</v>
      </c>
      <c r="K20" s="185"/>
      <c r="L20" s="181"/>
      <c r="M20" s="181"/>
      <c r="N20" s="186"/>
      <c r="O20" s="182"/>
      <c r="P20" s="187"/>
      <c r="Q20" s="187"/>
      <c r="R20" s="143"/>
      <c r="S20" s="143"/>
      <c r="T20" s="141"/>
      <c r="U20" s="141"/>
      <c r="V20" s="62">
        <f t="shared" si="9"/>
        <v>4.662</v>
      </c>
      <c r="W20" s="183">
        <v>7.0</v>
      </c>
      <c r="X20" s="123">
        <f>'PROY. INTER'!W20</f>
        <v>6</v>
      </c>
      <c r="Y20" s="62">
        <f t="shared" si="10"/>
        <v>6.5</v>
      </c>
      <c r="Z20" s="62">
        <f t="shared" si="11"/>
        <v>1.95</v>
      </c>
      <c r="AA20" s="64">
        <f t="shared" si="12"/>
        <v>6.61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40"/>
      <c r="AI20" s="140"/>
      <c r="AJ20" s="139">
        <v>8.0</v>
      </c>
      <c r="AK20" s="140"/>
      <c r="AL20" s="139">
        <v>7.0</v>
      </c>
      <c r="AM20" s="120"/>
      <c r="AN20" s="139">
        <v>7.0</v>
      </c>
      <c r="AO20" s="140"/>
      <c r="AP20" s="62"/>
      <c r="AQ20" s="62"/>
      <c r="AR20" s="143"/>
      <c r="AS20" s="143"/>
      <c r="AT20" s="143"/>
      <c r="AU20" s="143"/>
      <c r="AV20" s="143"/>
      <c r="AW20" s="143"/>
      <c r="AX20" s="141"/>
      <c r="AY20" s="141"/>
      <c r="AZ20" s="62">
        <f t="shared" si="14"/>
        <v>5.131</v>
      </c>
      <c r="BA20" s="121">
        <v>8.0</v>
      </c>
      <c r="BB20" s="123">
        <f>'PROY. INTER'!AX20</f>
        <v>10</v>
      </c>
      <c r="BC20" s="62">
        <f t="shared" si="15"/>
        <v>9</v>
      </c>
      <c r="BD20" s="62">
        <f t="shared" si="16"/>
        <v>2.7</v>
      </c>
      <c r="BE20" s="64">
        <f t="shared" si="17"/>
        <v>7.83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6.61</v>
      </c>
      <c r="CQ20" s="129">
        <f t="shared" si="25"/>
        <v>7.83</v>
      </c>
      <c r="CR20" s="129">
        <f t="shared" si="26"/>
        <v>0</v>
      </c>
      <c r="CS20" s="130">
        <f t="shared" si="27"/>
        <v>4.81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4.81</v>
      </c>
      <c r="DB20" s="136"/>
      <c r="DC20" s="137">
        <f t="shared" si="31"/>
        <v>4.81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77"/>
      <c r="E21" s="177"/>
      <c r="F21" s="184">
        <v>6.0</v>
      </c>
      <c r="G21" s="185"/>
      <c r="H21" s="180">
        <v>5.0</v>
      </c>
      <c r="I21" s="177"/>
      <c r="J21" s="184">
        <v>8.0</v>
      </c>
      <c r="K21" s="185"/>
      <c r="L21" s="181"/>
      <c r="M21" s="181"/>
      <c r="N21" s="186"/>
      <c r="O21" s="182"/>
      <c r="P21" s="187"/>
      <c r="Q21" s="187"/>
      <c r="R21" s="143"/>
      <c r="S21" s="143"/>
      <c r="T21" s="141"/>
      <c r="U21" s="141"/>
      <c r="V21" s="62">
        <f t="shared" si="9"/>
        <v>4.431</v>
      </c>
      <c r="W21" s="183">
        <v>7.0</v>
      </c>
      <c r="X21" s="123">
        <f>'PROY. INTER'!W21</f>
        <v>6</v>
      </c>
      <c r="Y21" s="62">
        <f t="shared" si="10"/>
        <v>6.5</v>
      </c>
      <c r="Z21" s="62">
        <f t="shared" si="11"/>
        <v>1.95</v>
      </c>
      <c r="AA21" s="189">
        <v>6.0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40"/>
      <c r="AI21" s="140"/>
      <c r="AJ21" s="139">
        <v>8.0</v>
      </c>
      <c r="AK21" s="140"/>
      <c r="AL21" s="139">
        <v>8.0</v>
      </c>
      <c r="AM21" s="120"/>
      <c r="AN21" s="139">
        <v>8.0</v>
      </c>
      <c r="AO21" s="140"/>
      <c r="AP21" s="62"/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5.6</v>
      </c>
      <c r="BA21" s="121">
        <v>8.0</v>
      </c>
      <c r="BB21" s="123">
        <f>'PROY. INTER'!AX21</f>
        <v>2</v>
      </c>
      <c r="BC21" s="62">
        <f t="shared" si="15"/>
        <v>5</v>
      </c>
      <c r="BD21" s="62">
        <f t="shared" si="16"/>
        <v>1.5</v>
      </c>
      <c r="BE21" s="64">
        <f t="shared" si="17"/>
        <v>7.1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</v>
      </c>
      <c r="CQ21" s="129">
        <f t="shared" si="25"/>
        <v>7.1</v>
      </c>
      <c r="CR21" s="129">
        <f t="shared" si="26"/>
        <v>0</v>
      </c>
      <c r="CS21" s="130">
        <f t="shared" si="27"/>
        <v>4.36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4.36</v>
      </c>
      <c r="DB21" s="136"/>
      <c r="DC21" s="137">
        <f t="shared" si="31"/>
        <v>4.36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77"/>
      <c r="E22" s="177"/>
      <c r="F22" s="184">
        <v>9.0</v>
      </c>
      <c r="G22" s="185"/>
      <c r="H22" s="180">
        <v>9.0</v>
      </c>
      <c r="I22" s="177"/>
      <c r="J22" s="184">
        <v>9.0</v>
      </c>
      <c r="K22" s="185"/>
      <c r="L22" s="181"/>
      <c r="M22" s="181"/>
      <c r="N22" s="186"/>
      <c r="O22" s="182"/>
      <c r="P22" s="187"/>
      <c r="Q22" s="187"/>
      <c r="R22" s="143"/>
      <c r="S22" s="143"/>
      <c r="T22" s="141"/>
      <c r="U22" s="141"/>
      <c r="V22" s="62">
        <f t="shared" si="9"/>
        <v>6.3</v>
      </c>
      <c r="W22" s="183">
        <v>9.0</v>
      </c>
      <c r="X22" s="123">
        <f>'PROY. INTER'!W22</f>
        <v>10</v>
      </c>
      <c r="Y22" s="62">
        <f t="shared" si="10"/>
        <v>9.5</v>
      </c>
      <c r="Z22" s="62">
        <f t="shared" si="11"/>
        <v>2.85</v>
      </c>
      <c r="AA22" s="64">
        <f t="shared" ref="AA22:AA61" si="69">IFERROR(TRUNC(SUM(V22+Z22),2),"")</f>
        <v>9.15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40"/>
      <c r="AI22" s="140"/>
      <c r="AJ22" s="139">
        <v>10.0</v>
      </c>
      <c r="AK22" s="140"/>
      <c r="AL22" s="139">
        <v>10.0</v>
      </c>
      <c r="AM22" s="120"/>
      <c r="AN22" s="139">
        <v>9.0</v>
      </c>
      <c r="AO22" s="140"/>
      <c r="AP22" s="62"/>
      <c r="AQ22" s="62"/>
      <c r="AR22" s="143"/>
      <c r="AS22" s="143"/>
      <c r="AT22" s="143"/>
      <c r="AU22" s="143"/>
      <c r="AV22" s="143"/>
      <c r="AW22" s="143"/>
      <c r="AX22" s="141"/>
      <c r="AY22" s="141"/>
      <c r="AZ22" s="62">
        <f t="shared" si="14"/>
        <v>6.762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9.76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9.15</v>
      </c>
      <c r="CQ22" s="129">
        <f t="shared" si="25"/>
        <v>9.76</v>
      </c>
      <c r="CR22" s="129">
        <f t="shared" si="26"/>
        <v>0</v>
      </c>
      <c r="CS22" s="130">
        <f t="shared" si="27"/>
        <v>6.3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6.3</v>
      </c>
      <c r="DB22" s="136"/>
      <c r="DC22" s="137">
        <f t="shared" si="31"/>
        <v>6.3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77"/>
      <c r="E23" s="177"/>
      <c r="F23" s="184">
        <v>6.0</v>
      </c>
      <c r="G23" s="185"/>
      <c r="H23" s="180">
        <v>9.0</v>
      </c>
      <c r="I23" s="177"/>
      <c r="J23" s="184">
        <v>10.0</v>
      </c>
      <c r="K23" s="185"/>
      <c r="L23" s="181"/>
      <c r="M23" s="181"/>
      <c r="N23" s="186"/>
      <c r="O23" s="182"/>
      <c r="P23" s="187"/>
      <c r="Q23" s="187"/>
      <c r="R23" s="143"/>
      <c r="S23" s="143"/>
      <c r="T23" s="141"/>
      <c r="U23" s="141"/>
      <c r="V23" s="62">
        <f t="shared" si="9"/>
        <v>5.831</v>
      </c>
      <c r="W23" s="183">
        <v>9.0</v>
      </c>
      <c r="X23" s="123">
        <f>'PROY. INTER'!W23</f>
        <v>7.2</v>
      </c>
      <c r="Y23" s="62">
        <f t="shared" si="10"/>
        <v>8.1</v>
      </c>
      <c r="Z23" s="62">
        <f t="shared" si="11"/>
        <v>2.43</v>
      </c>
      <c r="AA23" s="64">
        <f t="shared" si="69"/>
        <v>8.26</v>
      </c>
      <c r="AC23" s="2"/>
      <c r="AE23" s="56">
        <v>12.0</v>
      </c>
      <c r="AF23" s="124" t="str">
        <f t="shared" ref="AF23:AG23" si="70">B23</f>
        <v/>
      </c>
      <c r="AG23" s="125" t="str">
        <f t="shared" si="70"/>
        <v>Espinoza Morante Melany Ginger</v>
      </c>
      <c r="AH23" s="140"/>
      <c r="AI23" s="140"/>
      <c r="AJ23" s="139">
        <v>7.0</v>
      </c>
      <c r="AK23" s="140"/>
      <c r="AL23" s="139">
        <v>7.0</v>
      </c>
      <c r="AM23" s="120"/>
      <c r="AN23" s="139">
        <v>8.0</v>
      </c>
      <c r="AO23" s="140"/>
      <c r="AP23" s="62"/>
      <c r="AQ23" s="62"/>
      <c r="AR23" s="143"/>
      <c r="AS23" s="143"/>
      <c r="AT23" s="143"/>
      <c r="AU23" s="143"/>
      <c r="AV23" s="143"/>
      <c r="AW23" s="143"/>
      <c r="AX23" s="141"/>
      <c r="AY23" s="141"/>
      <c r="AZ23" s="62">
        <f t="shared" si="14"/>
        <v>5.131</v>
      </c>
      <c r="BA23" s="121">
        <v>7.0</v>
      </c>
      <c r="BB23" s="123">
        <f>'PROY. INTER'!AX23</f>
        <v>10</v>
      </c>
      <c r="BC23" s="62">
        <f t="shared" si="15"/>
        <v>8.5</v>
      </c>
      <c r="BD23" s="62">
        <f t="shared" si="16"/>
        <v>2.55</v>
      </c>
      <c r="BE23" s="64">
        <f t="shared" si="17"/>
        <v>7.68</v>
      </c>
      <c r="BG23" s="2"/>
      <c r="BI23" s="56">
        <v>12.0</v>
      </c>
      <c r="BJ23" s="124" t="str">
        <f t="shared" ref="BJ23:BK23" si="71">B23</f>
        <v/>
      </c>
      <c r="BK23" s="125" t="str">
        <f t="shared" si="71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2">B23</f>
        <v/>
      </c>
      <c r="CO23" s="128" t="str">
        <f t="shared" si="72"/>
        <v>Espinoza Morante Melany Ginger</v>
      </c>
      <c r="CP23" s="129">
        <f t="shared" si="24"/>
        <v>8.26</v>
      </c>
      <c r="CQ23" s="129">
        <f t="shared" si="25"/>
        <v>7.68</v>
      </c>
      <c r="CR23" s="129">
        <f t="shared" si="26"/>
        <v>0</v>
      </c>
      <c r="CS23" s="130">
        <f t="shared" si="27"/>
        <v>5.31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3">B23</f>
        <v/>
      </c>
      <c r="CZ23" s="134" t="str">
        <f t="shared" si="73"/>
        <v>Espinoza Morante Melany Ginger</v>
      </c>
      <c r="DA23" s="135">
        <f t="shared" si="30"/>
        <v>5.31</v>
      </c>
      <c r="DB23" s="136"/>
      <c r="DC23" s="137">
        <f t="shared" si="31"/>
        <v>5.31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77"/>
      <c r="E24" s="177"/>
      <c r="F24" s="184">
        <v>9.0</v>
      </c>
      <c r="G24" s="185"/>
      <c r="H24" s="180">
        <v>9.0</v>
      </c>
      <c r="I24" s="177"/>
      <c r="J24" s="184">
        <v>9.0</v>
      </c>
      <c r="K24" s="185"/>
      <c r="L24" s="181"/>
      <c r="M24" s="181"/>
      <c r="N24" s="186"/>
      <c r="O24" s="182"/>
      <c r="P24" s="187"/>
      <c r="Q24" s="187"/>
      <c r="R24" s="143"/>
      <c r="S24" s="143"/>
      <c r="T24" s="141"/>
      <c r="U24" s="141"/>
      <c r="V24" s="62">
        <f t="shared" si="9"/>
        <v>6.3</v>
      </c>
      <c r="W24" s="183">
        <v>9.0</v>
      </c>
      <c r="X24" s="123">
        <f>'PROY. INTER'!W24</f>
        <v>9</v>
      </c>
      <c r="Y24" s="62">
        <f t="shared" si="10"/>
        <v>9</v>
      </c>
      <c r="Z24" s="62">
        <f t="shared" si="11"/>
        <v>2.7</v>
      </c>
      <c r="AA24" s="64">
        <f t="shared" si="69"/>
        <v>9</v>
      </c>
      <c r="AC24" s="2"/>
      <c r="AE24" s="56">
        <v>13.0</v>
      </c>
      <c r="AF24" s="124" t="str">
        <f t="shared" ref="AF24:AG24" si="74">B24</f>
        <v/>
      </c>
      <c r="AG24" s="125" t="str">
        <f t="shared" si="74"/>
        <v>Garrido franco Génesis Lissette</v>
      </c>
      <c r="AH24" s="140"/>
      <c r="AI24" s="140"/>
      <c r="AJ24" s="139">
        <v>9.0</v>
      </c>
      <c r="AK24" s="140"/>
      <c r="AL24" s="139">
        <v>8.0</v>
      </c>
      <c r="AM24" s="120"/>
      <c r="AN24" s="139">
        <v>9.0</v>
      </c>
      <c r="AO24" s="140"/>
      <c r="AP24" s="62"/>
      <c r="AQ24" s="62"/>
      <c r="AR24" s="143"/>
      <c r="AS24" s="143"/>
      <c r="AT24" s="143"/>
      <c r="AU24" s="143"/>
      <c r="AV24" s="143"/>
      <c r="AW24" s="143"/>
      <c r="AX24" s="141"/>
      <c r="AY24" s="141"/>
      <c r="AZ24" s="62">
        <f t="shared" si="14"/>
        <v>6.062</v>
      </c>
      <c r="BA24" s="121">
        <v>8.0</v>
      </c>
      <c r="BB24" s="123">
        <f>'PROY. INTER'!AX24</f>
        <v>10</v>
      </c>
      <c r="BC24" s="62">
        <f t="shared" si="15"/>
        <v>9</v>
      </c>
      <c r="BD24" s="62">
        <f t="shared" si="16"/>
        <v>2.7</v>
      </c>
      <c r="BE24" s="64">
        <f t="shared" si="17"/>
        <v>8.76</v>
      </c>
      <c r="BG24" s="2"/>
      <c r="BI24" s="56">
        <v>13.0</v>
      </c>
      <c r="BJ24" s="124" t="str">
        <f t="shared" ref="BJ24:BK24" si="75">B24</f>
        <v/>
      </c>
      <c r="BK24" s="125" t="str">
        <f t="shared" si="75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6">B24</f>
        <v/>
      </c>
      <c r="CO24" s="128" t="str">
        <f t="shared" si="76"/>
        <v>Garrido franco Génesis Lissette</v>
      </c>
      <c r="CP24" s="129">
        <f t="shared" si="24"/>
        <v>9</v>
      </c>
      <c r="CQ24" s="129">
        <f t="shared" si="25"/>
        <v>8.76</v>
      </c>
      <c r="CR24" s="129">
        <f t="shared" si="26"/>
        <v>0</v>
      </c>
      <c r="CS24" s="130">
        <f t="shared" si="27"/>
        <v>5.92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7">B24</f>
        <v/>
      </c>
      <c r="CZ24" s="134" t="str">
        <f t="shared" si="77"/>
        <v>Garrido franco Génesis Lissette</v>
      </c>
      <c r="DA24" s="135">
        <f t="shared" si="30"/>
        <v>5.92</v>
      </c>
      <c r="DB24" s="136"/>
      <c r="DC24" s="137">
        <f t="shared" si="31"/>
        <v>5.92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79"/>
      <c r="E25" s="179"/>
      <c r="F25" s="184">
        <v>6.0</v>
      </c>
      <c r="G25" s="185"/>
      <c r="H25" s="178">
        <v>6.0</v>
      </c>
      <c r="I25" s="179"/>
      <c r="J25" s="184">
        <v>6.0</v>
      </c>
      <c r="K25" s="185"/>
      <c r="L25" s="181"/>
      <c r="M25" s="181"/>
      <c r="N25" s="186"/>
      <c r="O25" s="181"/>
      <c r="P25" s="186"/>
      <c r="Q25" s="186"/>
      <c r="R25" s="143"/>
      <c r="S25" s="143"/>
      <c r="T25" s="141"/>
      <c r="U25" s="141"/>
      <c r="V25" s="62">
        <f t="shared" si="9"/>
        <v>4.2</v>
      </c>
      <c r="W25" s="183">
        <v>7.0</v>
      </c>
      <c r="X25" s="123">
        <f>'PROY. INTER'!W25</f>
        <v>6</v>
      </c>
      <c r="Y25" s="62">
        <f t="shared" si="10"/>
        <v>6.5</v>
      </c>
      <c r="Z25" s="62">
        <f t="shared" si="11"/>
        <v>1.95</v>
      </c>
      <c r="AA25" s="64">
        <f t="shared" si="69"/>
        <v>6.15</v>
      </c>
      <c r="AC25" s="2"/>
      <c r="AE25" s="56">
        <v>14.0</v>
      </c>
      <c r="AF25" s="124" t="str">
        <f t="shared" ref="AF25:AG25" si="78">B25</f>
        <v/>
      </c>
      <c r="AG25" s="125" t="str">
        <f t="shared" si="78"/>
        <v>Gonzalez Gonzalez Jean Carlos</v>
      </c>
      <c r="AH25" s="140"/>
      <c r="AI25" s="140"/>
      <c r="AJ25" s="139">
        <v>8.0</v>
      </c>
      <c r="AK25" s="140"/>
      <c r="AL25" s="139">
        <v>8.0</v>
      </c>
      <c r="AM25" s="120"/>
      <c r="AN25" s="139">
        <v>8.0</v>
      </c>
      <c r="AO25" s="140"/>
      <c r="AP25" s="62"/>
      <c r="AQ25" s="62"/>
      <c r="AR25" s="143"/>
      <c r="AS25" s="143"/>
      <c r="AT25" s="143"/>
      <c r="AU25" s="143"/>
      <c r="AV25" s="143"/>
      <c r="AW25" s="143"/>
      <c r="AX25" s="141"/>
      <c r="AY25" s="141"/>
      <c r="AZ25" s="62">
        <f t="shared" si="14"/>
        <v>5.6</v>
      </c>
      <c r="BA25" s="121">
        <v>8.0</v>
      </c>
      <c r="BB25" s="123">
        <f>'PROY. INTER'!AX25</f>
        <v>10</v>
      </c>
      <c r="BC25" s="62">
        <f t="shared" si="15"/>
        <v>9</v>
      </c>
      <c r="BD25" s="62">
        <f t="shared" si="16"/>
        <v>2.7</v>
      </c>
      <c r="BE25" s="64">
        <f t="shared" si="17"/>
        <v>8.3</v>
      </c>
      <c r="BG25" s="2"/>
      <c r="BI25" s="56">
        <v>14.0</v>
      </c>
      <c r="BJ25" s="124" t="str">
        <f t="shared" ref="BJ25:BK25" si="79">B25</f>
        <v/>
      </c>
      <c r="BK25" s="125" t="str">
        <f t="shared" si="79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80">B25</f>
        <v/>
      </c>
      <c r="CO25" s="128" t="str">
        <f t="shared" si="80"/>
        <v>Gonzalez Gonzalez Jean Carlos</v>
      </c>
      <c r="CP25" s="129">
        <f t="shared" si="24"/>
        <v>6.15</v>
      </c>
      <c r="CQ25" s="129">
        <f t="shared" si="25"/>
        <v>8.3</v>
      </c>
      <c r="CR25" s="129">
        <f t="shared" si="26"/>
        <v>0</v>
      </c>
      <c r="CS25" s="130">
        <f t="shared" si="27"/>
        <v>4.81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1">B25</f>
        <v/>
      </c>
      <c r="CZ25" s="134" t="str">
        <f t="shared" si="81"/>
        <v>Gonzalez Gonzalez Jean Carlos</v>
      </c>
      <c r="DA25" s="135">
        <f t="shared" si="30"/>
        <v>4.81</v>
      </c>
      <c r="DB25" s="136"/>
      <c r="DC25" s="137">
        <f t="shared" si="31"/>
        <v>4.81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77"/>
      <c r="E26" s="177"/>
      <c r="F26" s="184">
        <v>6.0</v>
      </c>
      <c r="G26" s="185"/>
      <c r="H26" s="180">
        <v>8.0</v>
      </c>
      <c r="I26" s="177"/>
      <c r="J26" s="184">
        <v>9.5</v>
      </c>
      <c r="K26" s="185"/>
      <c r="L26" s="181"/>
      <c r="M26" s="181"/>
      <c r="N26" s="186"/>
      <c r="O26" s="182"/>
      <c r="P26" s="187"/>
      <c r="Q26" s="187"/>
      <c r="R26" s="143"/>
      <c r="S26" s="143"/>
      <c r="T26" s="141"/>
      <c r="U26" s="141"/>
      <c r="V26" s="62">
        <f t="shared" si="9"/>
        <v>5.481</v>
      </c>
      <c r="W26" s="183">
        <v>7.0</v>
      </c>
      <c r="X26" s="123">
        <f>'PROY. INTER'!W26</f>
        <v>7.73</v>
      </c>
      <c r="Y26" s="62">
        <f t="shared" si="10"/>
        <v>7.365</v>
      </c>
      <c r="Z26" s="62">
        <f t="shared" si="11"/>
        <v>2.2095</v>
      </c>
      <c r="AA26" s="64">
        <f t="shared" si="69"/>
        <v>7.69</v>
      </c>
      <c r="AC26" s="2"/>
      <c r="AE26" s="56">
        <v>15.0</v>
      </c>
      <c r="AF26" s="124" t="str">
        <f t="shared" ref="AF26:AG26" si="82">B26</f>
        <v/>
      </c>
      <c r="AG26" s="125" t="str">
        <f t="shared" si="82"/>
        <v>Guevara Benites Jean Pierre</v>
      </c>
      <c r="AH26" s="140"/>
      <c r="AI26" s="140"/>
      <c r="AJ26" s="139">
        <v>8.0</v>
      </c>
      <c r="AK26" s="140"/>
      <c r="AL26" s="139">
        <v>8.0</v>
      </c>
      <c r="AM26" s="120"/>
      <c r="AN26" s="139">
        <v>9.0</v>
      </c>
      <c r="AO26" s="140"/>
      <c r="AP26" s="62"/>
      <c r="AQ26" s="62"/>
      <c r="AR26" s="143"/>
      <c r="AS26" s="143"/>
      <c r="AT26" s="143"/>
      <c r="AU26" s="143"/>
      <c r="AV26" s="143"/>
      <c r="AW26" s="143"/>
      <c r="AX26" s="141"/>
      <c r="AY26" s="141"/>
      <c r="AZ26" s="62">
        <f t="shared" si="14"/>
        <v>5.831</v>
      </c>
      <c r="BA26" s="121">
        <v>8.0</v>
      </c>
      <c r="BB26" s="123">
        <f>'PROY. INTER'!AX26</f>
        <v>10</v>
      </c>
      <c r="BC26" s="62">
        <f t="shared" si="15"/>
        <v>9</v>
      </c>
      <c r="BD26" s="62">
        <f t="shared" si="16"/>
        <v>2.7</v>
      </c>
      <c r="BE26" s="64">
        <f t="shared" si="17"/>
        <v>8.53</v>
      </c>
      <c r="BG26" s="2"/>
      <c r="BI26" s="56">
        <v>15.0</v>
      </c>
      <c r="BJ26" s="124" t="str">
        <f t="shared" ref="BJ26:BK26" si="83">B26</f>
        <v/>
      </c>
      <c r="BK26" s="125" t="str">
        <f t="shared" si="83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4">B26</f>
        <v/>
      </c>
      <c r="CO26" s="128" t="str">
        <f t="shared" si="84"/>
        <v>Guevara Benites Jean Pierre</v>
      </c>
      <c r="CP26" s="129">
        <f t="shared" si="24"/>
        <v>7.69</v>
      </c>
      <c r="CQ26" s="129">
        <f t="shared" si="25"/>
        <v>8.53</v>
      </c>
      <c r="CR26" s="129">
        <f t="shared" si="26"/>
        <v>0</v>
      </c>
      <c r="CS26" s="130">
        <f t="shared" si="27"/>
        <v>5.4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5">B26</f>
        <v/>
      </c>
      <c r="CZ26" s="134" t="str">
        <f t="shared" si="85"/>
        <v>Guevara Benites Jean Pierre</v>
      </c>
      <c r="DA26" s="135">
        <f t="shared" si="30"/>
        <v>5.4</v>
      </c>
      <c r="DB26" s="136"/>
      <c r="DC26" s="137">
        <f t="shared" si="31"/>
        <v>5.4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77"/>
      <c r="E27" s="177"/>
      <c r="F27" s="184">
        <v>7.0</v>
      </c>
      <c r="G27" s="185"/>
      <c r="H27" s="180">
        <v>7.0</v>
      </c>
      <c r="I27" s="177"/>
      <c r="J27" s="184">
        <v>8.0</v>
      </c>
      <c r="K27" s="185"/>
      <c r="L27" s="181"/>
      <c r="M27" s="181"/>
      <c r="N27" s="186"/>
      <c r="O27" s="182"/>
      <c r="P27" s="187"/>
      <c r="Q27" s="187"/>
      <c r="R27" s="143"/>
      <c r="S27" s="143"/>
      <c r="T27" s="141"/>
      <c r="U27" s="141"/>
      <c r="V27" s="62">
        <f t="shared" si="9"/>
        <v>5.131</v>
      </c>
      <c r="W27" s="183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69"/>
        <v>7.08</v>
      </c>
      <c r="AC27" s="2"/>
      <c r="AE27" s="56">
        <v>16.0</v>
      </c>
      <c r="AF27" s="124" t="str">
        <f t="shared" ref="AF27:AG27" si="86">B27</f>
        <v/>
      </c>
      <c r="AG27" s="125" t="str">
        <f t="shared" si="86"/>
        <v>Mero Carcamo Adriana Carolina</v>
      </c>
      <c r="AH27" s="140"/>
      <c r="AI27" s="140"/>
      <c r="AJ27" s="139">
        <v>8.0</v>
      </c>
      <c r="AK27" s="140"/>
      <c r="AL27" s="139">
        <v>8.0</v>
      </c>
      <c r="AM27" s="120"/>
      <c r="AN27" s="139">
        <v>8.0</v>
      </c>
      <c r="AO27" s="140"/>
      <c r="AP27" s="62"/>
      <c r="AQ27" s="62"/>
      <c r="AR27" s="143"/>
      <c r="AS27" s="143"/>
      <c r="AT27" s="143"/>
      <c r="AU27" s="143"/>
      <c r="AV27" s="143"/>
      <c r="AW27" s="143"/>
      <c r="AX27" s="141"/>
      <c r="AY27" s="141"/>
      <c r="AZ27" s="62">
        <f t="shared" si="14"/>
        <v>5.6</v>
      </c>
      <c r="BA27" s="121">
        <v>8.0</v>
      </c>
      <c r="BB27" s="123">
        <f>'PROY. INTER'!AX27</f>
        <v>2</v>
      </c>
      <c r="BC27" s="62">
        <f t="shared" si="15"/>
        <v>5</v>
      </c>
      <c r="BD27" s="62">
        <f t="shared" si="16"/>
        <v>1.5</v>
      </c>
      <c r="BE27" s="64">
        <f t="shared" si="17"/>
        <v>7.1</v>
      </c>
      <c r="BG27" s="2"/>
      <c r="BI27" s="56">
        <v>16.0</v>
      </c>
      <c r="BJ27" s="124" t="str">
        <f t="shared" ref="BJ27:BK27" si="87">B27</f>
        <v/>
      </c>
      <c r="BK27" s="125" t="str">
        <f t="shared" si="87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8">B27</f>
        <v/>
      </c>
      <c r="CO27" s="128" t="str">
        <f t="shared" si="88"/>
        <v>Mero Carcamo Adriana Carolina</v>
      </c>
      <c r="CP27" s="129">
        <f t="shared" si="24"/>
        <v>7.08</v>
      </c>
      <c r="CQ27" s="129">
        <f t="shared" si="25"/>
        <v>7.1</v>
      </c>
      <c r="CR27" s="129">
        <f t="shared" si="26"/>
        <v>0</v>
      </c>
      <c r="CS27" s="130">
        <f t="shared" si="27"/>
        <v>4.72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9">B27</f>
        <v/>
      </c>
      <c r="CZ27" s="134" t="str">
        <f t="shared" si="89"/>
        <v>Mero Carcamo Adriana Carolina</v>
      </c>
      <c r="DA27" s="135">
        <f t="shared" si="30"/>
        <v>4.72</v>
      </c>
      <c r="DB27" s="136"/>
      <c r="DC27" s="137">
        <f t="shared" si="31"/>
        <v>4.72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77"/>
      <c r="E28" s="177"/>
      <c r="F28" s="184">
        <v>5.0</v>
      </c>
      <c r="G28" s="185"/>
      <c r="H28" s="180">
        <v>7.5</v>
      </c>
      <c r="I28" s="177"/>
      <c r="J28" s="184">
        <v>9.5</v>
      </c>
      <c r="K28" s="185"/>
      <c r="L28" s="181"/>
      <c r="M28" s="181"/>
      <c r="N28" s="186"/>
      <c r="O28" s="182"/>
      <c r="P28" s="187"/>
      <c r="Q28" s="187"/>
      <c r="R28" s="143"/>
      <c r="S28" s="143"/>
      <c r="T28" s="141"/>
      <c r="U28" s="141"/>
      <c r="V28" s="62">
        <f t="shared" si="9"/>
        <v>5.131</v>
      </c>
      <c r="W28" s="183">
        <v>7.0</v>
      </c>
      <c r="X28" s="123">
        <f>'PROY. INTER'!W28</f>
        <v>9.73</v>
      </c>
      <c r="Y28" s="62">
        <f t="shared" si="10"/>
        <v>8.365</v>
      </c>
      <c r="Z28" s="62">
        <f t="shared" si="11"/>
        <v>2.5095</v>
      </c>
      <c r="AA28" s="64">
        <f t="shared" si="69"/>
        <v>7.64</v>
      </c>
      <c r="AC28" s="2"/>
      <c r="AE28" s="56">
        <v>17.0</v>
      </c>
      <c r="AF28" s="124" t="str">
        <f t="shared" ref="AF28:AG28" si="90">B28</f>
        <v/>
      </c>
      <c r="AG28" s="125" t="str">
        <f t="shared" si="90"/>
        <v>Moreira Villamar Darwin Matias</v>
      </c>
      <c r="AH28" s="140"/>
      <c r="AI28" s="140"/>
      <c r="AJ28" s="139">
        <v>7.0</v>
      </c>
      <c r="AK28" s="140"/>
      <c r="AL28" s="139">
        <v>8.0</v>
      </c>
      <c r="AM28" s="120"/>
      <c r="AN28" s="139">
        <v>7.0</v>
      </c>
      <c r="AO28" s="140"/>
      <c r="AP28" s="62"/>
      <c r="AQ28" s="62"/>
      <c r="AR28" s="143"/>
      <c r="AS28" s="143"/>
      <c r="AT28" s="143"/>
      <c r="AU28" s="143"/>
      <c r="AV28" s="143"/>
      <c r="AW28" s="143"/>
      <c r="AX28" s="141"/>
      <c r="AY28" s="141"/>
      <c r="AZ28" s="62">
        <f t="shared" si="14"/>
        <v>5.131</v>
      </c>
      <c r="BA28" s="121">
        <v>8.0</v>
      </c>
      <c r="BB28" s="123">
        <f>'PROY. INTER'!AX28</f>
        <v>10</v>
      </c>
      <c r="BC28" s="62">
        <f t="shared" si="15"/>
        <v>9</v>
      </c>
      <c r="BD28" s="62">
        <f t="shared" si="16"/>
        <v>2.7</v>
      </c>
      <c r="BE28" s="64">
        <f t="shared" si="17"/>
        <v>7.83</v>
      </c>
      <c r="BG28" s="2"/>
      <c r="BI28" s="56">
        <v>17.0</v>
      </c>
      <c r="BJ28" s="124" t="str">
        <f t="shared" ref="BJ28:BK28" si="91">B28</f>
        <v/>
      </c>
      <c r="BK28" s="125" t="str">
        <f t="shared" si="91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2">B28</f>
        <v/>
      </c>
      <c r="CO28" s="128" t="str">
        <f t="shared" si="92"/>
        <v>Moreira Villamar Darwin Matias</v>
      </c>
      <c r="CP28" s="129">
        <f t="shared" si="24"/>
        <v>7.64</v>
      </c>
      <c r="CQ28" s="129">
        <f t="shared" si="25"/>
        <v>7.83</v>
      </c>
      <c r="CR28" s="129">
        <f t="shared" si="26"/>
        <v>0</v>
      </c>
      <c r="CS28" s="130">
        <f t="shared" si="27"/>
        <v>5.15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3">B28</f>
        <v/>
      </c>
      <c r="CZ28" s="134" t="str">
        <f t="shared" si="93"/>
        <v>Moreira Villamar Darwin Matias</v>
      </c>
      <c r="DA28" s="135">
        <f t="shared" si="30"/>
        <v>5.15</v>
      </c>
      <c r="DB28" s="136"/>
      <c r="DC28" s="137">
        <f t="shared" si="31"/>
        <v>5.15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77"/>
      <c r="E29" s="177"/>
      <c r="F29" s="184">
        <v>7.0</v>
      </c>
      <c r="G29" s="185"/>
      <c r="H29" s="180">
        <v>7.0</v>
      </c>
      <c r="I29" s="177"/>
      <c r="J29" s="184">
        <v>8.0</v>
      </c>
      <c r="K29" s="185"/>
      <c r="L29" s="181"/>
      <c r="M29" s="181"/>
      <c r="N29" s="186"/>
      <c r="O29" s="182"/>
      <c r="P29" s="187"/>
      <c r="Q29" s="187"/>
      <c r="R29" s="143"/>
      <c r="S29" s="143"/>
      <c r="T29" s="141"/>
      <c r="U29" s="141"/>
      <c r="V29" s="62">
        <f t="shared" si="9"/>
        <v>5.131</v>
      </c>
      <c r="W29" s="183">
        <v>8.0</v>
      </c>
      <c r="X29" s="123">
        <f>'PROY. INTER'!W29</f>
        <v>9.2</v>
      </c>
      <c r="Y29" s="62">
        <f t="shared" si="10"/>
        <v>8.6</v>
      </c>
      <c r="Z29" s="62">
        <f t="shared" si="11"/>
        <v>2.58</v>
      </c>
      <c r="AA29" s="64">
        <f t="shared" si="69"/>
        <v>7.71</v>
      </c>
      <c r="AC29" s="2"/>
      <c r="AE29" s="56">
        <v>18.0</v>
      </c>
      <c r="AF29" s="124" t="str">
        <f t="shared" ref="AF29:AG29" si="94">B29</f>
        <v/>
      </c>
      <c r="AG29" s="125" t="str">
        <f t="shared" si="94"/>
        <v>Peña Macias Enrique Alexander</v>
      </c>
      <c r="AH29" s="140"/>
      <c r="AI29" s="140"/>
      <c r="AJ29" s="139">
        <v>9.0</v>
      </c>
      <c r="AK29" s="140"/>
      <c r="AL29" s="139">
        <v>9.0</v>
      </c>
      <c r="AM29" s="120"/>
      <c r="AN29" s="139">
        <v>10.0</v>
      </c>
      <c r="AO29" s="140"/>
      <c r="AP29" s="62"/>
      <c r="AQ29" s="62"/>
      <c r="AR29" s="143"/>
      <c r="AS29" s="143"/>
      <c r="AT29" s="143"/>
      <c r="AU29" s="143"/>
      <c r="AV29" s="143"/>
      <c r="AW29" s="143"/>
      <c r="AX29" s="141"/>
      <c r="AY29" s="141"/>
      <c r="AZ29" s="62">
        <f t="shared" si="14"/>
        <v>6.531</v>
      </c>
      <c r="BA29" s="121">
        <v>9.0</v>
      </c>
      <c r="BB29" s="123">
        <f>'PROY. INTER'!AX29</f>
        <v>10</v>
      </c>
      <c r="BC29" s="62">
        <f t="shared" si="15"/>
        <v>9.5</v>
      </c>
      <c r="BD29" s="62">
        <f t="shared" si="16"/>
        <v>2.85</v>
      </c>
      <c r="BE29" s="64">
        <f t="shared" si="17"/>
        <v>9.38</v>
      </c>
      <c r="BG29" s="2"/>
      <c r="BI29" s="56">
        <v>18.0</v>
      </c>
      <c r="BJ29" s="124" t="str">
        <f t="shared" ref="BJ29:BK29" si="95">B29</f>
        <v/>
      </c>
      <c r="BK29" s="125" t="str">
        <f t="shared" si="95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6">B29</f>
        <v/>
      </c>
      <c r="CO29" s="128" t="str">
        <f t="shared" si="96"/>
        <v>Peña Macias Enrique Alexander</v>
      </c>
      <c r="CP29" s="129">
        <f t="shared" si="24"/>
        <v>7.71</v>
      </c>
      <c r="CQ29" s="129">
        <f t="shared" si="25"/>
        <v>9.38</v>
      </c>
      <c r="CR29" s="129">
        <f t="shared" si="26"/>
        <v>0</v>
      </c>
      <c r="CS29" s="130">
        <f t="shared" si="27"/>
        <v>5.69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7">B29</f>
        <v/>
      </c>
      <c r="CZ29" s="134" t="str">
        <f t="shared" si="97"/>
        <v>Peña Macias Enrique Alexander</v>
      </c>
      <c r="DA29" s="135">
        <f t="shared" si="30"/>
        <v>5.69</v>
      </c>
      <c r="DB29" s="136"/>
      <c r="DC29" s="137">
        <f t="shared" si="31"/>
        <v>5.69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77"/>
      <c r="E30" s="177"/>
      <c r="F30" s="184">
        <v>5.0</v>
      </c>
      <c r="G30" s="185"/>
      <c r="H30" s="180">
        <v>8.0</v>
      </c>
      <c r="I30" s="177"/>
      <c r="J30" s="184">
        <v>8.0</v>
      </c>
      <c r="K30" s="185"/>
      <c r="L30" s="181"/>
      <c r="M30" s="181"/>
      <c r="N30" s="186"/>
      <c r="O30" s="182"/>
      <c r="P30" s="187"/>
      <c r="Q30" s="187"/>
      <c r="R30" s="143"/>
      <c r="S30" s="143"/>
      <c r="T30" s="141"/>
      <c r="U30" s="141"/>
      <c r="V30" s="62">
        <f t="shared" si="9"/>
        <v>4.9</v>
      </c>
      <c r="W30" s="183">
        <v>7.0</v>
      </c>
      <c r="X30" s="123">
        <f>'PROY. INTER'!W30</f>
        <v>9.47</v>
      </c>
      <c r="Y30" s="62">
        <f t="shared" si="10"/>
        <v>8.235</v>
      </c>
      <c r="Z30" s="62">
        <f t="shared" si="11"/>
        <v>2.4705</v>
      </c>
      <c r="AA30" s="64">
        <f t="shared" si="69"/>
        <v>7.37</v>
      </c>
      <c r="AC30" s="2"/>
      <c r="AE30" s="56">
        <v>19.0</v>
      </c>
      <c r="AF30" s="124" t="str">
        <f t="shared" ref="AF30:AG30" si="98">B30</f>
        <v/>
      </c>
      <c r="AG30" s="125" t="str">
        <f t="shared" si="98"/>
        <v>Roman Arreaga Stefani Asley</v>
      </c>
      <c r="AH30" s="140"/>
      <c r="AI30" s="140"/>
      <c r="AJ30" s="139">
        <v>8.0</v>
      </c>
      <c r="AK30" s="140"/>
      <c r="AL30" s="139">
        <v>7.0</v>
      </c>
      <c r="AM30" s="120"/>
      <c r="AN30" s="139">
        <v>8.0</v>
      </c>
      <c r="AO30" s="140"/>
      <c r="AP30" s="62"/>
      <c r="AQ30" s="62"/>
      <c r="AR30" s="143"/>
      <c r="AS30" s="143"/>
      <c r="AT30" s="143"/>
      <c r="AU30" s="143"/>
      <c r="AV30" s="143"/>
      <c r="AW30" s="143"/>
      <c r="AX30" s="141"/>
      <c r="AY30" s="141"/>
      <c r="AZ30" s="62">
        <f t="shared" si="14"/>
        <v>5.362</v>
      </c>
      <c r="BA30" s="121">
        <v>8.0</v>
      </c>
      <c r="BB30" s="123">
        <f>'PROY. INTER'!AX30</f>
        <v>10</v>
      </c>
      <c r="BC30" s="62">
        <f t="shared" si="15"/>
        <v>9</v>
      </c>
      <c r="BD30" s="62">
        <f t="shared" si="16"/>
        <v>2.7</v>
      </c>
      <c r="BE30" s="64">
        <f t="shared" si="17"/>
        <v>8.06</v>
      </c>
      <c r="BG30" s="2"/>
      <c r="BI30" s="56">
        <v>19.0</v>
      </c>
      <c r="BJ30" s="124" t="str">
        <f t="shared" ref="BJ30:BK30" si="99">B30</f>
        <v/>
      </c>
      <c r="BK30" s="125" t="str">
        <f t="shared" si="99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100">B30</f>
        <v/>
      </c>
      <c r="CO30" s="128" t="str">
        <f t="shared" si="100"/>
        <v>Roman Arreaga Stefani Asley</v>
      </c>
      <c r="CP30" s="129">
        <f t="shared" si="24"/>
        <v>7.37</v>
      </c>
      <c r="CQ30" s="129">
        <f t="shared" si="25"/>
        <v>8.06</v>
      </c>
      <c r="CR30" s="129">
        <f t="shared" si="26"/>
        <v>0</v>
      </c>
      <c r="CS30" s="130">
        <f t="shared" si="27"/>
        <v>5.14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1">B30</f>
        <v/>
      </c>
      <c r="CZ30" s="134" t="str">
        <f t="shared" si="101"/>
        <v>Roman Arreaga Stefani Asley</v>
      </c>
      <c r="DA30" s="135">
        <f t="shared" si="30"/>
        <v>5.14</v>
      </c>
      <c r="DB30" s="136"/>
      <c r="DC30" s="137">
        <f t="shared" si="31"/>
        <v>5.14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77"/>
      <c r="E31" s="177"/>
      <c r="F31" s="184">
        <v>10.0</v>
      </c>
      <c r="G31" s="185"/>
      <c r="H31" s="180">
        <v>10.0</v>
      </c>
      <c r="I31" s="177"/>
      <c r="J31" s="184">
        <v>10.0</v>
      </c>
      <c r="K31" s="185"/>
      <c r="L31" s="181"/>
      <c r="M31" s="181"/>
      <c r="N31" s="186"/>
      <c r="O31" s="182"/>
      <c r="P31" s="187"/>
      <c r="Q31" s="187"/>
      <c r="R31" s="143"/>
      <c r="S31" s="143"/>
      <c r="T31" s="141"/>
      <c r="U31" s="141"/>
      <c r="V31" s="62">
        <f t="shared" si="9"/>
        <v>7</v>
      </c>
      <c r="W31" s="183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69"/>
        <v>10</v>
      </c>
      <c r="AC31" s="2"/>
      <c r="AE31" s="56">
        <v>20.0</v>
      </c>
      <c r="AF31" s="124" t="str">
        <f t="shared" ref="AF31:AG31" si="102">B31</f>
        <v/>
      </c>
      <c r="AG31" s="125" t="str">
        <f t="shared" si="102"/>
        <v>Sánchez Ponce Sandra Stefania</v>
      </c>
      <c r="AH31" s="140"/>
      <c r="AI31" s="140"/>
      <c r="AJ31" s="139">
        <v>10.0</v>
      </c>
      <c r="AK31" s="140"/>
      <c r="AL31" s="139">
        <v>10.0</v>
      </c>
      <c r="AM31" s="120"/>
      <c r="AN31" s="139">
        <v>10.0</v>
      </c>
      <c r="AO31" s="140"/>
      <c r="AP31" s="62"/>
      <c r="AQ31" s="62"/>
      <c r="AR31" s="143"/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3">B31</f>
        <v/>
      </c>
      <c r="BK31" s="125" t="str">
        <f t="shared" si="103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4">B31</f>
        <v/>
      </c>
      <c r="CO31" s="128" t="str">
        <f t="shared" si="104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5">B31</f>
        <v/>
      </c>
      <c r="CZ31" s="134" t="str">
        <f t="shared" si="105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77"/>
      <c r="E32" s="177"/>
      <c r="F32" s="184">
        <v>5.0</v>
      </c>
      <c r="G32" s="185"/>
      <c r="H32" s="180">
        <v>7.0</v>
      </c>
      <c r="I32" s="177"/>
      <c r="J32" s="184">
        <v>9.0</v>
      </c>
      <c r="K32" s="185"/>
      <c r="L32" s="181"/>
      <c r="M32" s="181"/>
      <c r="N32" s="186"/>
      <c r="O32" s="182"/>
      <c r="P32" s="187"/>
      <c r="Q32" s="187"/>
      <c r="R32" s="143"/>
      <c r="S32" s="143"/>
      <c r="T32" s="141"/>
      <c r="U32" s="141"/>
      <c r="V32" s="62">
        <f t="shared" si="9"/>
        <v>4.9</v>
      </c>
      <c r="W32" s="183">
        <v>7.0</v>
      </c>
      <c r="X32" s="123">
        <f>'PROY. INTER'!W32</f>
        <v>6.47</v>
      </c>
      <c r="Y32" s="62">
        <f t="shared" si="10"/>
        <v>6.735</v>
      </c>
      <c r="Z32" s="62">
        <f t="shared" si="11"/>
        <v>2.0205</v>
      </c>
      <c r="AA32" s="64">
        <f t="shared" si="69"/>
        <v>6.92</v>
      </c>
      <c r="AC32" s="2"/>
      <c r="AE32" s="56">
        <v>21.0</v>
      </c>
      <c r="AF32" s="124" t="str">
        <f t="shared" ref="AF32:AG32" si="106">B32</f>
        <v/>
      </c>
      <c r="AG32" s="125" t="str">
        <f t="shared" si="106"/>
        <v>Torres Vera Anderson</v>
      </c>
      <c r="AH32" s="140"/>
      <c r="AI32" s="140"/>
      <c r="AJ32" s="139">
        <v>7.0</v>
      </c>
      <c r="AK32" s="140"/>
      <c r="AL32" s="139">
        <v>7.0</v>
      </c>
      <c r="AM32" s="120"/>
      <c r="AN32" s="139">
        <v>8.0</v>
      </c>
      <c r="AO32" s="140"/>
      <c r="AP32" s="62"/>
      <c r="AQ32" s="62"/>
      <c r="AR32" s="143"/>
      <c r="AS32" s="143"/>
      <c r="AT32" s="143"/>
      <c r="AU32" s="143"/>
      <c r="AV32" s="143"/>
      <c r="AW32" s="143"/>
      <c r="AX32" s="141"/>
      <c r="AY32" s="141"/>
      <c r="AZ32" s="62">
        <f t="shared" si="14"/>
        <v>5.131</v>
      </c>
      <c r="BA32" s="121">
        <v>7.0</v>
      </c>
      <c r="BB32" s="123">
        <f>'PROY. INTER'!AX32</f>
        <v>10</v>
      </c>
      <c r="BC32" s="62">
        <f t="shared" si="15"/>
        <v>8.5</v>
      </c>
      <c r="BD32" s="62">
        <f t="shared" si="16"/>
        <v>2.55</v>
      </c>
      <c r="BE32" s="64">
        <f t="shared" si="17"/>
        <v>7.68</v>
      </c>
      <c r="BG32" s="2"/>
      <c r="BI32" s="56">
        <v>21.0</v>
      </c>
      <c r="BJ32" s="124" t="str">
        <f t="shared" ref="BJ32:BK32" si="107">B32</f>
        <v/>
      </c>
      <c r="BK32" s="125" t="str">
        <f t="shared" si="107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8">B32</f>
        <v/>
      </c>
      <c r="CO32" s="128" t="str">
        <f t="shared" si="108"/>
        <v>Torres Vera Anderson</v>
      </c>
      <c r="CP32" s="129">
        <f t="shared" si="24"/>
        <v>6.92</v>
      </c>
      <c r="CQ32" s="129">
        <f t="shared" si="25"/>
        <v>7.68</v>
      </c>
      <c r="CR32" s="129">
        <f t="shared" si="26"/>
        <v>0</v>
      </c>
      <c r="CS32" s="130">
        <f t="shared" si="27"/>
        <v>4.86</v>
      </c>
      <c r="CT32" s="131" t="str">
        <f t="shared" si="28"/>
        <v>REPROBADO</v>
      </c>
      <c r="CV32" s="2"/>
      <c r="CX32" s="132">
        <v>21.0</v>
      </c>
      <c r="CY32" s="133" t="str">
        <f t="shared" ref="CY32:CZ32" si="109">B32</f>
        <v/>
      </c>
      <c r="CZ32" s="134" t="str">
        <f t="shared" si="109"/>
        <v>Torres Vera Anderson</v>
      </c>
      <c r="DA32" s="135">
        <f t="shared" si="30"/>
        <v>4.86</v>
      </c>
      <c r="DB32" s="136"/>
      <c r="DC32" s="137">
        <f t="shared" si="31"/>
        <v>4.86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77"/>
      <c r="E33" s="177"/>
      <c r="F33" s="184">
        <v>6.0</v>
      </c>
      <c r="G33" s="185"/>
      <c r="H33" s="180">
        <v>7.0</v>
      </c>
      <c r="I33" s="177"/>
      <c r="J33" s="184">
        <v>9.0</v>
      </c>
      <c r="K33" s="185"/>
      <c r="L33" s="181"/>
      <c r="M33" s="181"/>
      <c r="N33" s="186"/>
      <c r="O33" s="182"/>
      <c r="P33" s="187"/>
      <c r="Q33" s="187"/>
      <c r="R33" s="143"/>
      <c r="S33" s="143"/>
      <c r="T33" s="141"/>
      <c r="U33" s="141"/>
      <c r="V33" s="62">
        <f t="shared" si="9"/>
        <v>5.131</v>
      </c>
      <c r="W33" s="183">
        <v>7.0</v>
      </c>
      <c r="X33" s="123">
        <f>'PROY. INTER'!W33</f>
        <v>9.2</v>
      </c>
      <c r="Y33" s="62">
        <f t="shared" si="10"/>
        <v>8.1</v>
      </c>
      <c r="Z33" s="62">
        <f t="shared" si="11"/>
        <v>2.43</v>
      </c>
      <c r="AA33" s="64">
        <f t="shared" si="69"/>
        <v>7.56</v>
      </c>
      <c r="AC33" s="2"/>
      <c r="AE33" s="56">
        <v>22.0</v>
      </c>
      <c r="AF33" s="124" t="str">
        <f t="shared" ref="AF33:AG33" si="110">B33</f>
        <v/>
      </c>
      <c r="AG33" s="125" t="str">
        <f t="shared" si="110"/>
        <v>Valero Pefiafiel Carlos José</v>
      </c>
      <c r="AH33" s="140"/>
      <c r="AI33" s="140"/>
      <c r="AJ33" s="139">
        <v>7.0</v>
      </c>
      <c r="AK33" s="140"/>
      <c r="AL33" s="139">
        <v>8.0</v>
      </c>
      <c r="AM33" s="120"/>
      <c r="AN33" s="139">
        <v>7.0</v>
      </c>
      <c r="AO33" s="140"/>
      <c r="AP33" s="62"/>
      <c r="AQ33" s="62"/>
      <c r="AR33" s="143"/>
      <c r="AS33" s="143"/>
      <c r="AT33" s="143"/>
      <c r="AU33" s="143"/>
      <c r="AV33" s="143"/>
      <c r="AW33" s="143"/>
      <c r="AX33" s="141"/>
      <c r="AY33" s="141"/>
      <c r="AZ33" s="62">
        <f t="shared" si="14"/>
        <v>5.131</v>
      </c>
      <c r="BA33" s="121">
        <v>7.0</v>
      </c>
      <c r="BB33" s="123">
        <f>'PROY. INTER'!AX33</f>
        <v>10</v>
      </c>
      <c r="BC33" s="62">
        <f t="shared" si="15"/>
        <v>8.5</v>
      </c>
      <c r="BD33" s="62">
        <f t="shared" si="16"/>
        <v>2.55</v>
      </c>
      <c r="BE33" s="64">
        <f t="shared" si="17"/>
        <v>7.68</v>
      </c>
      <c r="BG33" s="2"/>
      <c r="BI33" s="56">
        <v>22.0</v>
      </c>
      <c r="BJ33" s="124" t="str">
        <f t="shared" ref="BJ33:BK33" si="111">B33</f>
        <v/>
      </c>
      <c r="BK33" s="125" t="str">
        <f t="shared" si="111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2">B33</f>
        <v/>
      </c>
      <c r="CO33" s="128" t="str">
        <f t="shared" si="112"/>
        <v>Valero Pefiafiel Carlos José</v>
      </c>
      <c r="CP33" s="129">
        <f t="shared" si="24"/>
        <v>7.56</v>
      </c>
      <c r="CQ33" s="129">
        <f t="shared" si="25"/>
        <v>7.68</v>
      </c>
      <c r="CR33" s="129">
        <f t="shared" si="26"/>
        <v>0</v>
      </c>
      <c r="CS33" s="130">
        <f t="shared" si="27"/>
        <v>5.08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3">B33</f>
        <v/>
      </c>
      <c r="CZ33" s="134" t="str">
        <f t="shared" si="113"/>
        <v>Valero Pefiafiel Carlos José</v>
      </c>
      <c r="DA33" s="135">
        <f t="shared" si="30"/>
        <v>5.08</v>
      </c>
      <c r="DB33" s="136"/>
      <c r="DC33" s="137">
        <f t="shared" si="31"/>
        <v>5.08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77"/>
      <c r="E34" s="177"/>
      <c r="F34" s="184">
        <v>7.0</v>
      </c>
      <c r="G34" s="185"/>
      <c r="H34" s="180">
        <v>7.0</v>
      </c>
      <c r="I34" s="177"/>
      <c r="J34" s="184">
        <v>7.0</v>
      </c>
      <c r="K34" s="185"/>
      <c r="L34" s="181"/>
      <c r="M34" s="181"/>
      <c r="N34" s="186"/>
      <c r="O34" s="182"/>
      <c r="P34" s="187"/>
      <c r="Q34" s="187"/>
      <c r="R34" s="143"/>
      <c r="S34" s="143"/>
      <c r="T34" s="141"/>
      <c r="U34" s="141"/>
      <c r="V34" s="62">
        <f t="shared" si="9"/>
        <v>4.9</v>
      </c>
      <c r="W34" s="183">
        <v>7.0</v>
      </c>
      <c r="X34" s="123">
        <f>'PROY. INTER'!W34</f>
        <v>7.33</v>
      </c>
      <c r="Y34" s="62">
        <f t="shared" si="10"/>
        <v>7.165</v>
      </c>
      <c r="Z34" s="62">
        <f t="shared" si="11"/>
        <v>2.1495</v>
      </c>
      <c r="AA34" s="64">
        <f t="shared" si="69"/>
        <v>7.04</v>
      </c>
      <c r="AC34" s="2"/>
      <c r="AE34" s="56">
        <v>23.0</v>
      </c>
      <c r="AF34" s="124" t="str">
        <f t="shared" ref="AF34:AG34" si="114">B34</f>
        <v/>
      </c>
      <c r="AG34" s="125" t="str">
        <f t="shared" si="114"/>
        <v>Veliz chicaiza Alex isaac</v>
      </c>
      <c r="AH34" s="140"/>
      <c r="AI34" s="140"/>
      <c r="AJ34" s="139">
        <v>7.0</v>
      </c>
      <c r="AK34" s="140"/>
      <c r="AL34" s="139">
        <v>8.0</v>
      </c>
      <c r="AM34" s="120"/>
      <c r="AN34" s="139">
        <v>8.0</v>
      </c>
      <c r="AO34" s="140"/>
      <c r="AP34" s="62"/>
      <c r="AQ34" s="62"/>
      <c r="AR34" s="143"/>
      <c r="AS34" s="143"/>
      <c r="AT34" s="143"/>
      <c r="AU34" s="143"/>
      <c r="AV34" s="143"/>
      <c r="AW34" s="143"/>
      <c r="AX34" s="141"/>
      <c r="AY34" s="141"/>
      <c r="AZ34" s="62">
        <f t="shared" si="14"/>
        <v>5.362</v>
      </c>
      <c r="BA34" s="121">
        <v>7.0</v>
      </c>
      <c r="BB34" s="123">
        <f>'PROY. INTER'!AX34</f>
        <v>10</v>
      </c>
      <c r="BC34" s="62">
        <f t="shared" si="15"/>
        <v>8.5</v>
      </c>
      <c r="BD34" s="62">
        <f t="shared" si="16"/>
        <v>2.55</v>
      </c>
      <c r="BE34" s="64">
        <f t="shared" si="17"/>
        <v>7.91</v>
      </c>
      <c r="BG34" s="2"/>
      <c r="BI34" s="56">
        <v>23.0</v>
      </c>
      <c r="BJ34" s="124" t="str">
        <f t="shared" ref="BJ34:BK34" si="115">B34</f>
        <v/>
      </c>
      <c r="BK34" s="125" t="str">
        <f t="shared" si="115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6">B34</f>
        <v/>
      </c>
      <c r="CO34" s="128" t="str">
        <f t="shared" si="116"/>
        <v>Veliz chicaiza Alex isaac</v>
      </c>
      <c r="CP34" s="129">
        <f t="shared" si="24"/>
        <v>7.04</v>
      </c>
      <c r="CQ34" s="129">
        <f t="shared" si="25"/>
        <v>7.91</v>
      </c>
      <c r="CR34" s="129">
        <f t="shared" si="26"/>
        <v>0</v>
      </c>
      <c r="CS34" s="130">
        <f t="shared" si="27"/>
        <v>4.98</v>
      </c>
      <c r="CT34" s="131" t="str">
        <f t="shared" si="28"/>
        <v>REPROBADO</v>
      </c>
      <c r="CV34" s="2"/>
      <c r="CX34" s="132">
        <v>23.0</v>
      </c>
      <c r="CY34" s="133" t="str">
        <f t="shared" ref="CY34:CZ34" si="117">B34</f>
        <v/>
      </c>
      <c r="CZ34" s="134" t="str">
        <f t="shared" si="117"/>
        <v>Veliz chicaiza Alex isaac</v>
      </c>
      <c r="DA34" s="135">
        <f t="shared" si="30"/>
        <v>4.98</v>
      </c>
      <c r="DB34" s="136"/>
      <c r="DC34" s="137">
        <f t="shared" si="31"/>
        <v>4.98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77"/>
      <c r="E35" s="177"/>
      <c r="F35" s="184">
        <v>5.0</v>
      </c>
      <c r="G35" s="185"/>
      <c r="H35" s="180">
        <v>7.0</v>
      </c>
      <c r="I35" s="177"/>
      <c r="J35" s="184">
        <v>9.5</v>
      </c>
      <c r="K35" s="185"/>
      <c r="L35" s="181"/>
      <c r="M35" s="181"/>
      <c r="N35" s="186"/>
      <c r="O35" s="182"/>
      <c r="P35" s="187"/>
      <c r="Q35" s="187"/>
      <c r="R35" s="143"/>
      <c r="S35" s="143"/>
      <c r="T35" s="141"/>
      <c r="U35" s="141"/>
      <c r="V35" s="62">
        <f t="shared" si="9"/>
        <v>5.012</v>
      </c>
      <c r="W35" s="183">
        <v>7.0</v>
      </c>
      <c r="X35" s="123">
        <f>'PROY. INTER'!W35</f>
        <v>9.73</v>
      </c>
      <c r="Y35" s="62">
        <f t="shared" si="10"/>
        <v>8.365</v>
      </c>
      <c r="Z35" s="62">
        <f t="shared" si="11"/>
        <v>2.5095</v>
      </c>
      <c r="AA35" s="64">
        <f t="shared" si="69"/>
        <v>7.52</v>
      </c>
      <c r="AC35" s="2"/>
      <c r="AE35" s="56">
        <v>24.0</v>
      </c>
      <c r="AF35" s="124" t="str">
        <f t="shared" ref="AF35:AG35" si="118">B35</f>
        <v/>
      </c>
      <c r="AG35" s="125" t="str">
        <f t="shared" si="118"/>
        <v>Zambrano Zhicay Victor Humberto</v>
      </c>
      <c r="AH35" s="140"/>
      <c r="AI35" s="140"/>
      <c r="AJ35" s="139">
        <v>7.0</v>
      </c>
      <c r="AK35" s="140"/>
      <c r="AL35" s="139">
        <v>7.0</v>
      </c>
      <c r="AM35" s="120"/>
      <c r="AN35" s="139">
        <v>8.0</v>
      </c>
      <c r="AO35" s="140"/>
      <c r="AP35" s="62"/>
      <c r="AQ35" s="62"/>
      <c r="AR35" s="143"/>
      <c r="AS35" s="143"/>
      <c r="AT35" s="143"/>
      <c r="AU35" s="143"/>
      <c r="AV35" s="143"/>
      <c r="AW35" s="143"/>
      <c r="AX35" s="141"/>
      <c r="AY35" s="141"/>
      <c r="AZ35" s="62">
        <f t="shared" si="14"/>
        <v>5.131</v>
      </c>
      <c r="BA35" s="121">
        <v>7.0</v>
      </c>
      <c r="BB35" s="123">
        <f>'PROY. INTER'!AX35</f>
        <v>10</v>
      </c>
      <c r="BC35" s="62">
        <f t="shared" si="15"/>
        <v>8.5</v>
      </c>
      <c r="BD35" s="62">
        <f t="shared" si="16"/>
        <v>2.55</v>
      </c>
      <c r="BE35" s="64">
        <f t="shared" si="17"/>
        <v>7.68</v>
      </c>
      <c r="BG35" s="2"/>
      <c r="BI35" s="56">
        <v>24.0</v>
      </c>
      <c r="BJ35" s="124" t="str">
        <f t="shared" ref="BJ35:BK35" si="119">B35</f>
        <v/>
      </c>
      <c r="BK35" s="125" t="str">
        <f t="shared" si="119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20">B35</f>
        <v/>
      </c>
      <c r="CO35" s="128" t="str">
        <f t="shared" si="120"/>
        <v>Zambrano Zhicay Victor Humberto</v>
      </c>
      <c r="CP35" s="129">
        <f t="shared" si="24"/>
        <v>7.52</v>
      </c>
      <c r="CQ35" s="129">
        <f t="shared" si="25"/>
        <v>7.68</v>
      </c>
      <c r="CR35" s="129">
        <f t="shared" si="26"/>
        <v>0</v>
      </c>
      <c r="CS35" s="130">
        <f t="shared" si="27"/>
        <v>5.06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1">B35</f>
        <v/>
      </c>
      <c r="CZ35" s="134" t="str">
        <f t="shared" si="121"/>
        <v>Zambrano Zhicay Victor Humberto</v>
      </c>
      <c r="DA35" s="135">
        <f t="shared" si="30"/>
        <v>5.06</v>
      </c>
      <c r="DB35" s="136"/>
      <c r="DC35" s="137">
        <f t="shared" si="31"/>
        <v>5.06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77"/>
      <c r="E36" s="177"/>
      <c r="F36" s="185"/>
      <c r="G36" s="185"/>
      <c r="H36" s="177"/>
      <c r="I36" s="177"/>
      <c r="J36" s="185"/>
      <c r="K36" s="185"/>
      <c r="L36" s="181"/>
      <c r="M36" s="181"/>
      <c r="N36" s="186"/>
      <c r="O36" s="182"/>
      <c r="P36" s="187"/>
      <c r="Q36" s="187"/>
      <c r="R36" s="143"/>
      <c r="S36" s="143"/>
      <c r="T36" s="141"/>
      <c r="U36" s="141"/>
      <c r="V36" s="62">
        <f t="shared" si="9"/>
        <v>0</v>
      </c>
      <c r="W36" s="18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69"/>
        <v>0</v>
      </c>
      <c r="AC36" s="2"/>
      <c r="AE36" s="56">
        <v>25.0</v>
      </c>
      <c r="AF36" s="124" t="str">
        <f t="shared" ref="AF36:AG36" si="122">B36</f>
        <v/>
      </c>
      <c r="AG36" s="125" t="str">
        <f t="shared" si="122"/>
        <v/>
      </c>
      <c r="AH36" s="140"/>
      <c r="AI36" s="140"/>
      <c r="AJ36" s="140"/>
      <c r="AK36" s="140"/>
      <c r="AL36" s="140"/>
      <c r="AM36" s="12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3">B36</f>
        <v/>
      </c>
      <c r="BK36" s="125" t="str">
        <f t="shared" si="123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4">B36</f>
        <v/>
      </c>
      <c r="CO36" s="128" t="str">
        <f t="shared" si="124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5">B36</f>
        <v/>
      </c>
      <c r="CZ36" s="134" t="str">
        <f t="shared" si="125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77"/>
      <c r="E37" s="177"/>
      <c r="F37" s="190"/>
      <c r="G37" s="190"/>
      <c r="H37" s="177"/>
      <c r="I37" s="177"/>
      <c r="J37" s="190"/>
      <c r="K37" s="190"/>
      <c r="L37" s="191"/>
      <c r="M37" s="191"/>
      <c r="N37" s="192"/>
      <c r="O37" s="182"/>
      <c r="P37" s="187"/>
      <c r="Q37" s="187"/>
      <c r="R37" s="143"/>
      <c r="S37" s="143"/>
      <c r="T37" s="141"/>
      <c r="U37" s="141"/>
      <c r="V37" s="62">
        <f t="shared" si="9"/>
        <v>0</v>
      </c>
      <c r="W37" s="18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69"/>
        <v>0</v>
      </c>
      <c r="AC37" s="2"/>
      <c r="AE37" s="56">
        <v>26.0</v>
      </c>
      <c r="AF37" s="124" t="str">
        <f t="shared" ref="AF37:AG37" si="126">B37</f>
        <v/>
      </c>
      <c r="AG37" s="125" t="str">
        <f t="shared" si="126"/>
        <v/>
      </c>
      <c r="AH37" s="140"/>
      <c r="AI37" s="140"/>
      <c r="AJ37" s="140"/>
      <c r="AK37" s="140"/>
      <c r="AL37" s="140"/>
      <c r="AM37" s="12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7">B37</f>
        <v/>
      </c>
      <c r="BK37" s="125" t="str">
        <f t="shared" si="127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8">B37</f>
        <v/>
      </c>
      <c r="CO37" s="128" t="str">
        <f t="shared" si="128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9">B37</f>
        <v/>
      </c>
      <c r="CZ37" s="134" t="str">
        <f t="shared" si="129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77"/>
      <c r="E38" s="177"/>
      <c r="F38" s="190"/>
      <c r="G38" s="190"/>
      <c r="H38" s="177"/>
      <c r="I38" s="177"/>
      <c r="J38" s="190"/>
      <c r="K38" s="190"/>
      <c r="L38" s="191"/>
      <c r="M38" s="191"/>
      <c r="N38" s="192"/>
      <c r="O38" s="182"/>
      <c r="P38" s="187"/>
      <c r="Q38" s="187"/>
      <c r="R38" s="143"/>
      <c r="S38" s="143"/>
      <c r="T38" s="141"/>
      <c r="U38" s="141"/>
      <c r="V38" s="62">
        <f t="shared" si="9"/>
        <v>0</v>
      </c>
      <c r="W38" s="18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69"/>
        <v>0</v>
      </c>
      <c r="AC38" s="2"/>
      <c r="AE38" s="56">
        <v>27.0</v>
      </c>
      <c r="AF38" s="124" t="str">
        <f t="shared" ref="AF38:AG38" si="130">B38</f>
        <v/>
      </c>
      <c r="AG38" s="125" t="str">
        <f t="shared" si="130"/>
        <v/>
      </c>
      <c r="AH38" s="140"/>
      <c r="AI38" s="140"/>
      <c r="AJ38" s="140"/>
      <c r="AK38" s="140"/>
      <c r="AL38" s="140"/>
      <c r="AM38" s="12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1">B38</f>
        <v/>
      </c>
      <c r="BK38" s="125" t="str">
        <f t="shared" si="131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2">B38</f>
        <v/>
      </c>
      <c r="CO38" s="128" t="str">
        <f t="shared" si="132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3">B38</f>
        <v/>
      </c>
      <c r="CZ38" s="134" t="str">
        <f t="shared" si="133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93"/>
      <c r="E39" s="193"/>
      <c r="F39" s="190"/>
      <c r="G39" s="190"/>
      <c r="H39" s="193"/>
      <c r="I39" s="193"/>
      <c r="J39" s="190"/>
      <c r="K39" s="190"/>
      <c r="L39" s="191"/>
      <c r="M39" s="191"/>
      <c r="N39" s="192"/>
      <c r="O39" s="191"/>
      <c r="P39" s="192"/>
      <c r="Q39" s="192"/>
      <c r="R39" s="143"/>
      <c r="S39" s="143"/>
      <c r="T39" s="141"/>
      <c r="U39" s="141"/>
      <c r="V39" s="62">
        <f t="shared" si="9"/>
        <v>0</v>
      </c>
      <c r="W39" s="18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69"/>
        <v>0</v>
      </c>
      <c r="AC39" s="2"/>
      <c r="AE39" s="56">
        <v>28.0</v>
      </c>
      <c r="AF39" s="124" t="str">
        <f t="shared" ref="AF39:AG39" si="134">B39</f>
        <v/>
      </c>
      <c r="AG39" s="125" t="str">
        <f t="shared" si="134"/>
        <v/>
      </c>
      <c r="AH39" s="140"/>
      <c r="AI39" s="140"/>
      <c r="AJ39" s="140"/>
      <c r="AK39" s="140"/>
      <c r="AL39" s="140"/>
      <c r="AM39" s="12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5">B39</f>
        <v/>
      </c>
      <c r="BK39" s="125" t="str">
        <f t="shared" si="135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6">B39</f>
        <v/>
      </c>
      <c r="CO39" s="128" t="str">
        <f t="shared" si="136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7">B39</f>
        <v/>
      </c>
      <c r="CZ39" s="134" t="str">
        <f t="shared" si="137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77"/>
      <c r="E40" s="177"/>
      <c r="F40" s="190"/>
      <c r="G40" s="190"/>
      <c r="H40" s="177"/>
      <c r="I40" s="177"/>
      <c r="J40" s="190"/>
      <c r="K40" s="190"/>
      <c r="L40" s="191"/>
      <c r="M40" s="191"/>
      <c r="N40" s="192"/>
      <c r="O40" s="182"/>
      <c r="P40" s="187"/>
      <c r="Q40" s="187"/>
      <c r="R40" s="143"/>
      <c r="S40" s="143"/>
      <c r="T40" s="141"/>
      <c r="U40" s="141"/>
      <c r="V40" s="62">
        <f t="shared" si="9"/>
        <v>0</v>
      </c>
      <c r="W40" s="18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69"/>
        <v>0</v>
      </c>
      <c r="AC40" s="2"/>
      <c r="AE40" s="56">
        <v>29.0</v>
      </c>
      <c r="AF40" s="124" t="str">
        <f t="shared" ref="AF40:AG40" si="138">B40</f>
        <v/>
      </c>
      <c r="AG40" s="125" t="str">
        <f t="shared" si="138"/>
        <v/>
      </c>
      <c r="AH40" s="140"/>
      <c r="AI40" s="140"/>
      <c r="AJ40" s="140"/>
      <c r="AK40" s="140"/>
      <c r="AL40" s="140"/>
      <c r="AM40" s="12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9">B40</f>
        <v/>
      </c>
      <c r="BK40" s="125" t="str">
        <f t="shared" si="139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40">B40</f>
        <v/>
      </c>
      <c r="CO40" s="128" t="str">
        <f t="shared" si="140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1">B40</f>
        <v/>
      </c>
      <c r="CZ40" s="134" t="str">
        <f t="shared" si="141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20"/>
      <c r="J41" s="190"/>
      <c r="K41" s="190"/>
      <c r="L41" s="191"/>
      <c r="M41" s="191"/>
      <c r="N41" s="192"/>
      <c r="O41" s="182"/>
      <c r="P41" s="182"/>
      <c r="Q41" s="182"/>
      <c r="R41" s="182"/>
      <c r="S41" s="143"/>
      <c r="T41" s="141"/>
      <c r="U41" s="141"/>
      <c r="V41" s="62">
        <f t="shared" si="9"/>
        <v>0</v>
      </c>
      <c r="W41" s="18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69"/>
        <v>0</v>
      </c>
      <c r="AC41" s="2"/>
      <c r="AE41" s="56">
        <v>30.0</v>
      </c>
      <c r="AF41" s="124" t="str">
        <f t="shared" ref="AF41:AG41" si="142">B41</f>
        <v/>
      </c>
      <c r="AG41" s="125" t="str">
        <f t="shared" si="142"/>
        <v/>
      </c>
      <c r="AH41" s="140"/>
      <c r="AI41" s="140"/>
      <c r="AJ41" s="140"/>
      <c r="AK41" s="140"/>
      <c r="AL41" s="140"/>
      <c r="AM41" s="12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3">B41</f>
        <v/>
      </c>
      <c r="BK41" s="125" t="str">
        <f t="shared" si="143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4">B41</f>
        <v/>
      </c>
      <c r="CO41" s="128" t="str">
        <f t="shared" si="144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5">B41</f>
        <v/>
      </c>
      <c r="CZ41" s="134" t="str">
        <f t="shared" si="145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18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69"/>
        <v>0</v>
      </c>
      <c r="AC42" s="2"/>
      <c r="AE42" s="56">
        <v>31.0</v>
      </c>
      <c r="AF42" s="124" t="str">
        <f t="shared" ref="AF42:AG42" si="146">B42</f>
        <v/>
      </c>
      <c r="AG42" s="125" t="str">
        <f t="shared" si="146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7">B42</f>
        <v/>
      </c>
      <c r="BK42" s="125" t="str">
        <f t="shared" si="147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8">B42</f>
        <v/>
      </c>
      <c r="CO42" s="128" t="str">
        <f t="shared" si="148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9">B42</f>
        <v/>
      </c>
      <c r="CZ42" s="134" t="str">
        <f t="shared" si="149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18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69"/>
        <v>0</v>
      </c>
      <c r="AC43" s="2"/>
      <c r="AE43" s="56">
        <v>32.0</v>
      </c>
      <c r="AF43" s="124" t="str">
        <f t="shared" ref="AF43:AG43" si="150">B43</f>
        <v/>
      </c>
      <c r="AG43" s="125" t="str">
        <f t="shared" si="150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1">B43</f>
        <v/>
      </c>
      <c r="BK43" s="125" t="str">
        <f t="shared" si="151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2">B43</f>
        <v/>
      </c>
      <c r="CO43" s="128" t="str">
        <f t="shared" si="152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3">B43</f>
        <v/>
      </c>
      <c r="CZ43" s="134" t="str">
        <f t="shared" si="153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18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69"/>
        <v>0</v>
      </c>
      <c r="AC44" s="2"/>
      <c r="AE44" s="56">
        <v>33.0</v>
      </c>
      <c r="AF44" s="124" t="str">
        <f t="shared" ref="AF44:AG44" si="154">B44</f>
        <v/>
      </c>
      <c r="AG44" s="125" t="str">
        <f t="shared" si="154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5">B44</f>
        <v/>
      </c>
      <c r="BK44" s="125" t="str">
        <f t="shared" si="155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6">B44</f>
        <v/>
      </c>
      <c r="CO44" s="128" t="str">
        <f t="shared" si="156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7">B44</f>
        <v/>
      </c>
      <c r="CZ44" s="134" t="str">
        <f t="shared" si="157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18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69"/>
        <v>0</v>
      </c>
      <c r="AC45" s="2"/>
      <c r="AE45" s="56">
        <v>34.0</v>
      </c>
      <c r="AF45" s="124" t="str">
        <f t="shared" ref="AF45:AG45" si="158">B45</f>
        <v/>
      </c>
      <c r="AG45" s="125" t="str">
        <f t="shared" si="158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9">B45</f>
        <v/>
      </c>
      <c r="BK45" s="125" t="str">
        <f t="shared" si="159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60">B45</f>
        <v/>
      </c>
      <c r="CO45" s="128" t="str">
        <f t="shared" si="160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1">B45</f>
        <v/>
      </c>
      <c r="CZ45" s="134" t="str">
        <f t="shared" si="161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18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69"/>
        <v>0</v>
      </c>
      <c r="AC46" s="2"/>
      <c r="AE46" s="56">
        <v>35.0</v>
      </c>
      <c r="AF46" s="124" t="str">
        <f t="shared" ref="AF46:AG46" si="162">B46</f>
        <v/>
      </c>
      <c r="AG46" s="125" t="str">
        <f t="shared" si="162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3">B46</f>
        <v/>
      </c>
      <c r="BK46" s="125" t="str">
        <f t="shared" si="163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4">B46</f>
        <v/>
      </c>
      <c r="CO46" s="128" t="str">
        <f t="shared" si="164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5">B46</f>
        <v/>
      </c>
      <c r="CZ46" s="134" t="str">
        <f t="shared" si="165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18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69"/>
        <v>0</v>
      </c>
      <c r="AC47" s="2"/>
      <c r="AE47" s="56">
        <v>36.0</v>
      </c>
      <c r="AF47" s="124" t="str">
        <f t="shared" ref="AF47:AG47" si="166">B47</f>
        <v/>
      </c>
      <c r="AG47" s="125" t="str">
        <f t="shared" si="166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7">B47</f>
        <v/>
      </c>
      <c r="BK47" s="125" t="str">
        <f t="shared" si="167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8">B47</f>
        <v/>
      </c>
      <c r="CO47" s="128" t="str">
        <f t="shared" si="168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9">B47</f>
        <v/>
      </c>
      <c r="CZ47" s="134" t="str">
        <f t="shared" si="169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18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69"/>
        <v>0</v>
      </c>
      <c r="AC48" s="2"/>
      <c r="AE48" s="56">
        <v>37.0</v>
      </c>
      <c r="AF48" s="124" t="str">
        <f t="shared" ref="AF48:AG48" si="170">B48</f>
        <v/>
      </c>
      <c r="AG48" s="125" t="str">
        <f t="shared" si="170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1">B48</f>
        <v/>
      </c>
      <c r="BK48" s="125" t="str">
        <f t="shared" si="171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2">B48</f>
        <v/>
      </c>
      <c r="CO48" s="128" t="str">
        <f t="shared" si="172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3">B48</f>
        <v/>
      </c>
      <c r="CZ48" s="134" t="str">
        <f t="shared" si="173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18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69"/>
        <v>0</v>
      </c>
      <c r="AC49" s="2"/>
      <c r="AE49" s="56">
        <v>38.0</v>
      </c>
      <c r="AF49" s="124" t="str">
        <f t="shared" ref="AF49:AG49" si="174">B49</f>
        <v/>
      </c>
      <c r="AG49" s="125" t="str">
        <f t="shared" si="174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5">B49</f>
        <v/>
      </c>
      <c r="BK49" s="125" t="str">
        <f t="shared" si="175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6">B49</f>
        <v/>
      </c>
      <c r="CO49" s="128" t="str">
        <f t="shared" si="176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7">B49</f>
        <v/>
      </c>
      <c r="CZ49" s="134" t="str">
        <f t="shared" si="177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18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69"/>
        <v>0</v>
      </c>
      <c r="AC50" s="2"/>
      <c r="AE50" s="56">
        <v>39.0</v>
      </c>
      <c r="AF50" s="124" t="str">
        <f t="shared" ref="AF50:AG50" si="178">B50</f>
        <v/>
      </c>
      <c r="AG50" s="125" t="str">
        <f t="shared" si="178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9">B50</f>
        <v/>
      </c>
      <c r="BK50" s="125" t="str">
        <f t="shared" si="179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80">B50</f>
        <v/>
      </c>
      <c r="CO50" s="128" t="str">
        <f t="shared" si="180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1">B50</f>
        <v/>
      </c>
      <c r="CZ50" s="134" t="str">
        <f t="shared" si="181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18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69"/>
        <v>0</v>
      </c>
      <c r="AC51" s="2"/>
      <c r="AE51" s="56">
        <v>40.0</v>
      </c>
      <c r="AF51" s="124" t="str">
        <f t="shared" ref="AF51:AG51" si="182">B51</f>
        <v/>
      </c>
      <c r="AG51" s="125" t="str">
        <f t="shared" si="182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3">B51</f>
        <v/>
      </c>
      <c r="BK51" s="125" t="str">
        <f t="shared" si="183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4">B51</f>
        <v/>
      </c>
      <c r="CO51" s="128" t="str">
        <f t="shared" si="184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5">B51</f>
        <v/>
      </c>
      <c r="CZ51" s="134" t="str">
        <f t="shared" si="185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18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69"/>
        <v>0</v>
      </c>
      <c r="AC52" s="2"/>
      <c r="AE52" s="56">
        <v>41.0</v>
      </c>
      <c r="AF52" s="124" t="str">
        <f t="shared" ref="AF52:AG52" si="186">B52</f>
        <v/>
      </c>
      <c r="AG52" s="125" t="str">
        <f t="shared" si="186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7">B52</f>
        <v/>
      </c>
      <c r="BK52" s="125" t="str">
        <f t="shared" si="187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8">B52</f>
        <v/>
      </c>
      <c r="CO52" s="128" t="str">
        <f t="shared" si="188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9">B52</f>
        <v/>
      </c>
      <c r="CZ52" s="134" t="str">
        <f t="shared" si="189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18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69"/>
        <v>0</v>
      </c>
      <c r="AC53" s="2"/>
      <c r="AE53" s="56">
        <v>42.0</v>
      </c>
      <c r="AF53" s="124" t="str">
        <f t="shared" ref="AF53:AG53" si="190">B53</f>
        <v/>
      </c>
      <c r="AG53" s="125" t="str">
        <f t="shared" si="190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1">B53</f>
        <v/>
      </c>
      <c r="BK53" s="125" t="str">
        <f t="shared" si="191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2">B53</f>
        <v/>
      </c>
      <c r="CO53" s="128" t="str">
        <f t="shared" si="192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3">B53</f>
        <v/>
      </c>
      <c r="CZ53" s="134" t="str">
        <f t="shared" si="193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18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69"/>
        <v>0</v>
      </c>
      <c r="AC54" s="2"/>
      <c r="AE54" s="56">
        <v>43.0</v>
      </c>
      <c r="AF54" s="124" t="str">
        <f t="shared" ref="AF54:AG54" si="194">B54</f>
        <v/>
      </c>
      <c r="AG54" s="125" t="str">
        <f t="shared" si="194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5">B54</f>
        <v/>
      </c>
      <c r="BK54" s="125" t="str">
        <f t="shared" si="195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6">B54</f>
        <v/>
      </c>
      <c r="CO54" s="128" t="str">
        <f t="shared" si="196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7">B54</f>
        <v/>
      </c>
      <c r="CZ54" s="134" t="str">
        <f t="shared" si="197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18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69"/>
        <v>0</v>
      </c>
      <c r="AC55" s="2"/>
      <c r="AE55" s="56">
        <v>44.0</v>
      </c>
      <c r="AF55" s="124" t="str">
        <f t="shared" ref="AF55:AG55" si="198">B55</f>
        <v/>
      </c>
      <c r="AG55" s="125" t="str">
        <f t="shared" si="198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9">B55</f>
        <v/>
      </c>
      <c r="BK55" s="125" t="str">
        <f t="shared" si="199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200">B55</f>
        <v/>
      </c>
      <c r="CO55" s="128" t="str">
        <f t="shared" si="200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1">B55</f>
        <v/>
      </c>
      <c r="CZ55" s="134" t="str">
        <f t="shared" si="201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18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69"/>
        <v/>
      </c>
      <c r="AC56" s="2"/>
      <c r="AE56" s="56">
        <v>45.0</v>
      </c>
      <c r="AF56" s="124" t="str">
        <f t="shared" ref="AF56:AG56" si="202">B56</f>
        <v/>
      </c>
      <c r="AG56" s="125" t="str">
        <f t="shared" si="202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3">B56</f>
        <v/>
      </c>
      <c r="BK56" s="125" t="str">
        <f t="shared" si="203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4">B56</f>
        <v/>
      </c>
      <c r="CO56" s="128" t="str">
        <f t="shared" si="204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5">B56</f>
        <v/>
      </c>
      <c r="CZ56" s="134" t="str">
        <f t="shared" si="205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18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69"/>
        <v/>
      </c>
      <c r="AC57" s="2"/>
      <c r="AE57" s="56">
        <v>46.0</v>
      </c>
      <c r="AF57" s="124" t="str">
        <f t="shared" ref="AF57:AG57" si="206">B57</f>
        <v/>
      </c>
      <c r="AG57" s="125" t="str">
        <f t="shared" si="206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7">B57</f>
        <v/>
      </c>
      <c r="BK57" s="125" t="str">
        <f t="shared" si="207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8">B57</f>
        <v/>
      </c>
      <c r="CO57" s="128" t="str">
        <f t="shared" si="208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9">B57</f>
        <v/>
      </c>
      <c r="CZ57" s="134" t="str">
        <f t="shared" si="209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18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69"/>
        <v/>
      </c>
      <c r="AC58" s="2"/>
      <c r="AE58" s="56">
        <v>47.0</v>
      </c>
      <c r="AF58" s="124" t="str">
        <f t="shared" ref="AF58:AG58" si="210">B58</f>
        <v/>
      </c>
      <c r="AG58" s="125" t="str">
        <f t="shared" si="210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1">B58</f>
        <v/>
      </c>
      <c r="BK58" s="125" t="str">
        <f t="shared" si="211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2">B58</f>
        <v/>
      </c>
      <c r="CO58" s="128" t="str">
        <f t="shared" si="212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3">B58</f>
        <v/>
      </c>
      <c r="CZ58" s="134" t="str">
        <f t="shared" si="213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18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69"/>
        <v/>
      </c>
      <c r="AC59" s="2"/>
      <c r="AE59" s="56">
        <v>48.0</v>
      </c>
      <c r="AF59" s="124" t="str">
        <f t="shared" ref="AF59:AG59" si="214">B59</f>
        <v/>
      </c>
      <c r="AG59" s="125" t="str">
        <f t="shared" si="214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5">B59</f>
        <v/>
      </c>
      <c r="BK59" s="125" t="str">
        <f t="shared" si="215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6">B59</f>
        <v/>
      </c>
      <c r="CO59" s="128" t="str">
        <f t="shared" si="216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7">B59</f>
        <v/>
      </c>
      <c r="CZ59" s="134" t="str">
        <f t="shared" si="217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18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69"/>
        <v/>
      </c>
      <c r="AC60" s="2"/>
      <c r="AE60" s="56">
        <v>49.0</v>
      </c>
      <c r="AF60" s="124" t="str">
        <f t="shared" ref="AF60:AG60" si="218">B60</f>
        <v/>
      </c>
      <c r="AG60" s="125" t="str">
        <f t="shared" si="218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9">B60</f>
        <v/>
      </c>
      <c r="BK60" s="125" t="str">
        <f t="shared" si="219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20">B60</f>
        <v/>
      </c>
      <c r="CO60" s="128" t="str">
        <f t="shared" si="220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1">B60</f>
        <v/>
      </c>
      <c r="CZ60" s="134" t="str">
        <f t="shared" si="221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18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69"/>
        <v/>
      </c>
      <c r="AC61" s="2"/>
      <c r="AE61" s="56">
        <v>50.0</v>
      </c>
      <c r="AF61" s="124" t="str">
        <f t="shared" ref="AF61:AG61" si="222">B61</f>
        <v/>
      </c>
      <c r="AG61" s="125" t="str">
        <f t="shared" si="222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3">B61</f>
        <v/>
      </c>
      <c r="BK61" s="125" t="str">
        <f t="shared" si="223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4">B61</f>
        <v/>
      </c>
      <c r="CO61" s="128" t="str">
        <f t="shared" si="224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5">B61</f>
        <v/>
      </c>
      <c r="CZ61" s="134" t="str">
        <f t="shared" si="225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5.271666667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6">
    <mergeCell ref="CB8:CC10"/>
    <mergeCell ref="CD8:CD11"/>
    <mergeCell ref="BL9:BS9"/>
    <mergeCell ref="BT9:CA9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BA8:BA11"/>
    <mergeCell ref="BB8:BB11"/>
    <mergeCell ref="BC8:BC11"/>
    <mergeCell ref="BD8:BD11"/>
    <mergeCell ref="BE8:BE11"/>
    <mergeCell ref="BI8:BK10"/>
    <mergeCell ref="BL8:CA8"/>
    <mergeCell ref="D9:K9"/>
    <mergeCell ref="L9:S9"/>
    <mergeCell ref="D10:E10"/>
    <mergeCell ref="F10:G10"/>
    <mergeCell ref="H10:I10"/>
    <mergeCell ref="J10:K10"/>
    <mergeCell ref="L10:M10"/>
    <mergeCell ref="N10:O10"/>
    <mergeCell ref="P10:Q10"/>
    <mergeCell ref="R10:S10"/>
    <mergeCell ref="D4:F4"/>
    <mergeCell ref="A8:C10"/>
    <mergeCell ref="D8:S8"/>
    <mergeCell ref="T8:U10"/>
    <mergeCell ref="V8:V11"/>
    <mergeCell ref="W8:W11"/>
    <mergeCell ref="X8:X11"/>
    <mergeCell ref="AH9:AO9"/>
    <mergeCell ref="AP9:AW9"/>
    <mergeCell ref="AL10:AM10"/>
    <mergeCell ref="AN10:AO10"/>
    <mergeCell ref="AP10:AQ10"/>
    <mergeCell ref="AR10:AS10"/>
    <mergeCell ref="AT10:AU10"/>
    <mergeCell ref="AV10:AW10"/>
    <mergeCell ref="Y8:Y11"/>
    <mergeCell ref="Z8:Z11"/>
    <mergeCell ref="AA8:AA11"/>
    <mergeCell ref="AE8:AG10"/>
    <mergeCell ref="AH8:AW8"/>
    <mergeCell ref="AX8:AY10"/>
    <mergeCell ref="AZ8:AZ11"/>
    <mergeCell ref="CM10:CO10"/>
    <mergeCell ref="CP10:CR10"/>
    <mergeCell ref="CP63:CQ63"/>
    <mergeCell ref="CP64:CQ64"/>
    <mergeCell ref="CQ66:CR66"/>
    <mergeCell ref="CS76:CT76"/>
    <mergeCell ref="CS77:CT77"/>
    <mergeCell ref="CE8:CE11"/>
    <mergeCell ref="CF8:CF11"/>
    <mergeCell ref="CG8:CG11"/>
    <mergeCell ref="CH8:CH11"/>
    <mergeCell ref="CI8:CI11"/>
    <mergeCell ref="CM9:CO9"/>
    <mergeCell ref="CP9:CT9"/>
    <mergeCell ref="CX2:CY2"/>
    <mergeCell ref="CZ2:DD2"/>
    <mergeCell ref="CX3:CY3"/>
    <mergeCell ref="CZ3:DD3"/>
    <mergeCell ref="CX4:CY4"/>
    <mergeCell ref="DA4:DB4"/>
    <mergeCell ref="CX6:DD6"/>
    <mergeCell ref="CX7:DD7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6:AA6"/>
    <mergeCell ref="AE6:BE6"/>
    <mergeCell ref="BI6:CI6"/>
    <mergeCell ref="CM6:CT6"/>
    <mergeCell ref="A7:AA7"/>
    <mergeCell ref="BI7:CI7"/>
    <mergeCell ref="CM7:CT7"/>
    <mergeCell ref="AH10:AI10"/>
    <mergeCell ref="AJ10:AK10"/>
    <mergeCell ref="CS10:CS11"/>
    <mergeCell ref="CT10:CT11"/>
    <mergeCell ref="DA10:DD10"/>
  </mergeCells>
  <conditionalFormatting sqref="D12:K61">
    <cfRule type="cellIs" dxfId="0" priority="1" operator="lessThan">
      <formula>7</formula>
    </cfRule>
  </conditionalFormatting>
  <conditionalFormatting sqref="D41:I41 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LOS VALORES DEBN SER ENTRE 0 Y 10 PTOS." sqref="AH12:AY61">
      <formula1>0.0</formula1>
      <formula2>10.0</formula2>
    </dataValidation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OS." sqref="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126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LCDA. SILVIA DURAN A 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LCDA. SILVIA DURAN A 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LCDA. SILVIA DURAN A 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LCDA. SILVIA DURAN A 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127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QUIMICA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QUIMICA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QUIMICA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QUIMICA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128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129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130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QUIMI!CM10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94"/>
      <c r="F12" s="120"/>
      <c r="G12" s="120"/>
      <c r="H12" s="119">
        <v>10.0</v>
      </c>
      <c r="I12" s="120"/>
      <c r="J12" s="120"/>
      <c r="K12" s="120"/>
      <c r="L12" s="62"/>
      <c r="M12" s="62"/>
      <c r="N12" s="62"/>
      <c r="O12" s="62"/>
      <c r="P12" s="121">
        <v>10.0</v>
      </c>
      <c r="Q12" s="62"/>
      <c r="R12" s="62"/>
      <c r="S12" s="62"/>
      <c r="T12" s="122"/>
      <c r="U12" s="122"/>
      <c r="V12" s="62">
        <f t="shared" ref="V12:V61" si="9">IFERROR(TRUNC(AVERAGE(D12:U12),2),"")*70/100</f>
        <v>7</v>
      </c>
      <c r="W12" s="195">
        <v>8.0</v>
      </c>
      <c r="X12" s="123">
        <f>'PROY. INTER'!W12</f>
        <v>10</v>
      </c>
      <c r="Y12" s="62">
        <f t="shared" ref="Y12:Y61" si="10">AVERAGE(W12:X12)</f>
        <v>9</v>
      </c>
      <c r="Z12" s="62">
        <f t="shared" ref="Z12:Z61" si="11">Y12*30/100</f>
        <v>2.7</v>
      </c>
      <c r="AA12" s="64">
        <f t="shared" ref="AA12:AA61" si="12">IFERROR(TRUNC(SUM(V12+Z12),2),"")</f>
        <v>9.7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20"/>
      <c r="AI12" s="120"/>
      <c r="AJ12" s="120"/>
      <c r="AK12" s="120"/>
      <c r="AL12" s="196">
        <v>10.0</v>
      </c>
      <c r="AM12" s="196">
        <v>10.0</v>
      </c>
      <c r="AN12" s="120"/>
      <c r="AO12" s="120"/>
      <c r="AP12" s="62"/>
      <c r="AQ12" s="62"/>
      <c r="AR12" s="62"/>
      <c r="AS12" s="62"/>
      <c r="AT12" s="196">
        <v>10.0</v>
      </c>
      <c r="AU12" s="196">
        <v>10.0</v>
      </c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95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9">
        <v>1.0</v>
      </c>
      <c r="CN12" s="127" t="str">
        <f t="shared" ref="CN12:CO12" si="7">B12</f>
        <v/>
      </c>
      <c r="CO12" s="129" t="str">
        <f t="shared" si="7"/>
        <v>Almeida Alvarado Ariana Guisela</v>
      </c>
      <c r="CP12" s="129">
        <f t="shared" ref="CP12:CP61" si="24">AA12</f>
        <v>9.7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6.56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6.56</v>
      </c>
      <c r="DB12" s="136"/>
      <c r="DC12" s="137">
        <f t="shared" ref="DC12:DC61" si="31">IF(DA12&gt;=7,DA12,IF(DA12="","",IF(DB12="",AVERAGE(DA12:DB12),IF(AND(DA12&lt;4.01,DB12&lt;&gt;""),DA12,IF(DB12&lt;7,DA12,7)))))</f>
        <v>6.56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 ht="18.0" customHeight="1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10.0</v>
      </c>
      <c r="E13" s="140"/>
      <c r="F13" s="140"/>
      <c r="G13" s="140"/>
      <c r="H13" s="139">
        <v>10.0</v>
      </c>
      <c r="I13" s="140"/>
      <c r="J13" s="140"/>
      <c r="K13" s="140"/>
      <c r="L13" s="62"/>
      <c r="M13" s="62"/>
      <c r="N13" s="62"/>
      <c r="O13" s="62"/>
      <c r="P13" s="121">
        <v>10.0</v>
      </c>
      <c r="Q13" s="62"/>
      <c r="R13" s="62"/>
      <c r="S13" s="62"/>
      <c r="T13" s="141"/>
      <c r="U13" s="141"/>
      <c r="V13" s="62">
        <f t="shared" si="9"/>
        <v>7</v>
      </c>
      <c r="W13" s="195">
        <v>7.0</v>
      </c>
      <c r="X13" s="123">
        <f>'PROY. INTER'!W13</f>
        <v>10</v>
      </c>
      <c r="Y13" s="62">
        <f t="shared" si="10"/>
        <v>8.5</v>
      </c>
      <c r="Z13" s="62">
        <f t="shared" si="11"/>
        <v>2.55</v>
      </c>
      <c r="AA13" s="64">
        <f t="shared" si="12"/>
        <v>9.55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40"/>
      <c r="AI13" s="140"/>
      <c r="AJ13" s="140"/>
      <c r="AK13" s="140"/>
      <c r="AL13" s="197">
        <v>10.0</v>
      </c>
      <c r="AM13" s="197">
        <v>10.0</v>
      </c>
      <c r="AN13" s="140"/>
      <c r="AO13" s="140"/>
      <c r="AP13" s="62"/>
      <c r="AQ13" s="62"/>
      <c r="AR13" s="62"/>
      <c r="AS13" s="62"/>
      <c r="AT13" s="197">
        <v>10.0</v>
      </c>
      <c r="AU13" s="197">
        <v>10.0</v>
      </c>
      <c r="AV13" s="62"/>
      <c r="AW13" s="62"/>
      <c r="AX13" s="141"/>
      <c r="AY13" s="141"/>
      <c r="AZ13" s="62">
        <f t="shared" si="14"/>
        <v>7</v>
      </c>
      <c r="BA13" s="195">
        <v>7.0</v>
      </c>
      <c r="BB13" s="123">
        <f>'PROY. INTER'!AX13</f>
        <v>10</v>
      </c>
      <c r="BC13" s="62">
        <f t="shared" si="15"/>
        <v>8.5</v>
      </c>
      <c r="BD13" s="62">
        <f t="shared" si="16"/>
        <v>2.55</v>
      </c>
      <c r="BE13" s="64">
        <f t="shared" si="17"/>
        <v>9.55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9">
        <v>2.0</v>
      </c>
      <c r="CN13" s="127" t="str">
        <f t="shared" ref="CN13:CO13" si="23">B13</f>
        <v/>
      </c>
      <c r="CO13" s="129" t="str">
        <f t="shared" si="23"/>
        <v>Alvarado Vargas Dacmar Alejandra</v>
      </c>
      <c r="CP13" s="129">
        <f t="shared" si="24"/>
        <v>9.55</v>
      </c>
      <c r="CQ13" s="129">
        <f t="shared" si="25"/>
        <v>9.55</v>
      </c>
      <c r="CR13" s="129">
        <f t="shared" si="26"/>
        <v>0</v>
      </c>
      <c r="CS13" s="130">
        <f t="shared" si="27"/>
        <v>6.36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6.36</v>
      </c>
      <c r="DB13" s="142"/>
      <c r="DC13" s="137">
        <f t="shared" si="31"/>
        <v>6.36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7.0</v>
      </c>
      <c r="E14" s="140"/>
      <c r="F14" s="140"/>
      <c r="G14" s="140"/>
      <c r="H14" s="139">
        <v>10.0</v>
      </c>
      <c r="I14" s="140"/>
      <c r="J14" s="140"/>
      <c r="K14" s="140"/>
      <c r="L14" s="62"/>
      <c r="M14" s="62"/>
      <c r="N14" s="143"/>
      <c r="O14" s="143"/>
      <c r="P14" s="144">
        <v>10.0</v>
      </c>
      <c r="Q14" s="143"/>
      <c r="R14" s="143"/>
      <c r="S14" s="143"/>
      <c r="T14" s="141"/>
      <c r="U14" s="141"/>
      <c r="V14" s="62">
        <f t="shared" si="9"/>
        <v>6.3</v>
      </c>
      <c r="W14" s="195">
        <v>7.5</v>
      </c>
      <c r="X14" s="123">
        <f>'PROY. INTER'!W14</f>
        <v>8.2</v>
      </c>
      <c r="Y14" s="62">
        <f t="shared" si="10"/>
        <v>7.85</v>
      </c>
      <c r="Z14" s="62">
        <f t="shared" si="11"/>
        <v>2.355</v>
      </c>
      <c r="AA14" s="64">
        <f t="shared" si="12"/>
        <v>8.65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40"/>
      <c r="AI14" s="140"/>
      <c r="AJ14" s="140"/>
      <c r="AK14" s="140"/>
      <c r="AL14" s="197">
        <v>9.0</v>
      </c>
      <c r="AM14" s="197">
        <v>8.0</v>
      </c>
      <c r="AN14" s="140"/>
      <c r="AO14" s="140"/>
      <c r="AP14" s="62"/>
      <c r="AQ14" s="62"/>
      <c r="AR14" s="62"/>
      <c r="AS14" s="62"/>
      <c r="AT14" s="197">
        <v>10.0</v>
      </c>
      <c r="AU14" s="197">
        <v>8.0</v>
      </c>
      <c r="AV14" s="62"/>
      <c r="AW14" s="62"/>
      <c r="AX14" s="141"/>
      <c r="AY14" s="141"/>
      <c r="AZ14" s="62">
        <f t="shared" si="14"/>
        <v>6.125</v>
      </c>
      <c r="BA14" s="195">
        <v>5.0</v>
      </c>
      <c r="BB14" s="123">
        <f>'PROY. INTER'!AX14</f>
        <v>10</v>
      </c>
      <c r="BC14" s="62">
        <f t="shared" si="15"/>
        <v>7.5</v>
      </c>
      <c r="BD14" s="62">
        <f t="shared" si="16"/>
        <v>2.25</v>
      </c>
      <c r="BE14" s="64">
        <f t="shared" si="17"/>
        <v>8.37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198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9">
        <v>3.0</v>
      </c>
      <c r="CN14" s="127" t="str">
        <f t="shared" ref="CN14:CO14" si="35">B14</f>
        <v/>
      </c>
      <c r="CO14" s="129" t="str">
        <f t="shared" si="35"/>
        <v>Ampuero Cornejo Cesar Jeanpierre</v>
      </c>
      <c r="CP14" s="129">
        <f t="shared" si="24"/>
        <v>8.65</v>
      </c>
      <c r="CQ14" s="129">
        <f t="shared" si="25"/>
        <v>8.37</v>
      </c>
      <c r="CR14" s="129">
        <f t="shared" si="26"/>
        <v>0</v>
      </c>
      <c r="CS14" s="130">
        <f t="shared" si="27"/>
        <v>5.67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5.67</v>
      </c>
      <c r="DB14" s="136"/>
      <c r="DC14" s="137">
        <f t="shared" si="31"/>
        <v>5.67</v>
      </c>
      <c r="DD14" s="138" t="str">
        <f t="shared" si="32"/>
        <v>NO PROMOVIDO</v>
      </c>
    </row>
    <row r="15" ht="18.0" customHeight="1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5.0</v>
      </c>
      <c r="E15" s="140"/>
      <c r="F15" s="140"/>
      <c r="G15" s="140"/>
      <c r="H15" s="139">
        <v>7.0</v>
      </c>
      <c r="I15" s="140"/>
      <c r="J15" s="140"/>
      <c r="K15" s="140"/>
      <c r="L15" s="62"/>
      <c r="M15" s="62"/>
      <c r="N15" s="143"/>
      <c r="O15" s="143"/>
      <c r="P15" s="144">
        <v>8.0</v>
      </c>
      <c r="Q15" s="143"/>
      <c r="R15" s="143"/>
      <c r="S15" s="143"/>
      <c r="T15" s="141"/>
      <c r="U15" s="141"/>
      <c r="V15" s="62">
        <f t="shared" si="9"/>
        <v>4.662</v>
      </c>
      <c r="W15" s="121">
        <v>3.4</v>
      </c>
      <c r="X15" s="123">
        <f>'PROY. INTER'!W15</f>
        <v>6.73</v>
      </c>
      <c r="Y15" s="62">
        <f t="shared" si="10"/>
        <v>5.065</v>
      </c>
      <c r="Z15" s="62">
        <f t="shared" si="11"/>
        <v>1.5195</v>
      </c>
      <c r="AA15" s="64">
        <f t="shared" si="12"/>
        <v>6.18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40"/>
      <c r="AI15" s="140"/>
      <c r="AJ15" s="140"/>
      <c r="AK15" s="140"/>
      <c r="AL15" s="197">
        <v>7.0</v>
      </c>
      <c r="AM15" s="197">
        <v>8.0</v>
      </c>
      <c r="AN15" s="140"/>
      <c r="AO15" s="140"/>
      <c r="AP15" s="62"/>
      <c r="AQ15" s="62"/>
      <c r="AR15" s="143"/>
      <c r="AS15" s="143"/>
      <c r="AT15" s="197">
        <v>8.0</v>
      </c>
      <c r="AU15" s="197">
        <v>7.0</v>
      </c>
      <c r="AV15" s="143"/>
      <c r="AW15" s="143"/>
      <c r="AX15" s="141"/>
      <c r="AY15" s="141"/>
      <c r="AZ15" s="62">
        <f t="shared" si="14"/>
        <v>5.25</v>
      </c>
      <c r="BA15" s="195">
        <v>7.0</v>
      </c>
      <c r="BB15" s="123">
        <f>'PROY. INTER'!AX15</f>
        <v>10</v>
      </c>
      <c r="BC15" s="62">
        <f t="shared" si="15"/>
        <v>8.5</v>
      </c>
      <c r="BD15" s="62">
        <f t="shared" si="16"/>
        <v>2.55</v>
      </c>
      <c r="BE15" s="64">
        <f t="shared" si="17"/>
        <v>7.8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9">
        <v>4.0</v>
      </c>
      <c r="CN15" s="127" t="str">
        <f t="shared" ref="CN15:CO15" si="39">B15</f>
        <v/>
      </c>
      <c r="CO15" s="129" t="str">
        <f t="shared" si="39"/>
        <v>Aylla Murillo Kerly Kristhel</v>
      </c>
      <c r="CP15" s="129">
        <f t="shared" si="24"/>
        <v>6.18</v>
      </c>
      <c r="CQ15" s="129">
        <f t="shared" si="25"/>
        <v>7.8</v>
      </c>
      <c r="CR15" s="129">
        <f t="shared" si="26"/>
        <v>0</v>
      </c>
      <c r="CS15" s="130">
        <f t="shared" si="27"/>
        <v>4.66</v>
      </c>
      <c r="CT15" s="131" t="str">
        <f t="shared" si="28"/>
        <v>REPROBADO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4.66</v>
      </c>
      <c r="DB15" s="136"/>
      <c r="DC15" s="137">
        <f t="shared" si="31"/>
        <v>4.66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10.0</v>
      </c>
      <c r="E16" s="140"/>
      <c r="F16" s="140"/>
      <c r="G16" s="140"/>
      <c r="H16" s="139">
        <v>9.0</v>
      </c>
      <c r="I16" s="140"/>
      <c r="J16" s="140"/>
      <c r="K16" s="140"/>
      <c r="L16" s="62"/>
      <c r="M16" s="62"/>
      <c r="N16" s="143"/>
      <c r="O16" s="143"/>
      <c r="P16" s="144">
        <v>9.0</v>
      </c>
      <c r="Q16" s="143"/>
      <c r="R16" s="143"/>
      <c r="S16" s="143"/>
      <c r="T16" s="141"/>
      <c r="U16" s="141"/>
      <c r="V16" s="62">
        <f t="shared" si="9"/>
        <v>6.531</v>
      </c>
      <c r="W16" s="121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8.93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40"/>
      <c r="AI16" s="140"/>
      <c r="AJ16" s="140"/>
      <c r="AK16" s="140"/>
      <c r="AL16" s="197">
        <v>7.0</v>
      </c>
      <c r="AM16" s="197">
        <v>7.0</v>
      </c>
      <c r="AN16" s="140"/>
      <c r="AO16" s="140"/>
      <c r="AP16" s="62"/>
      <c r="AQ16" s="62"/>
      <c r="AR16" s="143"/>
      <c r="AS16" s="143"/>
      <c r="AT16" s="197">
        <v>7.0</v>
      </c>
      <c r="AU16" s="197">
        <v>7.0</v>
      </c>
      <c r="AV16" s="143"/>
      <c r="AW16" s="143"/>
      <c r="AX16" s="141"/>
      <c r="AY16" s="141"/>
      <c r="AZ16" s="62">
        <f t="shared" si="14"/>
        <v>4.9</v>
      </c>
      <c r="BA16" s="195">
        <v>7.0</v>
      </c>
      <c r="BB16" s="123">
        <f>'PROY. INTER'!AX16</f>
        <v>2</v>
      </c>
      <c r="BC16" s="62">
        <f t="shared" si="15"/>
        <v>4.5</v>
      </c>
      <c r="BD16" s="62">
        <f t="shared" si="16"/>
        <v>1.35</v>
      </c>
      <c r="BE16" s="64">
        <f t="shared" si="17"/>
        <v>6.25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9">
        <v>5.0</v>
      </c>
      <c r="CN16" s="127" t="str">
        <f t="shared" ref="CN16:CO16" si="43">B16</f>
        <v/>
      </c>
      <c r="CO16" s="129" t="str">
        <f t="shared" si="43"/>
        <v>Campuzano Meza Naydelyn Odeth</v>
      </c>
      <c r="CP16" s="129">
        <f t="shared" si="24"/>
        <v>8.93</v>
      </c>
      <c r="CQ16" s="129">
        <f t="shared" si="25"/>
        <v>6.25</v>
      </c>
      <c r="CR16" s="129">
        <f t="shared" si="26"/>
        <v>0</v>
      </c>
      <c r="CS16" s="130">
        <f t="shared" si="27"/>
        <v>5.06</v>
      </c>
      <c r="CT16" s="131" t="str">
        <f t="shared" si="28"/>
        <v>SUPLETORIO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5.06</v>
      </c>
      <c r="DB16" s="136"/>
      <c r="DC16" s="137">
        <f t="shared" si="31"/>
        <v>5.06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10.0</v>
      </c>
      <c r="E17" s="140"/>
      <c r="F17" s="140"/>
      <c r="G17" s="140"/>
      <c r="H17" s="139">
        <v>10.0</v>
      </c>
      <c r="I17" s="140"/>
      <c r="J17" s="140"/>
      <c r="K17" s="140"/>
      <c r="L17" s="62"/>
      <c r="M17" s="62"/>
      <c r="N17" s="143"/>
      <c r="O17" s="143"/>
      <c r="P17" s="144">
        <v>10.0</v>
      </c>
      <c r="Q17" s="143"/>
      <c r="R17" s="143"/>
      <c r="S17" s="143"/>
      <c r="T17" s="141"/>
      <c r="U17" s="141"/>
      <c r="V17" s="62">
        <f t="shared" si="9"/>
        <v>7</v>
      </c>
      <c r="W17" s="121">
        <v>7.0</v>
      </c>
      <c r="X17" s="123">
        <f>'PROY. INTER'!W17</f>
        <v>9.87</v>
      </c>
      <c r="Y17" s="62">
        <f t="shared" si="10"/>
        <v>8.435</v>
      </c>
      <c r="Z17" s="62">
        <f t="shared" si="11"/>
        <v>2.5305</v>
      </c>
      <c r="AA17" s="64">
        <f t="shared" si="12"/>
        <v>9.53</v>
      </c>
      <c r="AC17" s="2"/>
      <c r="AE17" s="56">
        <v>6.0</v>
      </c>
      <c r="AF17" s="124" t="str">
        <f t="shared" ref="AF17:AG17" si="45">B17</f>
        <v/>
      </c>
      <c r="AG17" s="188" t="str">
        <f t="shared" si="45"/>
        <v>Cantos Zúñiga a Hernán Snayder</v>
      </c>
      <c r="AH17" s="140"/>
      <c r="AI17" s="140"/>
      <c r="AJ17" s="140"/>
      <c r="AK17" s="140"/>
      <c r="AL17" s="197">
        <v>8.0</v>
      </c>
      <c r="AM17" s="197">
        <v>7.0</v>
      </c>
      <c r="AN17" s="140"/>
      <c r="AO17" s="140"/>
      <c r="AP17" s="62"/>
      <c r="AQ17" s="62"/>
      <c r="AR17" s="143"/>
      <c r="AS17" s="143"/>
      <c r="AT17" s="197">
        <v>8.0</v>
      </c>
      <c r="AU17" s="197">
        <v>8.0</v>
      </c>
      <c r="AV17" s="143"/>
      <c r="AW17" s="143"/>
      <c r="AX17" s="141"/>
      <c r="AY17" s="141"/>
      <c r="AZ17" s="62">
        <f t="shared" si="14"/>
        <v>5.425</v>
      </c>
      <c r="BA17" s="195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7.97</v>
      </c>
      <c r="BG17" s="2"/>
      <c r="BI17" s="56">
        <v>6.0</v>
      </c>
      <c r="BJ17" s="124" t="str">
        <f t="shared" ref="BJ17:BK17" si="46">B17</f>
        <v/>
      </c>
      <c r="BK17" s="12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9">
        <v>6.0</v>
      </c>
      <c r="CN17" s="127" t="str">
        <f t="shared" ref="CN17:CO17" si="47">B17</f>
        <v/>
      </c>
      <c r="CO17" s="129" t="str">
        <f t="shared" si="47"/>
        <v>Cantos Zúñiga a Hernán Snayder</v>
      </c>
      <c r="CP17" s="129">
        <f t="shared" si="24"/>
        <v>9.53</v>
      </c>
      <c r="CQ17" s="129">
        <f t="shared" si="25"/>
        <v>7.97</v>
      </c>
      <c r="CR17" s="129">
        <f t="shared" si="26"/>
        <v>0</v>
      </c>
      <c r="CS17" s="130">
        <f t="shared" si="27"/>
        <v>5.83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5.83</v>
      </c>
      <c r="DB17" s="136"/>
      <c r="DC17" s="137">
        <f t="shared" si="31"/>
        <v>5.83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8.0</v>
      </c>
      <c r="E18" s="140"/>
      <c r="F18" s="140"/>
      <c r="G18" s="140"/>
      <c r="H18" s="139">
        <v>10.0</v>
      </c>
      <c r="I18" s="140"/>
      <c r="J18" s="140"/>
      <c r="K18" s="140"/>
      <c r="L18" s="62"/>
      <c r="M18" s="62"/>
      <c r="N18" s="143"/>
      <c r="O18" s="143"/>
      <c r="P18" s="144">
        <v>10.0</v>
      </c>
      <c r="Q18" s="143"/>
      <c r="R18" s="143"/>
      <c r="S18" s="143"/>
      <c r="T18" s="141"/>
      <c r="U18" s="141"/>
      <c r="V18" s="62">
        <f t="shared" si="9"/>
        <v>6.531</v>
      </c>
      <c r="W18" s="121">
        <v>7.0</v>
      </c>
      <c r="X18" s="123">
        <f>'PROY. INTER'!W18</f>
        <v>9</v>
      </c>
      <c r="Y18" s="62">
        <f t="shared" si="10"/>
        <v>8</v>
      </c>
      <c r="Z18" s="62">
        <f t="shared" si="11"/>
        <v>2.4</v>
      </c>
      <c r="AA18" s="64">
        <f t="shared" si="12"/>
        <v>8.93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40"/>
      <c r="AI18" s="140"/>
      <c r="AJ18" s="140"/>
      <c r="AK18" s="140"/>
      <c r="AL18" s="197">
        <v>8.0</v>
      </c>
      <c r="AM18" s="197">
        <v>7.0</v>
      </c>
      <c r="AN18" s="140"/>
      <c r="AO18" s="140"/>
      <c r="AP18" s="62"/>
      <c r="AQ18" s="62"/>
      <c r="AR18" s="143"/>
      <c r="AS18" s="143"/>
      <c r="AT18" s="197">
        <v>7.0</v>
      </c>
      <c r="AU18" s="199">
        <v>8.0</v>
      </c>
      <c r="AV18" s="143"/>
      <c r="AW18" s="143"/>
      <c r="AX18" s="141"/>
      <c r="AY18" s="141"/>
      <c r="AZ18" s="62">
        <f t="shared" si="14"/>
        <v>5.25</v>
      </c>
      <c r="BA18" s="200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6.75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9">
        <v>7.0</v>
      </c>
      <c r="CN18" s="127" t="str">
        <f t="shared" ref="CN18:CO18" si="51">B18</f>
        <v/>
      </c>
      <c r="CO18" s="129" t="str">
        <f t="shared" si="51"/>
        <v>Carranza Dumes Genesis Daniela</v>
      </c>
      <c r="CP18" s="129">
        <f t="shared" si="24"/>
        <v>8.93</v>
      </c>
      <c r="CQ18" s="129">
        <f t="shared" si="25"/>
        <v>6.75</v>
      </c>
      <c r="CR18" s="129">
        <f t="shared" si="26"/>
        <v>0</v>
      </c>
      <c r="CS18" s="130">
        <f t="shared" si="27"/>
        <v>5.22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5.22</v>
      </c>
      <c r="DB18" s="136"/>
      <c r="DC18" s="137">
        <f t="shared" si="31"/>
        <v>5.22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7.0</v>
      </c>
      <c r="E19" s="140"/>
      <c r="F19" s="140"/>
      <c r="G19" s="140"/>
      <c r="H19" s="139">
        <v>2.0</v>
      </c>
      <c r="I19" s="140"/>
      <c r="J19" s="140"/>
      <c r="K19" s="140"/>
      <c r="L19" s="62"/>
      <c r="M19" s="62"/>
      <c r="N19" s="143"/>
      <c r="O19" s="143"/>
      <c r="P19" s="144">
        <v>2.0</v>
      </c>
      <c r="Q19" s="143"/>
      <c r="R19" s="143"/>
      <c r="S19" s="143"/>
      <c r="T19" s="141"/>
      <c r="U19" s="141"/>
      <c r="V19" s="62">
        <f t="shared" si="9"/>
        <v>2.562</v>
      </c>
      <c r="W19" s="121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4.96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40"/>
      <c r="AI19" s="140"/>
      <c r="AJ19" s="140"/>
      <c r="AK19" s="140"/>
      <c r="AL19" s="199">
        <v>5.0</v>
      </c>
      <c r="AM19" s="199">
        <v>5.0</v>
      </c>
      <c r="AN19" s="140"/>
      <c r="AO19" s="140"/>
      <c r="AP19" s="62"/>
      <c r="AQ19" s="62"/>
      <c r="AR19" s="143"/>
      <c r="AS19" s="143"/>
      <c r="AT19" s="199">
        <v>5.0</v>
      </c>
      <c r="AU19" s="199">
        <v>5.0</v>
      </c>
      <c r="AV19" s="143"/>
      <c r="AW19" s="143"/>
      <c r="AX19" s="141"/>
      <c r="AY19" s="141"/>
      <c r="AZ19" s="62">
        <f t="shared" si="14"/>
        <v>3.5</v>
      </c>
      <c r="BA19" s="200">
        <v>5.0</v>
      </c>
      <c r="BB19" s="123">
        <f>'PROY. INTER'!AX19</f>
        <v>2</v>
      </c>
      <c r="BC19" s="62">
        <f t="shared" si="15"/>
        <v>3.5</v>
      </c>
      <c r="BD19" s="62">
        <f t="shared" si="16"/>
        <v>1.05</v>
      </c>
      <c r="BE19" s="64">
        <f t="shared" si="17"/>
        <v>4.55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9">
        <v>8.0</v>
      </c>
      <c r="CN19" s="127" t="str">
        <f t="shared" ref="CN19:CO19" si="55">B19</f>
        <v/>
      </c>
      <c r="CO19" s="129" t="str">
        <f t="shared" si="55"/>
        <v>Castro De La Rosa Cristopher Ruben</v>
      </c>
      <c r="CP19" s="129">
        <f t="shared" si="24"/>
        <v>4.96</v>
      </c>
      <c r="CQ19" s="129">
        <f t="shared" si="25"/>
        <v>4.55</v>
      </c>
      <c r="CR19" s="129">
        <f t="shared" si="26"/>
        <v>0</v>
      </c>
      <c r="CS19" s="130">
        <f t="shared" si="27"/>
        <v>3.17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3.17</v>
      </c>
      <c r="DB19" s="136"/>
      <c r="DC19" s="137">
        <f t="shared" si="31"/>
        <v>3.17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3.5</v>
      </c>
      <c r="E20" s="140"/>
      <c r="F20" s="140"/>
      <c r="G20" s="140"/>
      <c r="H20" s="139">
        <v>3.5</v>
      </c>
      <c r="I20" s="140"/>
      <c r="J20" s="140"/>
      <c r="K20" s="140"/>
      <c r="L20" s="62"/>
      <c r="M20" s="62"/>
      <c r="N20" s="143"/>
      <c r="O20" s="143"/>
      <c r="P20" s="144">
        <v>4.0</v>
      </c>
      <c r="Q20" s="143"/>
      <c r="R20" s="143"/>
      <c r="S20" s="143"/>
      <c r="T20" s="141"/>
      <c r="U20" s="141"/>
      <c r="V20" s="62">
        <f t="shared" si="9"/>
        <v>2.562</v>
      </c>
      <c r="W20" s="121">
        <v>4.0</v>
      </c>
      <c r="X20" s="123">
        <f>'PROY. INTER'!W20</f>
        <v>6</v>
      </c>
      <c r="Y20" s="62">
        <f t="shared" si="10"/>
        <v>5</v>
      </c>
      <c r="Z20" s="62">
        <f t="shared" si="11"/>
        <v>1.5</v>
      </c>
      <c r="AA20" s="64">
        <f t="shared" si="12"/>
        <v>4.06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40"/>
      <c r="AI20" s="140"/>
      <c r="AJ20" s="140"/>
      <c r="AK20" s="140"/>
      <c r="AL20" s="197">
        <v>7.0</v>
      </c>
      <c r="AM20" s="197">
        <v>7.0</v>
      </c>
      <c r="AN20" s="140"/>
      <c r="AO20" s="140"/>
      <c r="AP20" s="62"/>
      <c r="AQ20" s="62"/>
      <c r="AR20" s="143"/>
      <c r="AS20" s="143"/>
      <c r="AT20" s="197">
        <v>7.0</v>
      </c>
      <c r="AU20" s="197">
        <v>7.0</v>
      </c>
      <c r="AV20" s="143"/>
      <c r="AW20" s="143"/>
      <c r="AX20" s="141"/>
      <c r="AY20" s="141"/>
      <c r="AZ20" s="62">
        <f t="shared" si="14"/>
        <v>4.9</v>
      </c>
      <c r="BA20" s="195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7.45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198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9">
        <v>9.0</v>
      </c>
      <c r="CN20" s="127" t="str">
        <f t="shared" ref="CN20:CO20" si="59">B20</f>
        <v/>
      </c>
      <c r="CO20" s="129" t="str">
        <f t="shared" si="59"/>
        <v>Chamba Maurad Joshelyn Juleixi</v>
      </c>
      <c r="CP20" s="129">
        <f t="shared" si="24"/>
        <v>4.06</v>
      </c>
      <c r="CQ20" s="129">
        <f t="shared" si="25"/>
        <v>7.45</v>
      </c>
      <c r="CR20" s="129">
        <f t="shared" si="26"/>
        <v>0</v>
      </c>
      <c r="CS20" s="130">
        <f t="shared" si="27"/>
        <v>3.83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3.83</v>
      </c>
      <c r="DB20" s="136"/>
      <c r="DC20" s="137">
        <f t="shared" si="31"/>
        <v>3.83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4.0</v>
      </c>
      <c r="E21" s="140"/>
      <c r="F21" s="140"/>
      <c r="G21" s="140"/>
      <c r="H21" s="139">
        <v>3.5</v>
      </c>
      <c r="I21" s="140"/>
      <c r="J21" s="140"/>
      <c r="K21" s="140"/>
      <c r="L21" s="62"/>
      <c r="M21" s="62"/>
      <c r="N21" s="143"/>
      <c r="O21" s="143"/>
      <c r="P21" s="144">
        <v>4.0</v>
      </c>
      <c r="Q21" s="143"/>
      <c r="R21" s="143"/>
      <c r="S21" s="143"/>
      <c r="T21" s="141"/>
      <c r="U21" s="141"/>
      <c r="V21" s="62">
        <f t="shared" si="9"/>
        <v>2.681</v>
      </c>
      <c r="W21" s="121">
        <v>3.0</v>
      </c>
      <c r="X21" s="123">
        <f>'PROY. INTER'!W21</f>
        <v>6</v>
      </c>
      <c r="Y21" s="62">
        <f t="shared" si="10"/>
        <v>4.5</v>
      </c>
      <c r="Z21" s="62">
        <f t="shared" si="11"/>
        <v>1.35</v>
      </c>
      <c r="AA21" s="64">
        <f t="shared" si="12"/>
        <v>4.03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40"/>
      <c r="AI21" s="140"/>
      <c r="AJ21" s="140"/>
      <c r="AK21" s="140"/>
      <c r="AL21" s="199">
        <v>5.0</v>
      </c>
      <c r="AM21" s="199">
        <v>5.0</v>
      </c>
      <c r="AN21" s="140"/>
      <c r="AO21" s="140"/>
      <c r="AP21" s="62"/>
      <c r="AQ21" s="62"/>
      <c r="AR21" s="143"/>
      <c r="AS21" s="143"/>
      <c r="AT21" s="199">
        <v>5.0</v>
      </c>
      <c r="AU21" s="199">
        <v>5.0</v>
      </c>
      <c r="AV21" s="143"/>
      <c r="AW21" s="143"/>
      <c r="AX21" s="141"/>
      <c r="AY21" s="141"/>
      <c r="AZ21" s="62">
        <f t="shared" si="14"/>
        <v>3.5</v>
      </c>
      <c r="BA21" s="200">
        <v>5.0</v>
      </c>
      <c r="BB21" s="123">
        <f>'PROY. INTER'!AX21</f>
        <v>2</v>
      </c>
      <c r="BC21" s="62">
        <f t="shared" si="15"/>
        <v>3.5</v>
      </c>
      <c r="BD21" s="62">
        <f t="shared" si="16"/>
        <v>1.05</v>
      </c>
      <c r="BE21" s="64">
        <f t="shared" si="17"/>
        <v>4.55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9">
        <v>10.0</v>
      </c>
      <c r="CN21" s="127" t="str">
        <f t="shared" ref="CN21:CO21" si="63">B21</f>
        <v/>
      </c>
      <c r="CO21" s="129" t="str">
        <f t="shared" si="63"/>
        <v>Cedeño Sanchez Josué</v>
      </c>
      <c r="CP21" s="129">
        <f t="shared" si="24"/>
        <v>4.03</v>
      </c>
      <c r="CQ21" s="129">
        <f t="shared" si="25"/>
        <v>4.55</v>
      </c>
      <c r="CR21" s="129">
        <f t="shared" si="26"/>
        <v>0</v>
      </c>
      <c r="CS21" s="130">
        <f t="shared" si="27"/>
        <v>2.86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2.86</v>
      </c>
      <c r="DB21" s="136"/>
      <c r="DC21" s="137">
        <f t="shared" si="31"/>
        <v>2.86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40"/>
      <c r="F22" s="140"/>
      <c r="G22" s="140"/>
      <c r="H22" s="139">
        <v>9.0</v>
      </c>
      <c r="I22" s="140"/>
      <c r="J22" s="140"/>
      <c r="K22" s="140"/>
      <c r="L22" s="62"/>
      <c r="M22" s="62"/>
      <c r="N22" s="143"/>
      <c r="O22" s="143"/>
      <c r="P22" s="144">
        <v>10.0</v>
      </c>
      <c r="Q22" s="143"/>
      <c r="R22" s="143"/>
      <c r="S22" s="143"/>
      <c r="T22" s="141"/>
      <c r="U22" s="141"/>
      <c r="V22" s="62">
        <f t="shared" si="9"/>
        <v>6.762</v>
      </c>
      <c r="W22" s="121">
        <v>8.0</v>
      </c>
      <c r="X22" s="123">
        <f>'PROY. INTER'!W22</f>
        <v>10</v>
      </c>
      <c r="Y22" s="62">
        <f t="shared" si="10"/>
        <v>9</v>
      </c>
      <c r="Z22" s="62">
        <f t="shared" si="11"/>
        <v>2.7</v>
      </c>
      <c r="AA22" s="64">
        <f t="shared" si="12"/>
        <v>9.46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40"/>
      <c r="AI22" s="140"/>
      <c r="AJ22" s="140"/>
      <c r="AK22" s="140"/>
      <c r="AL22" s="197">
        <v>10.0</v>
      </c>
      <c r="AM22" s="197">
        <v>10.0</v>
      </c>
      <c r="AN22" s="140"/>
      <c r="AO22" s="140"/>
      <c r="AP22" s="62"/>
      <c r="AQ22" s="62"/>
      <c r="AR22" s="143"/>
      <c r="AS22" s="143"/>
      <c r="AT22" s="197">
        <v>10.0</v>
      </c>
      <c r="AU22" s="197">
        <v>10.0</v>
      </c>
      <c r="AV22" s="143"/>
      <c r="AW22" s="143"/>
      <c r="AX22" s="141"/>
      <c r="AY22" s="141"/>
      <c r="AZ22" s="62">
        <f t="shared" si="14"/>
        <v>7</v>
      </c>
      <c r="BA22" s="200">
        <v>7.0</v>
      </c>
      <c r="BB22" s="123">
        <f>'PROY. INTER'!AX22</f>
        <v>10</v>
      </c>
      <c r="BC22" s="62">
        <f t="shared" si="15"/>
        <v>8.5</v>
      </c>
      <c r="BD22" s="62">
        <f t="shared" si="16"/>
        <v>2.55</v>
      </c>
      <c r="BE22" s="64">
        <f t="shared" si="17"/>
        <v>9.55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198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9">
        <v>11.0</v>
      </c>
      <c r="CN22" s="127" t="str">
        <f t="shared" ref="CN22:CO22" si="67">B22</f>
        <v/>
      </c>
      <c r="CO22" s="129" t="str">
        <f t="shared" si="67"/>
        <v>Espinoza Martinez Stefano Juliano</v>
      </c>
      <c r="CP22" s="129">
        <f t="shared" si="24"/>
        <v>9.46</v>
      </c>
      <c r="CQ22" s="129">
        <f t="shared" si="25"/>
        <v>9.55</v>
      </c>
      <c r="CR22" s="129">
        <f t="shared" si="26"/>
        <v>0</v>
      </c>
      <c r="CS22" s="130">
        <f t="shared" si="27"/>
        <v>6.33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6.33</v>
      </c>
      <c r="DB22" s="136"/>
      <c r="DC22" s="137">
        <f t="shared" si="31"/>
        <v>6.33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10.0</v>
      </c>
      <c r="E23" s="140"/>
      <c r="F23" s="140"/>
      <c r="G23" s="140"/>
      <c r="H23" s="139">
        <v>9.0</v>
      </c>
      <c r="I23" s="140"/>
      <c r="J23" s="140"/>
      <c r="K23" s="140"/>
      <c r="L23" s="62"/>
      <c r="M23" s="62"/>
      <c r="N23" s="143"/>
      <c r="O23" s="143"/>
      <c r="P23" s="144">
        <v>10.0</v>
      </c>
      <c r="Q23" s="143"/>
      <c r="R23" s="143"/>
      <c r="S23" s="143"/>
      <c r="T23" s="141"/>
      <c r="U23" s="141"/>
      <c r="V23" s="62">
        <f t="shared" si="9"/>
        <v>6.762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9.34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40"/>
      <c r="AI23" s="140"/>
      <c r="AJ23" s="140"/>
      <c r="AK23" s="140"/>
      <c r="AL23" s="199">
        <v>8.0</v>
      </c>
      <c r="AM23" s="199">
        <v>8.0</v>
      </c>
      <c r="AN23" s="140"/>
      <c r="AO23" s="140"/>
      <c r="AP23" s="62"/>
      <c r="AQ23" s="62"/>
      <c r="AR23" s="143"/>
      <c r="AS23" s="143"/>
      <c r="AT23" s="199">
        <v>8.0</v>
      </c>
      <c r="AU23" s="199">
        <v>8.0</v>
      </c>
      <c r="AV23" s="143"/>
      <c r="AW23" s="143"/>
      <c r="AX23" s="141"/>
      <c r="AY23" s="141"/>
      <c r="AZ23" s="62">
        <f t="shared" si="14"/>
        <v>5.6</v>
      </c>
      <c r="BA23" s="200">
        <v>5.0</v>
      </c>
      <c r="BB23" s="123">
        <f>'PROY. INTER'!AX23</f>
        <v>10</v>
      </c>
      <c r="BC23" s="62">
        <f t="shared" si="15"/>
        <v>7.5</v>
      </c>
      <c r="BD23" s="62">
        <f t="shared" si="16"/>
        <v>2.25</v>
      </c>
      <c r="BE23" s="64">
        <f t="shared" si="17"/>
        <v>7.85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9">
        <v>12.0</v>
      </c>
      <c r="CN23" s="127" t="str">
        <f t="shared" ref="CN23:CO23" si="71">B23</f>
        <v/>
      </c>
      <c r="CO23" s="129" t="str">
        <f t="shared" si="71"/>
        <v>Espinoza Morante Melany Ginger</v>
      </c>
      <c r="CP23" s="129">
        <f t="shared" si="24"/>
        <v>9.34</v>
      </c>
      <c r="CQ23" s="129">
        <f t="shared" si="25"/>
        <v>7.85</v>
      </c>
      <c r="CR23" s="129">
        <f t="shared" si="26"/>
        <v>0</v>
      </c>
      <c r="CS23" s="130">
        <f t="shared" si="27"/>
        <v>5.73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5.73</v>
      </c>
      <c r="DB23" s="136"/>
      <c r="DC23" s="137">
        <f t="shared" si="31"/>
        <v>5.73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10.0</v>
      </c>
      <c r="E24" s="140"/>
      <c r="F24" s="140"/>
      <c r="G24" s="140"/>
      <c r="H24" s="139">
        <v>9.0</v>
      </c>
      <c r="I24" s="140"/>
      <c r="J24" s="140"/>
      <c r="K24" s="140"/>
      <c r="L24" s="62"/>
      <c r="M24" s="62"/>
      <c r="N24" s="143"/>
      <c r="O24" s="144"/>
      <c r="P24" s="144">
        <v>9.0</v>
      </c>
      <c r="Q24" s="143"/>
      <c r="R24" s="143"/>
      <c r="S24" s="143"/>
      <c r="T24" s="141"/>
      <c r="U24" s="141"/>
      <c r="V24" s="62">
        <f t="shared" si="9"/>
        <v>6.531</v>
      </c>
      <c r="W24" s="121">
        <v>3.0</v>
      </c>
      <c r="X24" s="123">
        <f>'PROY. INTER'!W24</f>
        <v>9</v>
      </c>
      <c r="Y24" s="62">
        <f t="shared" si="10"/>
        <v>6</v>
      </c>
      <c r="Z24" s="62">
        <f t="shared" si="11"/>
        <v>1.8</v>
      </c>
      <c r="AA24" s="64">
        <f t="shared" si="12"/>
        <v>8.33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40"/>
      <c r="AI24" s="140"/>
      <c r="AJ24" s="140"/>
      <c r="AK24" s="140"/>
      <c r="AL24" s="197">
        <v>8.0</v>
      </c>
      <c r="AM24" s="197">
        <v>8.0</v>
      </c>
      <c r="AN24" s="140"/>
      <c r="AO24" s="140"/>
      <c r="AP24" s="62"/>
      <c r="AQ24" s="62"/>
      <c r="AR24" s="143"/>
      <c r="AS24" s="143"/>
      <c r="AT24" s="197">
        <v>8.0</v>
      </c>
      <c r="AU24" s="197">
        <v>10.0</v>
      </c>
      <c r="AV24" s="143"/>
      <c r="AW24" s="143"/>
      <c r="AX24" s="141"/>
      <c r="AY24" s="141"/>
      <c r="AZ24" s="62">
        <f t="shared" si="14"/>
        <v>5.95</v>
      </c>
      <c r="BA24" s="200">
        <v>4.0</v>
      </c>
      <c r="BB24" s="123">
        <f>'PROY. INTER'!AX24</f>
        <v>10</v>
      </c>
      <c r="BC24" s="62">
        <f t="shared" si="15"/>
        <v>7</v>
      </c>
      <c r="BD24" s="62">
        <f t="shared" si="16"/>
        <v>2.1</v>
      </c>
      <c r="BE24" s="64">
        <f t="shared" si="17"/>
        <v>8.05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9">
        <v>13.0</v>
      </c>
      <c r="CN24" s="127" t="str">
        <f t="shared" ref="CN24:CO24" si="75">B24</f>
        <v/>
      </c>
      <c r="CO24" s="129" t="str">
        <f t="shared" si="75"/>
        <v>Garrido franco Génesis Lissette</v>
      </c>
      <c r="CP24" s="129">
        <f t="shared" si="24"/>
        <v>8.33</v>
      </c>
      <c r="CQ24" s="129">
        <f t="shared" si="25"/>
        <v>8.05</v>
      </c>
      <c r="CR24" s="129">
        <f t="shared" si="26"/>
        <v>0</v>
      </c>
      <c r="CS24" s="130">
        <f t="shared" si="27"/>
        <v>5.46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5.46</v>
      </c>
      <c r="DB24" s="136"/>
      <c r="DC24" s="137">
        <f t="shared" si="31"/>
        <v>5.46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9.0</v>
      </c>
      <c r="E25" s="140"/>
      <c r="F25" s="140"/>
      <c r="G25" s="140"/>
      <c r="H25" s="139">
        <v>7.0</v>
      </c>
      <c r="I25" s="140"/>
      <c r="J25" s="140"/>
      <c r="K25" s="140"/>
      <c r="L25" s="62"/>
      <c r="M25" s="62"/>
      <c r="N25" s="143"/>
      <c r="O25" s="143"/>
      <c r="P25" s="144">
        <v>7.0</v>
      </c>
      <c r="Q25" s="143"/>
      <c r="R25" s="143"/>
      <c r="S25" s="143"/>
      <c r="T25" s="141"/>
      <c r="U25" s="141"/>
      <c r="V25" s="62">
        <f t="shared" si="9"/>
        <v>5.362</v>
      </c>
      <c r="W25" s="121">
        <v>3.0</v>
      </c>
      <c r="X25" s="123">
        <f>'PROY. INTER'!W25</f>
        <v>6</v>
      </c>
      <c r="Y25" s="62">
        <f t="shared" si="10"/>
        <v>4.5</v>
      </c>
      <c r="Z25" s="62">
        <f t="shared" si="11"/>
        <v>1.35</v>
      </c>
      <c r="AA25" s="64">
        <f t="shared" si="12"/>
        <v>6.71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40"/>
      <c r="AI25" s="140"/>
      <c r="AJ25" s="140"/>
      <c r="AK25" s="140"/>
      <c r="AL25" s="197">
        <v>7.0</v>
      </c>
      <c r="AM25" s="197">
        <v>7.0</v>
      </c>
      <c r="AN25" s="140"/>
      <c r="AO25" s="140"/>
      <c r="AP25" s="62"/>
      <c r="AQ25" s="62"/>
      <c r="AR25" s="143"/>
      <c r="AS25" s="143"/>
      <c r="AT25" s="197">
        <v>7.0</v>
      </c>
      <c r="AU25" s="197">
        <v>7.0</v>
      </c>
      <c r="AV25" s="143"/>
      <c r="AW25" s="143"/>
      <c r="AX25" s="141"/>
      <c r="AY25" s="141"/>
      <c r="AZ25" s="62">
        <f t="shared" si="14"/>
        <v>4.9</v>
      </c>
      <c r="BA25" s="195">
        <v>7.0</v>
      </c>
      <c r="BB25" s="123">
        <f>'PROY. INTER'!AX25</f>
        <v>10</v>
      </c>
      <c r="BC25" s="62">
        <f t="shared" si="15"/>
        <v>8.5</v>
      </c>
      <c r="BD25" s="62">
        <f t="shared" si="16"/>
        <v>2.55</v>
      </c>
      <c r="BE25" s="64">
        <f t="shared" si="17"/>
        <v>7.45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9">
        <v>14.0</v>
      </c>
      <c r="CN25" s="127" t="str">
        <f t="shared" ref="CN25:CO25" si="79">B25</f>
        <v/>
      </c>
      <c r="CO25" s="129" t="str">
        <f t="shared" si="79"/>
        <v>Gonzalez Gonzalez Jean Carlos</v>
      </c>
      <c r="CP25" s="129">
        <f t="shared" si="24"/>
        <v>6.71</v>
      </c>
      <c r="CQ25" s="129">
        <f t="shared" si="25"/>
        <v>7.45</v>
      </c>
      <c r="CR25" s="129">
        <f t="shared" si="26"/>
        <v>0</v>
      </c>
      <c r="CS25" s="130">
        <f t="shared" si="27"/>
        <v>4.72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4.72</v>
      </c>
      <c r="DB25" s="136"/>
      <c r="DC25" s="137">
        <f t="shared" si="31"/>
        <v>4.72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10.0</v>
      </c>
      <c r="E26" s="140"/>
      <c r="F26" s="140"/>
      <c r="G26" s="140"/>
      <c r="H26" s="139">
        <v>8.0</v>
      </c>
      <c r="I26" s="140"/>
      <c r="J26" s="140"/>
      <c r="K26" s="140"/>
      <c r="L26" s="62"/>
      <c r="M26" s="62"/>
      <c r="N26" s="143"/>
      <c r="O26" s="143"/>
      <c r="P26" s="144">
        <v>9.0</v>
      </c>
      <c r="Q26" s="143"/>
      <c r="R26" s="143"/>
      <c r="S26" s="143"/>
      <c r="T26" s="141"/>
      <c r="U26" s="141"/>
      <c r="V26" s="62">
        <f t="shared" si="9"/>
        <v>6.3</v>
      </c>
      <c r="W26" s="121">
        <v>7.0</v>
      </c>
      <c r="X26" s="123">
        <f>'PROY. INTER'!W26</f>
        <v>7.73</v>
      </c>
      <c r="Y26" s="62">
        <f t="shared" si="10"/>
        <v>7.365</v>
      </c>
      <c r="Z26" s="62">
        <f t="shared" si="11"/>
        <v>2.2095</v>
      </c>
      <c r="AA26" s="64">
        <f t="shared" si="12"/>
        <v>8.5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40"/>
      <c r="AI26" s="140"/>
      <c r="AJ26" s="140"/>
      <c r="AK26" s="140"/>
      <c r="AL26" s="197">
        <v>7.0</v>
      </c>
      <c r="AM26" s="197">
        <v>7.0</v>
      </c>
      <c r="AN26" s="140"/>
      <c r="AO26" s="140"/>
      <c r="AP26" s="62"/>
      <c r="AQ26" s="62"/>
      <c r="AR26" s="143"/>
      <c r="AS26" s="143"/>
      <c r="AT26" s="197">
        <v>7.0</v>
      </c>
      <c r="AU26" s="197">
        <v>7.0</v>
      </c>
      <c r="AV26" s="143"/>
      <c r="AW26" s="143"/>
      <c r="AX26" s="141"/>
      <c r="AY26" s="141"/>
      <c r="AZ26" s="62">
        <f t="shared" si="14"/>
        <v>4.9</v>
      </c>
      <c r="BA26" s="200">
        <v>4.0</v>
      </c>
      <c r="BB26" s="123">
        <f>'PROY. INTER'!AX26</f>
        <v>10</v>
      </c>
      <c r="BC26" s="62">
        <f t="shared" si="15"/>
        <v>7</v>
      </c>
      <c r="BD26" s="62">
        <f t="shared" si="16"/>
        <v>2.1</v>
      </c>
      <c r="BE26" s="64">
        <f t="shared" si="17"/>
        <v>7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201"/>
      <c r="BM26" s="201"/>
      <c r="BN26" s="202"/>
      <c r="BO26" s="203"/>
      <c r="BP26" s="203"/>
      <c r="BQ26" s="203"/>
      <c r="BR26" s="203"/>
      <c r="BS26" s="203"/>
      <c r="BT26" s="204"/>
      <c r="BU26" s="204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9">
        <v>15.0</v>
      </c>
      <c r="CN26" s="127" t="str">
        <f t="shared" ref="CN26:CO26" si="83">B26</f>
        <v/>
      </c>
      <c r="CO26" s="129" t="str">
        <f t="shared" si="83"/>
        <v>Guevara Benites Jean Pierre</v>
      </c>
      <c r="CP26" s="129">
        <f t="shared" si="24"/>
        <v>8.5</v>
      </c>
      <c r="CQ26" s="129">
        <f t="shared" si="25"/>
        <v>7</v>
      </c>
      <c r="CR26" s="129">
        <f t="shared" si="26"/>
        <v>0</v>
      </c>
      <c r="CS26" s="130">
        <f t="shared" si="27"/>
        <v>5.16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5.16</v>
      </c>
      <c r="DB26" s="136"/>
      <c r="DC26" s="137">
        <f t="shared" si="31"/>
        <v>5.16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10.0</v>
      </c>
      <c r="E27" s="140"/>
      <c r="F27" s="140"/>
      <c r="G27" s="140"/>
      <c r="H27" s="139">
        <v>8.5</v>
      </c>
      <c r="I27" s="140"/>
      <c r="J27" s="140"/>
      <c r="K27" s="140"/>
      <c r="L27" s="62"/>
      <c r="M27" s="62"/>
      <c r="N27" s="143"/>
      <c r="O27" s="143"/>
      <c r="P27" s="144">
        <v>9.0</v>
      </c>
      <c r="Q27" s="143"/>
      <c r="R27" s="143"/>
      <c r="S27" s="143"/>
      <c r="T27" s="141"/>
      <c r="U27" s="141"/>
      <c r="V27" s="62">
        <f t="shared" si="9"/>
        <v>6.412</v>
      </c>
      <c r="W27" s="121">
        <v>4.0</v>
      </c>
      <c r="X27" s="123">
        <f>'PROY. INTER'!W27</f>
        <v>6</v>
      </c>
      <c r="Y27" s="62">
        <f t="shared" si="10"/>
        <v>5</v>
      </c>
      <c r="Z27" s="62">
        <f t="shared" si="11"/>
        <v>1.5</v>
      </c>
      <c r="AA27" s="64">
        <f t="shared" si="12"/>
        <v>7.91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40"/>
      <c r="AI27" s="140"/>
      <c r="AJ27" s="140"/>
      <c r="AK27" s="140"/>
      <c r="AL27" s="197">
        <v>8.0</v>
      </c>
      <c r="AM27" s="197">
        <v>7.0</v>
      </c>
      <c r="AN27" s="140"/>
      <c r="AO27" s="140"/>
      <c r="AP27" s="62"/>
      <c r="AQ27" s="62"/>
      <c r="AR27" s="143"/>
      <c r="AS27" s="143"/>
      <c r="AT27" s="197">
        <v>7.0</v>
      </c>
      <c r="AU27" s="197">
        <v>7.0</v>
      </c>
      <c r="AV27" s="143"/>
      <c r="AW27" s="143"/>
      <c r="AX27" s="141"/>
      <c r="AY27" s="141"/>
      <c r="AZ27" s="62">
        <f t="shared" si="14"/>
        <v>5.075</v>
      </c>
      <c r="BA27" s="200">
        <v>7.0</v>
      </c>
      <c r="BB27" s="123">
        <f>'PROY. INTER'!AX27</f>
        <v>2</v>
      </c>
      <c r="BC27" s="62">
        <f t="shared" si="15"/>
        <v>4.5</v>
      </c>
      <c r="BD27" s="62">
        <f t="shared" si="16"/>
        <v>1.35</v>
      </c>
      <c r="BE27" s="64">
        <f t="shared" si="17"/>
        <v>6.42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9">
        <v>16.0</v>
      </c>
      <c r="CN27" s="127" t="str">
        <f t="shared" ref="CN27:CO27" si="87">B27</f>
        <v/>
      </c>
      <c r="CO27" s="129" t="str">
        <f t="shared" si="87"/>
        <v>Mero Carcamo Adriana Carolina</v>
      </c>
      <c r="CP27" s="129">
        <f t="shared" si="24"/>
        <v>7.91</v>
      </c>
      <c r="CQ27" s="129">
        <f t="shared" si="25"/>
        <v>6.42</v>
      </c>
      <c r="CR27" s="129">
        <f t="shared" si="26"/>
        <v>0</v>
      </c>
      <c r="CS27" s="130">
        <f t="shared" si="27"/>
        <v>4.77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4.77</v>
      </c>
      <c r="DB27" s="136"/>
      <c r="DC27" s="137">
        <f t="shared" si="31"/>
        <v>4.77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9.5</v>
      </c>
      <c r="E28" s="140"/>
      <c r="F28" s="140"/>
      <c r="G28" s="140"/>
      <c r="H28" s="139">
        <v>9.0</v>
      </c>
      <c r="I28" s="140"/>
      <c r="J28" s="140"/>
      <c r="K28" s="140"/>
      <c r="L28" s="62"/>
      <c r="M28" s="62"/>
      <c r="N28" s="143"/>
      <c r="O28" s="143"/>
      <c r="P28" s="144">
        <v>9.5</v>
      </c>
      <c r="Q28" s="143"/>
      <c r="R28" s="143"/>
      <c r="S28" s="143"/>
      <c r="T28" s="141"/>
      <c r="U28" s="141"/>
      <c r="V28" s="62">
        <f t="shared" si="9"/>
        <v>6.531</v>
      </c>
      <c r="W28" s="121">
        <v>8.0</v>
      </c>
      <c r="X28" s="123">
        <f>'PROY. INTER'!W28</f>
        <v>9.73</v>
      </c>
      <c r="Y28" s="62">
        <f t="shared" si="10"/>
        <v>8.865</v>
      </c>
      <c r="Z28" s="62">
        <f t="shared" si="11"/>
        <v>2.6595</v>
      </c>
      <c r="AA28" s="64">
        <f t="shared" si="12"/>
        <v>9.19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40"/>
      <c r="AI28" s="140"/>
      <c r="AJ28" s="140"/>
      <c r="AK28" s="140"/>
      <c r="AL28" s="197">
        <v>10.0</v>
      </c>
      <c r="AM28" s="197">
        <v>9.0</v>
      </c>
      <c r="AN28" s="140"/>
      <c r="AO28" s="140"/>
      <c r="AP28" s="62"/>
      <c r="AQ28" s="62"/>
      <c r="AR28" s="143"/>
      <c r="AS28" s="143"/>
      <c r="AT28" s="197">
        <v>10.0</v>
      </c>
      <c r="AU28" s="197">
        <v>10.0</v>
      </c>
      <c r="AV28" s="143"/>
      <c r="AW28" s="143"/>
      <c r="AX28" s="141"/>
      <c r="AY28" s="141"/>
      <c r="AZ28" s="62">
        <f t="shared" si="14"/>
        <v>6.825</v>
      </c>
      <c r="BA28" s="200">
        <v>9.0</v>
      </c>
      <c r="BB28" s="123">
        <f>'PROY. INTER'!AX28</f>
        <v>10</v>
      </c>
      <c r="BC28" s="62">
        <f t="shared" si="15"/>
        <v>9.5</v>
      </c>
      <c r="BD28" s="62">
        <f t="shared" si="16"/>
        <v>2.85</v>
      </c>
      <c r="BE28" s="64">
        <f t="shared" si="17"/>
        <v>9.67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9">
        <v>17.0</v>
      </c>
      <c r="CN28" s="127" t="str">
        <f t="shared" ref="CN28:CO28" si="91">B28</f>
        <v/>
      </c>
      <c r="CO28" s="129" t="str">
        <f t="shared" si="91"/>
        <v>Moreira Villamar Darwin Matias</v>
      </c>
      <c r="CP28" s="129">
        <f t="shared" si="24"/>
        <v>9.19</v>
      </c>
      <c r="CQ28" s="129">
        <f t="shared" si="25"/>
        <v>9.67</v>
      </c>
      <c r="CR28" s="129">
        <f t="shared" si="26"/>
        <v>0</v>
      </c>
      <c r="CS28" s="130">
        <f t="shared" si="27"/>
        <v>6.28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6.28</v>
      </c>
      <c r="DB28" s="136"/>
      <c r="DC28" s="137">
        <f t="shared" si="31"/>
        <v>6.28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9.5</v>
      </c>
      <c r="E29" s="140"/>
      <c r="F29" s="140"/>
      <c r="G29" s="140"/>
      <c r="H29" s="139">
        <v>8.0</v>
      </c>
      <c r="I29" s="140"/>
      <c r="J29" s="140"/>
      <c r="K29" s="140"/>
      <c r="L29" s="62"/>
      <c r="M29" s="62"/>
      <c r="N29" s="143"/>
      <c r="O29" s="143"/>
      <c r="P29" s="144">
        <v>9.0</v>
      </c>
      <c r="Q29" s="143"/>
      <c r="R29" s="143"/>
      <c r="S29" s="143"/>
      <c r="T29" s="141"/>
      <c r="U29" s="141"/>
      <c r="V29" s="62">
        <f t="shared" si="9"/>
        <v>6.181</v>
      </c>
      <c r="W29" s="121">
        <v>7.0</v>
      </c>
      <c r="X29" s="123">
        <f>'PROY. INTER'!W29</f>
        <v>9.2</v>
      </c>
      <c r="Y29" s="62">
        <f t="shared" si="10"/>
        <v>8.1</v>
      </c>
      <c r="Z29" s="62">
        <f t="shared" si="11"/>
        <v>2.43</v>
      </c>
      <c r="AA29" s="64">
        <f t="shared" si="12"/>
        <v>8.61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40"/>
      <c r="AI29" s="140"/>
      <c r="AJ29" s="140"/>
      <c r="AK29" s="140"/>
      <c r="AL29" s="197">
        <v>9.0</v>
      </c>
      <c r="AM29" s="197">
        <v>8.0</v>
      </c>
      <c r="AN29" s="140"/>
      <c r="AO29" s="140"/>
      <c r="AP29" s="62"/>
      <c r="AQ29" s="62"/>
      <c r="AR29" s="143"/>
      <c r="AS29" s="143"/>
      <c r="AT29" s="197">
        <v>8.0</v>
      </c>
      <c r="AU29" s="197">
        <v>7.0</v>
      </c>
      <c r="AV29" s="143"/>
      <c r="AW29" s="143"/>
      <c r="AX29" s="141"/>
      <c r="AY29" s="141"/>
      <c r="AZ29" s="62">
        <f t="shared" si="14"/>
        <v>5.6</v>
      </c>
      <c r="BA29" s="200">
        <v>9.0</v>
      </c>
      <c r="BB29" s="123">
        <f>'PROY. INTER'!AX29</f>
        <v>10</v>
      </c>
      <c r="BC29" s="62">
        <f t="shared" si="15"/>
        <v>9.5</v>
      </c>
      <c r="BD29" s="62">
        <f t="shared" si="16"/>
        <v>2.85</v>
      </c>
      <c r="BE29" s="64">
        <f t="shared" si="17"/>
        <v>8.45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8.61</v>
      </c>
      <c r="CQ29" s="129">
        <f t="shared" si="25"/>
        <v>8.45</v>
      </c>
      <c r="CR29" s="129">
        <f t="shared" si="26"/>
        <v>0</v>
      </c>
      <c r="CS29" s="130">
        <f t="shared" si="27"/>
        <v>5.68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5.68</v>
      </c>
      <c r="DB29" s="136"/>
      <c r="DC29" s="137">
        <f t="shared" si="31"/>
        <v>5.68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10.0</v>
      </c>
      <c r="E30" s="140"/>
      <c r="F30" s="140"/>
      <c r="G30" s="140"/>
      <c r="H30" s="139">
        <v>8.0</v>
      </c>
      <c r="I30" s="140"/>
      <c r="J30" s="140"/>
      <c r="K30" s="140"/>
      <c r="L30" s="62"/>
      <c r="M30" s="62"/>
      <c r="N30" s="143"/>
      <c r="O30" s="143"/>
      <c r="P30" s="144">
        <v>8.0</v>
      </c>
      <c r="Q30" s="143"/>
      <c r="R30" s="143"/>
      <c r="S30" s="143"/>
      <c r="T30" s="141"/>
      <c r="U30" s="141"/>
      <c r="V30" s="62">
        <f t="shared" si="9"/>
        <v>6.062</v>
      </c>
      <c r="W30" s="121">
        <v>8.0</v>
      </c>
      <c r="X30" s="123">
        <f>'PROY. INTER'!W30</f>
        <v>9.47</v>
      </c>
      <c r="Y30" s="62">
        <f t="shared" si="10"/>
        <v>8.735</v>
      </c>
      <c r="Z30" s="62">
        <f t="shared" si="11"/>
        <v>2.6205</v>
      </c>
      <c r="AA30" s="64">
        <f t="shared" si="12"/>
        <v>8.68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40"/>
      <c r="AI30" s="140"/>
      <c r="AJ30" s="140"/>
      <c r="AK30" s="140"/>
      <c r="AL30" s="197">
        <v>9.0</v>
      </c>
      <c r="AM30" s="197">
        <v>7.0</v>
      </c>
      <c r="AN30" s="140"/>
      <c r="AO30" s="140"/>
      <c r="AP30" s="62"/>
      <c r="AQ30" s="62"/>
      <c r="AR30" s="143"/>
      <c r="AS30" s="143"/>
      <c r="AT30" s="197">
        <v>7.0</v>
      </c>
      <c r="AU30" s="197">
        <v>7.0</v>
      </c>
      <c r="AV30" s="143"/>
      <c r="AW30" s="143"/>
      <c r="AX30" s="141"/>
      <c r="AY30" s="141"/>
      <c r="AZ30" s="62">
        <f t="shared" si="14"/>
        <v>5.25</v>
      </c>
      <c r="BA30" s="195">
        <v>7.0</v>
      </c>
      <c r="BB30" s="123">
        <f>'PROY. INTER'!AX30</f>
        <v>10</v>
      </c>
      <c r="BC30" s="62">
        <f t="shared" si="15"/>
        <v>8.5</v>
      </c>
      <c r="BD30" s="62">
        <f t="shared" si="16"/>
        <v>2.55</v>
      </c>
      <c r="BE30" s="64">
        <f t="shared" si="17"/>
        <v>7.8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8.68</v>
      </c>
      <c r="CQ30" s="129">
        <f t="shared" si="25"/>
        <v>7.8</v>
      </c>
      <c r="CR30" s="129">
        <f t="shared" si="26"/>
        <v>0</v>
      </c>
      <c r="CS30" s="130">
        <f t="shared" si="27"/>
        <v>5.49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5.49</v>
      </c>
      <c r="DB30" s="136"/>
      <c r="DC30" s="137">
        <f t="shared" si="31"/>
        <v>5.49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40"/>
      <c r="F31" s="140"/>
      <c r="G31" s="140"/>
      <c r="H31" s="139">
        <v>10.0</v>
      </c>
      <c r="I31" s="140"/>
      <c r="J31" s="140"/>
      <c r="K31" s="140"/>
      <c r="L31" s="62"/>
      <c r="M31" s="62"/>
      <c r="N31" s="143"/>
      <c r="O31" s="143"/>
      <c r="P31" s="144">
        <v>10.0</v>
      </c>
      <c r="Q31" s="143"/>
      <c r="R31" s="143"/>
      <c r="S31" s="143"/>
      <c r="T31" s="141"/>
      <c r="U31" s="141"/>
      <c r="V31" s="62">
        <f t="shared" si="9"/>
        <v>7</v>
      </c>
      <c r="W31" s="205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40"/>
      <c r="AI31" s="140"/>
      <c r="AJ31" s="140"/>
      <c r="AK31" s="140"/>
      <c r="AL31" s="197">
        <v>10.0</v>
      </c>
      <c r="AM31" s="197">
        <v>10.0</v>
      </c>
      <c r="AN31" s="140"/>
      <c r="AO31" s="140"/>
      <c r="AP31" s="62"/>
      <c r="AQ31" s="62"/>
      <c r="AR31" s="143"/>
      <c r="AS31" s="143"/>
      <c r="AT31" s="197">
        <v>10.0</v>
      </c>
      <c r="AU31" s="197">
        <v>10.0</v>
      </c>
      <c r="AV31" s="143"/>
      <c r="AW31" s="143"/>
      <c r="AX31" s="141"/>
      <c r="AY31" s="141"/>
      <c r="AZ31" s="62">
        <f t="shared" si="14"/>
        <v>7</v>
      </c>
      <c r="BA31" s="195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10.0</v>
      </c>
      <c r="E32" s="140"/>
      <c r="F32" s="140"/>
      <c r="G32" s="140"/>
      <c r="H32" s="139">
        <v>7.0</v>
      </c>
      <c r="I32" s="140"/>
      <c r="J32" s="140"/>
      <c r="K32" s="140"/>
      <c r="L32" s="62"/>
      <c r="M32" s="62"/>
      <c r="N32" s="143"/>
      <c r="O32" s="143"/>
      <c r="P32" s="144">
        <v>8.0</v>
      </c>
      <c r="Q32" s="143"/>
      <c r="R32" s="143"/>
      <c r="S32" s="143"/>
      <c r="T32" s="141"/>
      <c r="U32" s="141"/>
      <c r="V32" s="62">
        <f t="shared" si="9"/>
        <v>5.831</v>
      </c>
      <c r="W32" s="121">
        <v>5.0</v>
      </c>
      <c r="X32" s="123">
        <f>'PROY. INTER'!W32</f>
        <v>6.47</v>
      </c>
      <c r="Y32" s="62">
        <f t="shared" si="10"/>
        <v>5.735</v>
      </c>
      <c r="Z32" s="62">
        <f t="shared" si="11"/>
        <v>1.7205</v>
      </c>
      <c r="AA32" s="64">
        <f t="shared" si="12"/>
        <v>7.55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40"/>
      <c r="AI32" s="140"/>
      <c r="AJ32" s="140"/>
      <c r="AK32" s="140"/>
      <c r="AL32" s="197">
        <v>8.0</v>
      </c>
      <c r="AM32" s="197">
        <v>8.0</v>
      </c>
      <c r="AN32" s="140"/>
      <c r="AO32" s="140"/>
      <c r="AP32" s="62"/>
      <c r="AQ32" s="62"/>
      <c r="AR32" s="143"/>
      <c r="AS32" s="143"/>
      <c r="AT32" s="197">
        <v>7.0</v>
      </c>
      <c r="AU32" s="197">
        <v>8.0</v>
      </c>
      <c r="AV32" s="143"/>
      <c r="AW32" s="143"/>
      <c r="AX32" s="141"/>
      <c r="AY32" s="141"/>
      <c r="AZ32" s="62">
        <f t="shared" si="14"/>
        <v>5.425</v>
      </c>
      <c r="BA32" s="195">
        <v>8.0</v>
      </c>
      <c r="BB32" s="123">
        <f>'PROY. INTER'!AX32</f>
        <v>10</v>
      </c>
      <c r="BC32" s="62">
        <f t="shared" si="15"/>
        <v>9</v>
      </c>
      <c r="BD32" s="62">
        <f t="shared" si="16"/>
        <v>2.7</v>
      </c>
      <c r="BE32" s="64">
        <f t="shared" si="17"/>
        <v>8.12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7.55</v>
      </c>
      <c r="CQ32" s="129">
        <f t="shared" si="25"/>
        <v>8.12</v>
      </c>
      <c r="CR32" s="129">
        <f t="shared" si="26"/>
        <v>0</v>
      </c>
      <c r="CS32" s="130">
        <f t="shared" si="27"/>
        <v>5.22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5.22</v>
      </c>
      <c r="DB32" s="136"/>
      <c r="DC32" s="137">
        <f t="shared" si="31"/>
        <v>5.22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10.0</v>
      </c>
      <c r="E33" s="140"/>
      <c r="F33" s="140"/>
      <c r="G33" s="140"/>
      <c r="H33" s="139">
        <v>9.0</v>
      </c>
      <c r="I33" s="140"/>
      <c r="J33" s="140"/>
      <c r="K33" s="140"/>
      <c r="L33" s="62"/>
      <c r="M33" s="62"/>
      <c r="N33" s="143"/>
      <c r="O33" s="143"/>
      <c r="P33" s="144">
        <v>10.0</v>
      </c>
      <c r="Q33" s="143"/>
      <c r="R33" s="143"/>
      <c r="S33" s="143"/>
      <c r="T33" s="141"/>
      <c r="U33" s="141"/>
      <c r="V33" s="62">
        <f t="shared" si="9"/>
        <v>6.762</v>
      </c>
      <c r="W33" s="121">
        <v>7.0</v>
      </c>
      <c r="X33" s="123">
        <f>'PROY. INTER'!W33</f>
        <v>9.2</v>
      </c>
      <c r="Y33" s="62">
        <f t="shared" si="10"/>
        <v>8.1</v>
      </c>
      <c r="Z33" s="62">
        <f t="shared" si="11"/>
        <v>2.43</v>
      </c>
      <c r="AA33" s="64">
        <f t="shared" si="12"/>
        <v>9.19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40"/>
      <c r="AI33" s="140"/>
      <c r="AJ33" s="140"/>
      <c r="AK33" s="140"/>
      <c r="AL33" s="197">
        <v>7.0</v>
      </c>
      <c r="AM33" s="197">
        <v>7.0</v>
      </c>
      <c r="AN33" s="140"/>
      <c r="AO33" s="140"/>
      <c r="AP33" s="62"/>
      <c r="AQ33" s="62"/>
      <c r="AR33" s="143"/>
      <c r="AS33" s="143"/>
      <c r="AT33" s="197">
        <v>7.0</v>
      </c>
      <c r="AU33" s="197">
        <v>7.0</v>
      </c>
      <c r="AV33" s="143"/>
      <c r="AW33" s="143"/>
      <c r="AX33" s="141"/>
      <c r="AY33" s="141"/>
      <c r="AZ33" s="62">
        <f t="shared" si="14"/>
        <v>4.9</v>
      </c>
      <c r="BA33" s="195">
        <v>7.0</v>
      </c>
      <c r="BB33" s="123">
        <f>'PROY. INTER'!AX33</f>
        <v>10</v>
      </c>
      <c r="BC33" s="62">
        <f t="shared" si="15"/>
        <v>8.5</v>
      </c>
      <c r="BD33" s="62">
        <f t="shared" si="16"/>
        <v>2.55</v>
      </c>
      <c r="BE33" s="64">
        <f t="shared" si="17"/>
        <v>7.45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9.19</v>
      </c>
      <c r="CQ33" s="129">
        <f t="shared" si="25"/>
        <v>7.45</v>
      </c>
      <c r="CR33" s="129">
        <f t="shared" si="26"/>
        <v>0</v>
      </c>
      <c r="CS33" s="130">
        <f t="shared" si="27"/>
        <v>5.54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5.54</v>
      </c>
      <c r="DB33" s="136"/>
      <c r="DC33" s="137">
        <f t="shared" si="31"/>
        <v>5.54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10.0</v>
      </c>
      <c r="E34" s="140"/>
      <c r="F34" s="140"/>
      <c r="G34" s="140"/>
      <c r="H34" s="139">
        <v>7.0</v>
      </c>
      <c r="I34" s="140"/>
      <c r="J34" s="140"/>
      <c r="K34" s="140"/>
      <c r="L34" s="62"/>
      <c r="M34" s="62"/>
      <c r="N34" s="143"/>
      <c r="O34" s="143"/>
      <c r="P34" s="144">
        <v>8.0</v>
      </c>
      <c r="Q34" s="143"/>
      <c r="R34" s="143"/>
      <c r="S34" s="143"/>
      <c r="T34" s="141"/>
      <c r="U34" s="141"/>
      <c r="V34" s="62">
        <f t="shared" si="9"/>
        <v>5.831</v>
      </c>
      <c r="W34" s="121">
        <v>6.75</v>
      </c>
      <c r="X34" s="123">
        <f>'PROY. INTER'!W34</f>
        <v>7.33</v>
      </c>
      <c r="Y34" s="62">
        <f t="shared" si="10"/>
        <v>7.04</v>
      </c>
      <c r="Z34" s="62">
        <f t="shared" si="11"/>
        <v>2.112</v>
      </c>
      <c r="AA34" s="64">
        <f t="shared" si="12"/>
        <v>7.94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40"/>
      <c r="AI34" s="140"/>
      <c r="AJ34" s="140"/>
      <c r="AK34" s="140"/>
      <c r="AL34" s="197">
        <v>7.0</v>
      </c>
      <c r="AM34" s="197">
        <v>7.0</v>
      </c>
      <c r="AN34" s="140"/>
      <c r="AO34" s="140"/>
      <c r="AP34" s="62"/>
      <c r="AQ34" s="62"/>
      <c r="AR34" s="143"/>
      <c r="AS34" s="143"/>
      <c r="AT34" s="197">
        <v>8.0</v>
      </c>
      <c r="AU34" s="197">
        <v>7.0</v>
      </c>
      <c r="AV34" s="143"/>
      <c r="AW34" s="143"/>
      <c r="AX34" s="141"/>
      <c r="AY34" s="141"/>
      <c r="AZ34" s="62">
        <f t="shared" si="14"/>
        <v>5.075</v>
      </c>
      <c r="BA34" s="195">
        <v>7.0</v>
      </c>
      <c r="BB34" s="123">
        <f>'PROY. INTER'!AX34</f>
        <v>10</v>
      </c>
      <c r="BC34" s="62">
        <f t="shared" si="15"/>
        <v>8.5</v>
      </c>
      <c r="BD34" s="62">
        <f t="shared" si="16"/>
        <v>2.55</v>
      </c>
      <c r="BE34" s="64">
        <f t="shared" si="17"/>
        <v>7.62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7.94</v>
      </c>
      <c r="CQ34" s="129">
        <f t="shared" si="25"/>
        <v>7.62</v>
      </c>
      <c r="CR34" s="129">
        <f t="shared" si="26"/>
        <v>0</v>
      </c>
      <c r="CS34" s="130">
        <f t="shared" si="27"/>
        <v>5.18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5.18</v>
      </c>
      <c r="DB34" s="136"/>
      <c r="DC34" s="137">
        <f t="shared" si="31"/>
        <v>5.18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10.0</v>
      </c>
      <c r="E35" s="140"/>
      <c r="F35" s="140"/>
      <c r="G35" s="140"/>
      <c r="H35" s="139">
        <v>8.0</v>
      </c>
      <c r="I35" s="140"/>
      <c r="J35" s="140"/>
      <c r="K35" s="140"/>
      <c r="L35" s="62"/>
      <c r="M35" s="62"/>
      <c r="N35" s="143"/>
      <c r="O35" s="143"/>
      <c r="P35" s="144">
        <v>9.0</v>
      </c>
      <c r="Q35" s="143"/>
      <c r="R35" s="143"/>
      <c r="S35" s="143"/>
      <c r="T35" s="141"/>
      <c r="U35" s="141"/>
      <c r="V35" s="62">
        <f t="shared" si="9"/>
        <v>6.3</v>
      </c>
      <c r="W35" s="121">
        <v>7.0</v>
      </c>
      <c r="X35" s="123">
        <f>'PROY. INTER'!W35</f>
        <v>9.73</v>
      </c>
      <c r="Y35" s="62">
        <f t="shared" si="10"/>
        <v>8.365</v>
      </c>
      <c r="Z35" s="62">
        <f t="shared" si="11"/>
        <v>2.5095</v>
      </c>
      <c r="AA35" s="64">
        <f t="shared" si="12"/>
        <v>8.8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40"/>
      <c r="AI35" s="140"/>
      <c r="AJ35" s="140"/>
      <c r="AK35" s="140"/>
      <c r="AL35" s="197">
        <v>9.0</v>
      </c>
      <c r="AM35" s="197">
        <v>9.0</v>
      </c>
      <c r="AN35" s="140"/>
      <c r="AO35" s="140"/>
      <c r="AP35" s="62"/>
      <c r="AQ35" s="62"/>
      <c r="AR35" s="143"/>
      <c r="AS35" s="143"/>
      <c r="AT35" s="197">
        <v>8.5</v>
      </c>
      <c r="AU35" s="197">
        <v>9.0</v>
      </c>
      <c r="AV35" s="143"/>
      <c r="AW35" s="143"/>
      <c r="AX35" s="141"/>
      <c r="AY35" s="141"/>
      <c r="AZ35" s="62">
        <f t="shared" si="14"/>
        <v>6.209</v>
      </c>
      <c r="BA35" s="195">
        <v>9.0</v>
      </c>
      <c r="BB35" s="123">
        <f>'PROY. INTER'!AX35</f>
        <v>10</v>
      </c>
      <c r="BC35" s="62">
        <f t="shared" si="15"/>
        <v>9.5</v>
      </c>
      <c r="BD35" s="62">
        <f t="shared" si="16"/>
        <v>2.85</v>
      </c>
      <c r="BE35" s="64">
        <f t="shared" si="17"/>
        <v>9.05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8.8</v>
      </c>
      <c r="CQ35" s="129">
        <f t="shared" si="25"/>
        <v>9.05</v>
      </c>
      <c r="CR35" s="129">
        <f t="shared" si="26"/>
        <v>0</v>
      </c>
      <c r="CS35" s="130">
        <f t="shared" si="27"/>
        <v>5.95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5.95</v>
      </c>
      <c r="DB35" s="136"/>
      <c r="DC35" s="137">
        <f t="shared" si="31"/>
        <v>5.95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9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9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9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9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9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9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5.307916667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21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3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OS." sqref="W12:W30 D12:U61 W32:W61 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4" width="4.86"/>
    <col customWidth="1" hidden="1" min="5" max="5" width="5.57"/>
    <col customWidth="1" min="6" max="6" width="4.86"/>
    <col customWidth="1" hidden="1" min="7" max="8" width="4.86"/>
    <col customWidth="1" min="9" max="10" width="4.86"/>
    <col customWidth="1" hidden="1" min="11" max="13" width="4.86"/>
    <col customWidth="1" min="14" max="14" width="4.86"/>
    <col customWidth="1" hidden="1" min="15" max="15" width="4.86"/>
    <col customWidth="1" min="16" max="16" width="4.86"/>
    <col customWidth="1" hidden="1" min="17" max="19" width="4.86"/>
    <col customWidth="1" min="20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34" width="4.86"/>
    <col customWidth="1" hidden="1" min="35" max="38" width="4.86"/>
    <col customWidth="1" min="39" max="39" width="4.86"/>
    <col customWidth="1" hidden="1" min="40" max="41" width="4.86"/>
    <col customWidth="1" min="42" max="42" width="4.86"/>
    <col customWidth="1" hidden="1" min="43" max="50" width="4.86"/>
    <col customWidth="1" min="51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131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MSC. JESSICA AVILES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MSC. JESSICA AVILES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MSC. JESSICA AVILES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MSC. JESSICA AVILES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INGLES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INGLES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INGLES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INGLES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133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134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06" t="s">
        <v>135</v>
      </c>
      <c r="CF8" s="24" t="s">
        <v>16</v>
      </c>
      <c r="CG8" s="82" t="s">
        <v>79</v>
      </c>
      <c r="CH8" s="25">
        <v>0.3</v>
      </c>
      <c r="CI8" s="26" t="s">
        <v>136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INGLES!CM10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207">
        <v>9.0</v>
      </c>
      <c r="E12" s="207">
        <v>10.0</v>
      </c>
      <c r="F12" s="207">
        <v>10.0</v>
      </c>
      <c r="G12" s="207">
        <v>10.0</v>
      </c>
      <c r="H12" s="207">
        <v>10.0</v>
      </c>
      <c r="I12" s="207">
        <v>10.0</v>
      </c>
      <c r="J12" s="207">
        <v>10.0</v>
      </c>
      <c r="K12" s="207">
        <v>10.0</v>
      </c>
      <c r="L12" s="207">
        <v>10.0</v>
      </c>
      <c r="M12" s="207">
        <v>10.0</v>
      </c>
      <c r="N12" s="207">
        <v>10.0</v>
      </c>
      <c r="O12" s="62"/>
      <c r="P12" s="121">
        <v>10.0</v>
      </c>
      <c r="Q12" s="62"/>
      <c r="R12" s="62"/>
      <c r="S12" s="62"/>
      <c r="T12" s="122"/>
      <c r="U12" s="122"/>
      <c r="V12" s="62">
        <f t="shared" ref="V12:V61" si="9">IFERROR(TRUNC(AVERAGE(D12:U12),2),"")*70/100</f>
        <v>6.937</v>
      </c>
      <c r="W12" s="121">
        <v>8.0</v>
      </c>
      <c r="X12" s="123">
        <f>'PROY. INTER'!W12</f>
        <v>10</v>
      </c>
      <c r="Y12" s="62">
        <f t="shared" ref="Y12:Y61" si="10">AVERAGE(W12:X12)</f>
        <v>9</v>
      </c>
      <c r="Z12" s="62">
        <f t="shared" ref="Z12:Z61" si="11">Y12*30/100</f>
        <v>2.7</v>
      </c>
      <c r="AA12" s="64">
        <f t="shared" ref="AA12:AA61" si="12">IFERROR(TRUNC(SUM(V12+Z12),2),"")</f>
        <v>9.63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208">
        <v>9.0</v>
      </c>
      <c r="AI12" s="209"/>
      <c r="AJ12" s="209"/>
      <c r="AK12" s="210"/>
      <c r="AL12" s="210"/>
      <c r="AM12" s="119">
        <v>10.0</v>
      </c>
      <c r="AN12" s="120"/>
      <c r="AO12" s="120"/>
      <c r="AP12" s="121">
        <v>9.0</v>
      </c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6.531</v>
      </c>
      <c r="BA12" s="211">
        <v>9.0</v>
      </c>
      <c r="BB12" s="123">
        <f>'PROY. INTER'!AX12</f>
        <v>10</v>
      </c>
      <c r="BC12" s="62">
        <f t="shared" ref="BC12:BC61" si="15">AVERAGE(BA12:BB12)</f>
        <v>9.5</v>
      </c>
      <c r="BD12" s="62">
        <f t="shared" ref="BD12:BD61" si="16">BC12*30/100</f>
        <v>2.85</v>
      </c>
      <c r="BE12" s="64">
        <f t="shared" ref="BE12:BE61" si="17">IFERROR(TRUNC(SUM(AZ12+BD12),2),"")</f>
        <v>9.38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212"/>
      <c r="BM12" s="212"/>
      <c r="BN12" s="212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9.63</v>
      </c>
      <c r="CQ12" s="129">
        <f t="shared" ref="CQ12:CQ61" si="25">BE12</f>
        <v>9.38</v>
      </c>
      <c r="CR12" s="129">
        <f t="shared" ref="CR12:CR61" si="26">CI12</f>
        <v>0</v>
      </c>
      <c r="CS12" s="130">
        <f t="shared" ref="CS12:CS61" si="27">IFERROR(TRUNC(AVERAGE(CP12:CR12),2),"")*100/100</f>
        <v>6.33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6.33</v>
      </c>
      <c r="DB12" s="136"/>
      <c r="DC12" s="137">
        <f t="shared" ref="DC12:DC61" si="31">IF(DA12&gt;=7,DA12,IF(DA12="","",IF(DB12="",AVERAGE(DA12:DB12),IF(AND(DA12&lt;4.01,DB12&lt;&gt;""),DA12,IF(DB12&lt;7,DA12,7)))))</f>
        <v>6.33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207">
        <v>9.0</v>
      </c>
      <c r="E13" s="207">
        <v>10.0</v>
      </c>
      <c r="F13" s="207">
        <v>9.0</v>
      </c>
      <c r="G13" s="207">
        <v>10.0</v>
      </c>
      <c r="H13" s="207">
        <v>10.0</v>
      </c>
      <c r="I13" s="207">
        <v>9.0</v>
      </c>
      <c r="J13" s="207">
        <v>10.0</v>
      </c>
      <c r="K13" s="207">
        <v>10.0</v>
      </c>
      <c r="L13" s="207">
        <v>10.0</v>
      </c>
      <c r="M13" s="207">
        <v>10.0</v>
      </c>
      <c r="N13" s="207">
        <v>10.0</v>
      </c>
      <c r="O13" s="62"/>
      <c r="P13" s="121">
        <v>10.0</v>
      </c>
      <c r="Q13" s="62"/>
      <c r="R13" s="62"/>
      <c r="S13" s="62"/>
      <c r="T13" s="141"/>
      <c r="U13" s="141"/>
      <c r="V13" s="62">
        <f t="shared" si="9"/>
        <v>6.825</v>
      </c>
      <c r="W13" s="121">
        <v>7.0</v>
      </c>
      <c r="X13" s="123">
        <f>'PROY. INTER'!W13</f>
        <v>10</v>
      </c>
      <c r="Y13" s="62">
        <f t="shared" si="10"/>
        <v>8.5</v>
      </c>
      <c r="Z13" s="62">
        <f t="shared" si="11"/>
        <v>2.55</v>
      </c>
      <c r="AA13" s="64">
        <f t="shared" si="12"/>
        <v>9.37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8.0</v>
      </c>
      <c r="AI13" s="140"/>
      <c r="AJ13" s="140"/>
      <c r="AK13" s="140"/>
      <c r="AL13" s="140"/>
      <c r="AM13" s="139">
        <v>8.0</v>
      </c>
      <c r="AN13" s="140"/>
      <c r="AO13" s="140"/>
      <c r="AP13" s="121">
        <v>8.0</v>
      </c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5.6</v>
      </c>
      <c r="BA13" s="121">
        <v>8.0</v>
      </c>
      <c r="BB13" s="123">
        <f>'PROY. INTER'!AX13</f>
        <v>10</v>
      </c>
      <c r="BC13" s="62">
        <f t="shared" si="15"/>
        <v>9</v>
      </c>
      <c r="BD13" s="62">
        <f t="shared" si="16"/>
        <v>2.7</v>
      </c>
      <c r="BE13" s="64">
        <f t="shared" si="17"/>
        <v>8.3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9.37</v>
      </c>
      <c r="CQ13" s="129">
        <f t="shared" si="25"/>
        <v>8.3</v>
      </c>
      <c r="CR13" s="129">
        <f t="shared" si="26"/>
        <v>0</v>
      </c>
      <c r="CS13" s="130">
        <f t="shared" si="27"/>
        <v>5.89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5.89</v>
      </c>
      <c r="DB13" s="142"/>
      <c r="DC13" s="137">
        <f t="shared" si="31"/>
        <v>5.89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207">
        <v>9.0</v>
      </c>
      <c r="E14" s="207">
        <v>10.0</v>
      </c>
      <c r="F14" s="207">
        <v>9.0</v>
      </c>
      <c r="G14" s="207">
        <v>10.0</v>
      </c>
      <c r="H14" s="207">
        <v>10.0</v>
      </c>
      <c r="I14" s="207">
        <v>10.0</v>
      </c>
      <c r="J14" s="207">
        <v>10.0</v>
      </c>
      <c r="K14" s="207">
        <v>10.0</v>
      </c>
      <c r="L14" s="207">
        <v>10.0</v>
      </c>
      <c r="M14" s="207">
        <v>10.0</v>
      </c>
      <c r="N14" s="207">
        <v>10.0</v>
      </c>
      <c r="O14" s="62"/>
      <c r="P14" s="121">
        <v>8.5</v>
      </c>
      <c r="Q14" s="62"/>
      <c r="R14" s="62"/>
      <c r="S14" s="62"/>
      <c r="T14" s="141"/>
      <c r="U14" s="141"/>
      <c r="V14" s="62">
        <f t="shared" si="9"/>
        <v>6.79</v>
      </c>
      <c r="W14" s="121">
        <v>7.0</v>
      </c>
      <c r="X14" s="123">
        <f>'PROY. INTER'!W14</f>
        <v>8.2</v>
      </c>
      <c r="Y14" s="62">
        <f t="shared" si="10"/>
        <v>7.6</v>
      </c>
      <c r="Z14" s="62">
        <f t="shared" si="11"/>
        <v>2.28</v>
      </c>
      <c r="AA14" s="64">
        <f t="shared" si="12"/>
        <v>9.07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208">
        <v>9.0</v>
      </c>
      <c r="AI14" s="209"/>
      <c r="AJ14" s="209"/>
      <c r="AK14" s="210"/>
      <c r="AL14" s="210"/>
      <c r="AM14" s="139">
        <v>9.0</v>
      </c>
      <c r="AN14" s="140"/>
      <c r="AO14" s="140"/>
      <c r="AP14" s="121">
        <v>9.0</v>
      </c>
      <c r="AQ14" s="62"/>
      <c r="AR14" s="62"/>
      <c r="AS14" s="62"/>
      <c r="AT14" s="62"/>
      <c r="AU14" s="62"/>
      <c r="AV14" s="62"/>
      <c r="AW14" s="62"/>
      <c r="AX14" s="141"/>
      <c r="AY14" s="141"/>
      <c r="AZ14" s="62">
        <f t="shared" si="14"/>
        <v>6.3</v>
      </c>
      <c r="BA14" s="213">
        <v>9.0</v>
      </c>
      <c r="BB14" s="123">
        <f>'PROY. INTER'!AX14</f>
        <v>10</v>
      </c>
      <c r="BC14" s="62">
        <f t="shared" si="15"/>
        <v>9.5</v>
      </c>
      <c r="BD14" s="62">
        <f t="shared" si="16"/>
        <v>2.85</v>
      </c>
      <c r="BE14" s="64">
        <f t="shared" si="17"/>
        <v>9.15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212"/>
      <c r="BM14" s="212"/>
      <c r="BN14" s="212"/>
      <c r="BO14" s="140"/>
      <c r="BP14" s="140"/>
      <c r="BQ14" s="140"/>
      <c r="BR14" s="140"/>
      <c r="BS14" s="140"/>
      <c r="BT14" s="62"/>
      <c r="BU14" s="62"/>
      <c r="BV14" s="62"/>
      <c r="BW14" s="62"/>
      <c r="BX14" s="62"/>
      <c r="BY14" s="62"/>
      <c r="BZ14" s="62"/>
      <c r="CA14" s="62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9.07</v>
      </c>
      <c r="CQ14" s="129">
        <f t="shared" si="25"/>
        <v>9.15</v>
      </c>
      <c r="CR14" s="129">
        <f t="shared" si="26"/>
        <v>0</v>
      </c>
      <c r="CS14" s="130">
        <f t="shared" si="27"/>
        <v>6.07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6.07</v>
      </c>
      <c r="DB14" s="136"/>
      <c r="DC14" s="137">
        <f t="shared" si="31"/>
        <v>6.07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207">
        <v>8.0</v>
      </c>
      <c r="E15" s="207">
        <v>10.0</v>
      </c>
      <c r="F15" s="207">
        <v>9.0</v>
      </c>
      <c r="G15" s="207">
        <v>10.0</v>
      </c>
      <c r="H15" s="207">
        <v>10.0</v>
      </c>
      <c r="I15" s="207">
        <v>8.0</v>
      </c>
      <c r="J15" s="207">
        <v>7.0</v>
      </c>
      <c r="K15" s="207">
        <v>10.0</v>
      </c>
      <c r="L15" s="207">
        <v>10.0</v>
      </c>
      <c r="M15" s="207">
        <v>10.0</v>
      </c>
      <c r="N15" s="207">
        <v>10.0</v>
      </c>
      <c r="O15" s="143"/>
      <c r="P15" s="144">
        <v>10.0</v>
      </c>
      <c r="Q15" s="143"/>
      <c r="R15" s="143"/>
      <c r="S15" s="143"/>
      <c r="T15" s="141"/>
      <c r="U15" s="141"/>
      <c r="V15" s="62">
        <f t="shared" si="9"/>
        <v>6.531</v>
      </c>
      <c r="W15" s="121">
        <v>6.0</v>
      </c>
      <c r="X15" s="123">
        <f>'PROY. INTER'!W15</f>
        <v>6.73</v>
      </c>
      <c r="Y15" s="62">
        <f t="shared" si="10"/>
        <v>6.365</v>
      </c>
      <c r="Z15" s="62">
        <f t="shared" si="11"/>
        <v>1.9095</v>
      </c>
      <c r="AA15" s="64">
        <f t="shared" si="12"/>
        <v>8.44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214">
        <v>7.0</v>
      </c>
      <c r="AI15" s="215"/>
      <c r="AJ15" s="215"/>
      <c r="AK15" s="216"/>
      <c r="AL15" s="216"/>
      <c r="AM15" s="139">
        <v>8.0</v>
      </c>
      <c r="AN15" s="140"/>
      <c r="AO15" s="140"/>
      <c r="AP15" s="121">
        <v>8.0</v>
      </c>
      <c r="AQ15" s="62"/>
      <c r="AR15" s="143"/>
      <c r="AS15" s="143"/>
      <c r="AT15" s="143"/>
      <c r="AU15" s="143"/>
      <c r="AV15" s="143"/>
      <c r="AW15" s="143"/>
      <c r="AX15" s="141"/>
      <c r="AY15" s="141"/>
      <c r="AZ15" s="62">
        <f t="shared" si="14"/>
        <v>5.362</v>
      </c>
      <c r="BA15" s="217">
        <v>7.0</v>
      </c>
      <c r="BB15" s="123">
        <f>'PROY. INTER'!AX15</f>
        <v>10</v>
      </c>
      <c r="BC15" s="62">
        <f t="shared" si="15"/>
        <v>8.5</v>
      </c>
      <c r="BD15" s="62">
        <f t="shared" si="16"/>
        <v>2.55</v>
      </c>
      <c r="BE15" s="64">
        <f t="shared" si="17"/>
        <v>7.91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212"/>
      <c r="BM15" s="218"/>
      <c r="BN15" s="219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8.44</v>
      </c>
      <c r="CQ15" s="129">
        <f t="shared" si="25"/>
        <v>7.91</v>
      </c>
      <c r="CR15" s="129">
        <f t="shared" si="26"/>
        <v>0</v>
      </c>
      <c r="CS15" s="130">
        <f t="shared" si="27"/>
        <v>5.45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5.45</v>
      </c>
      <c r="DB15" s="136"/>
      <c r="DC15" s="137">
        <f t="shared" si="31"/>
        <v>5.45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207">
        <v>7.0</v>
      </c>
      <c r="E16" s="207">
        <v>10.0</v>
      </c>
      <c r="F16" s="207">
        <v>6.0</v>
      </c>
      <c r="G16" s="207">
        <v>10.0</v>
      </c>
      <c r="H16" s="207">
        <v>10.0</v>
      </c>
      <c r="I16" s="207">
        <v>6.0</v>
      </c>
      <c r="J16" s="207">
        <v>6.0</v>
      </c>
      <c r="K16" s="207">
        <v>10.0</v>
      </c>
      <c r="L16" s="207">
        <v>10.0</v>
      </c>
      <c r="M16" s="207">
        <v>10.0</v>
      </c>
      <c r="N16" s="207">
        <v>7.0</v>
      </c>
      <c r="O16" s="143"/>
      <c r="P16" s="144">
        <v>2.0</v>
      </c>
      <c r="Q16" s="143"/>
      <c r="R16" s="143"/>
      <c r="S16" s="143"/>
      <c r="T16" s="141"/>
      <c r="U16" s="141"/>
      <c r="V16" s="62">
        <f t="shared" si="9"/>
        <v>5.481</v>
      </c>
      <c r="W16" s="121">
        <v>4.0</v>
      </c>
      <c r="X16" s="123">
        <f>'PROY. INTER'!W16</f>
        <v>6</v>
      </c>
      <c r="Y16" s="62">
        <f t="shared" si="10"/>
        <v>5</v>
      </c>
      <c r="Z16" s="62">
        <f t="shared" si="11"/>
        <v>1.5</v>
      </c>
      <c r="AA16" s="64">
        <f t="shared" si="12"/>
        <v>6.98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214">
        <v>8.0</v>
      </c>
      <c r="AI16" s="215"/>
      <c r="AJ16" s="215"/>
      <c r="AK16" s="216"/>
      <c r="AL16" s="216"/>
      <c r="AM16" s="139">
        <v>8.0</v>
      </c>
      <c r="AN16" s="140"/>
      <c r="AO16" s="140"/>
      <c r="AP16" s="121">
        <v>7.0</v>
      </c>
      <c r="AQ16" s="62"/>
      <c r="AR16" s="143"/>
      <c r="AS16" s="143"/>
      <c r="AT16" s="143"/>
      <c r="AU16" s="143"/>
      <c r="AV16" s="143"/>
      <c r="AW16" s="143"/>
      <c r="AX16" s="141"/>
      <c r="AY16" s="141"/>
      <c r="AZ16" s="62">
        <f t="shared" si="14"/>
        <v>5.362</v>
      </c>
      <c r="BA16" s="217">
        <v>8.0</v>
      </c>
      <c r="BB16" s="123">
        <f>'PROY. INTER'!AX16</f>
        <v>2</v>
      </c>
      <c r="BC16" s="62">
        <f t="shared" si="15"/>
        <v>5</v>
      </c>
      <c r="BD16" s="62">
        <f t="shared" si="16"/>
        <v>1.5</v>
      </c>
      <c r="BE16" s="64">
        <f t="shared" si="17"/>
        <v>6.86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219"/>
      <c r="BM16" s="220"/>
      <c r="BN16" s="212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6.98</v>
      </c>
      <c r="CQ16" s="129">
        <f t="shared" si="25"/>
        <v>6.86</v>
      </c>
      <c r="CR16" s="129">
        <f t="shared" si="26"/>
        <v>0</v>
      </c>
      <c r="CS16" s="130">
        <f t="shared" si="27"/>
        <v>4.61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4.61</v>
      </c>
      <c r="DB16" s="136"/>
      <c r="DC16" s="137">
        <f t="shared" si="31"/>
        <v>4.61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207">
        <v>8.0</v>
      </c>
      <c r="E17" s="207">
        <v>10.0</v>
      </c>
      <c r="F17" s="207">
        <v>7.0</v>
      </c>
      <c r="G17" s="207">
        <v>10.0</v>
      </c>
      <c r="H17" s="207">
        <v>10.0</v>
      </c>
      <c r="I17" s="207">
        <v>7.0</v>
      </c>
      <c r="J17" s="207">
        <v>7.0</v>
      </c>
      <c r="K17" s="207">
        <v>10.0</v>
      </c>
      <c r="L17" s="207">
        <v>10.0</v>
      </c>
      <c r="M17" s="207">
        <v>10.0</v>
      </c>
      <c r="N17" s="207">
        <v>10.0</v>
      </c>
      <c r="O17" s="143"/>
      <c r="P17" s="144">
        <v>10.0</v>
      </c>
      <c r="Q17" s="143"/>
      <c r="R17" s="143"/>
      <c r="S17" s="143"/>
      <c r="T17" s="141"/>
      <c r="U17" s="141"/>
      <c r="V17" s="62">
        <f t="shared" si="9"/>
        <v>6.356</v>
      </c>
      <c r="W17" s="121">
        <v>8.0</v>
      </c>
      <c r="X17" s="123">
        <f>'PROY. INTER'!W17</f>
        <v>9.87</v>
      </c>
      <c r="Y17" s="62">
        <f t="shared" si="10"/>
        <v>8.935</v>
      </c>
      <c r="Z17" s="62">
        <f t="shared" si="11"/>
        <v>2.6805</v>
      </c>
      <c r="AA17" s="64">
        <f t="shared" si="12"/>
        <v>9.03</v>
      </c>
      <c r="AC17" s="2"/>
      <c r="AE17" s="56">
        <v>6.0</v>
      </c>
      <c r="AF17" s="124" t="str">
        <f t="shared" ref="AF17:AG17" si="45">B17</f>
        <v/>
      </c>
      <c r="AG17" s="188" t="str">
        <f t="shared" si="45"/>
        <v>Cantos Zúñiga a Hernán Snayder</v>
      </c>
      <c r="AH17" s="208">
        <v>7.0</v>
      </c>
      <c r="AI17" s="209"/>
      <c r="AJ17" s="209"/>
      <c r="AK17" s="210"/>
      <c r="AL17" s="210"/>
      <c r="AM17" s="139">
        <v>9.0</v>
      </c>
      <c r="AN17" s="140"/>
      <c r="AO17" s="140"/>
      <c r="AP17" s="121">
        <v>8.0</v>
      </c>
      <c r="AQ17" s="62"/>
      <c r="AR17" s="143"/>
      <c r="AS17" s="143"/>
      <c r="AT17" s="143"/>
      <c r="AU17" s="143"/>
      <c r="AV17" s="143"/>
      <c r="AW17" s="143"/>
      <c r="AX17" s="141"/>
      <c r="AY17" s="141"/>
      <c r="AZ17" s="62">
        <f t="shared" si="14"/>
        <v>5.6</v>
      </c>
      <c r="BA17" s="121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8.15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219"/>
      <c r="BM17" s="220"/>
      <c r="BN17" s="219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9.03</v>
      </c>
      <c r="CQ17" s="129">
        <f t="shared" si="25"/>
        <v>8.15</v>
      </c>
      <c r="CR17" s="129">
        <f t="shared" si="26"/>
        <v>0</v>
      </c>
      <c r="CS17" s="130">
        <f t="shared" si="27"/>
        <v>5.72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5.72</v>
      </c>
      <c r="DB17" s="136"/>
      <c r="DC17" s="137">
        <f t="shared" si="31"/>
        <v>5.72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207">
        <v>7.0</v>
      </c>
      <c r="E18" s="207">
        <v>10.0</v>
      </c>
      <c r="F18" s="207">
        <v>8.0</v>
      </c>
      <c r="G18" s="207">
        <v>10.0</v>
      </c>
      <c r="H18" s="207">
        <v>10.0</v>
      </c>
      <c r="I18" s="207">
        <v>8.0</v>
      </c>
      <c r="J18" s="207">
        <v>7.0</v>
      </c>
      <c r="K18" s="207">
        <v>10.0</v>
      </c>
      <c r="L18" s="207">
        <v>10.0</v>
      </c>
      <c r="M18" s="207">
        <v>10.0</v>
      </c>
      <c r="N18" s="207">
        <v>10.0</v>
      </c>
      <c r="O18" s="143"/>
      <c r="P18" s="144">
        <v>10.0</v>
      </c>
      <c r="Q18" s="143"/>
      <c r="R18" s="143"/>
      <c r="S18" s="143"/>
      <c r="T18" s="141"/>
      <c r="U18" s="141"/>
      <c r="V18" s="62">
        <f t="shared" si="9"/>
        <v>6.412</v>
      </c>
      <c r="W18" s="121">
        <v>7.0</v>
      </c>
      <c r="X18" s="123">
        <f>'PROY. INTER'!W18</f>
        <v>9</v>
      </c>
      <c r="Y18" s="62">
        <f t="shared" si="10"/>
        <v>8</v>
      </c>
      <c r="Z18" s="62">
        <f t="shared" si="11"/>
        <v>2.4</v>
      </c>
      <c r="AA18" s="64">
        <f t="shared" si="12"/>
        <v>8.81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208">
        <v>8.0</v>
      </c>
      <c r="AI18" s="209"/>
      <c r="AJ18" s="209"/>
      <c r="AK18" s="210"/>
      <c r="AL18" s="210"/>
      <c r="AM18" s="139">
        <v>8.0</v>
      </c>
      <c r="AN18" s="140"/>
      <c r="AO18" s="140"/>
      <c r="AP18" s="121">
        <v>8.0</v>
      </c>
      <c r="AQ18" s="62"/>
      <c r="AR18" s="143"/>
      <c r="AS18" s="143"/>
      <c r="AT18" s="143"/>
      <c r="AU18" s="143"/>
      <c r="AV18" s="143"/>
      <c r="AW18" s="143"/>
      <c r="AX18" s="141"/>
      <c r="AY18" s="141"/>
      <c r="AZ18" s="62">
        <f t="shared" si="14"/>
        <v>5.6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7.1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212"/>
      <c r="BM18" s="218"/>
      <c r="BN18" s="219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8.81</v>
      </c>
      <c r="CQ18" s="129">
        <f t="shared" si="25"/>
        <v>7.1</v>
      </c>
      <c r="CR18" s="129">
        <f t="shared" si="26"/>
        <v>0</v>
      </c>
      <c r="CS18" s="130">
        <f t="shared" si="27"/>
        <v>5.3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5.3</v>
      </c>
      <c r="DB18" s="136"/>
      <c r="DC18" s="137">
        <f t="shared" si="31"/>
        <v>5.3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207">
        <v>6.0</v>
      </c>
      <c r="E19" s="207">
        <v>10.0</v>
      </c>
      <c r="F19" s="207">
        <v>5.0</v>
      </c>
      <c r="G19" s="207">
        <v>10.0</v>
      </c>
      <c r="H19" s="207">
        <v>10.0</v>
      </c>
      <c r="I19" s="207">
        <v>6.0</v>
      </c>
      <c r="J19" s="207">
        <v>5.0</v>
      </c>
      <c r="K19" s="207">
        <v>10.0</v>
      </c>
      <c r="L19" s="207">
        <v>10.0</v>
      </c>
      <c r="M19" s="207">
        <v>10.0</v>
      </c>
      <c r="N19" s="207">
        <v>6.0</v>
      </c>
      <c r="O19" s="143"/>
      <c r="P19" s="144">
        <v>2.0</v>
      </c>
      <c r="Q19" s="143"/>
      <c r="R19" s="143"/>
      <c r="S19" s="143"/>
      <c r="T19" s="141"/>
      <c r="U19" s="141"/>
      <c r="V19" s="62">
        <f t="shared" si="9"/>
        <v>5.25</v>
      </c>
      <c r="W19" s="121">
        <v>7.0</v>
      </c>
      <c r="X19" s="123">
        <f>'PROY. INTER'!W19</f>
        <v>6</v>
      </c>
      <c r="Y19" s="62">
        <f t="shared" si="10"/>
        <v>6.5</v>
      </c>
      <c r="Z19" s="62">
        <f t="shared" si="11"/>
        <v>1.95</v>
      </c>
      <c r="AA19" s="64">
        <f t="shared" si="12"/>
        <v>7.2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7.0</v>
      </c>
      <c r="AI19" s="140"/>
      <c r="AJ19" s="140"/>
      <c r="AK19" s="140"/>
      <c r="AL19" s="140"/>
      <c r="AM19" s="139">
        <v>6.0</v>
      </c>
      <c r="AN19" s="140"/>
      <c r="AO19" s="140"/>
      <c r="AP19" s="121">
        <v>6.0</v>
      </c>
      <c r="AQ19" s="62"/>
      <c r="AR19" s="143"/>
      <c r="AS19" s="143"/>
      <c r="AT19" s="143"/>
      <c r="AU19" s="143"/>
      <c r="AV19" s="143"/>
      <c r="AW19" s="143"/>
      <c r="AX19" s="141"/>
      <c r="AY19" s="141"/>
      <c r="AZ19" s="62">
        <f t="shared" si="14"/>
        <v>4.431</v>
      </c>
      <c r="BA19" s="121">
        <v>6.0</v>
      </c>
      <c r="BB19" s="123">
        <f>'PROY. INTER'!AX19</f>
        <v>2</v>
      </c>
      <c r="BC19" s="62">
        <f t="shared" si="15"/>
        <v>4</v>
      </c>
      <c r="BD19" s="62">
        <f t="shared" si="16"/>
        <v>1.2</v>
      </c>
      <c r="BE19" s="64">
        <f t="shared" si="17"/>
        <v>5.63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219"/>
      <c r="BM19" s="220"/>
      <c r="BN19" s="219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7.2</v>
      </c>
      <c r="CQ19" s="129">
        <f t="shared" si="25"/>
        <v>5.63</v>
      </c>
      <c r="CR19" s="129">
        <f t="shared" si="26"/>
        <v>0</v>
      </c>
      <c r="CS19" s="130">
        <f t="shared" si="27"/>
        <v>4.27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4.27</v>
      </c>
      <c r="DB19" s="136"/>
      <c r="DC19" s="137">
        <f t="shared" si="31"/>
        <v>4.27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207">
        <v>7.0</v>
      </c>
      <c r="E20" s="207">
        <v>10.0</v>
      </c>
      <c r="F20" s="207">
        <v>6.0</v>
      </c>
      <c r="G20" s="207">
        <v>10.0</v>
      </c>
      <c r="H20" s="207">
        <v>10.0</v>
      </c>
      <c r="I20" s="207">
        <v>6.0</v>
      </c>
      <c r="J20" s="207">
        <v>6.0</v>
      </c>
      <c r="K20" s="207">
        <v>10.0</v>
      </c>
      <c r="L20" s="207">
        <v>10.0</v>
      </c>
      <c r="M20" s="207">
        <v>10.0</v>
      </c>
      <c r="N20" s="207">
        <v>5.0</v>
      </c>
      <c r="O20" s="143"/>
      <c r="P20" s="144">
        <v>2.0</v>
      </c>
      <c r="Q20" s="143"/>
      <c r="R20" s="143"/>
      <c r="S20" s="143"/>
      <c r="T20" s="141"/>
      <c r="U20" s="141"/>
      <c r="V20" s="62">
        <f t="shared" si="9"/>
        <v>5.362</v>
      </c>
      <c r="W20" s="121">
        <v>7.0</v>
      </c>
      <c r="X20" s="123">
        <f>'PROY. INTER'!W20</f>
        <v>6</v>
      </c>
      <c r="Y20" s="62">
        <f t="shared" si="10"/>
        <v>6.5</v>
      </c>
      <c r="Z20" s="62">
        <f t="shared" si="11"/>
        <v>1.95</v>
      </c>
      <c r="AA20" s="64">
        <f t="shared" si="12"/>
        <v>7.31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208">
        <v>7.0</v>
      </c>
      <c r="AI20" s="209"/>
      <c r="AJ20" s="209"/>
      <c r="AK20" s="210"/>
      <c r="AL20" s="210"/>
      <c r="AM20" s="139">
        <v>7.0</v>
      </c>
      <c r="AN20" s="140"/>
      <c r="AO20" s="140"/>
      <c r="AP20" s="121">
        <v>7.0</v>
      </c>
      <c r="AQ20" s="62"/>
      <c r="AR20" s="143"/>
      <c r="AS20" s="143"/>
      <c r="AT20" s="143"/>
      <c r="AU20" s="143"/>
      <c r="AV20" s="143"/>
      <c r="AW20" s="143"/>
      <c r="AX20" s="141"/>
      <c r="AY20" s="141"/>
      <c r="AZ20" s="62">
        <f t="shared" si="14"/>
        <v>4.9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7.45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219"/>
      <c r="BM20" s="22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7.31</v>
      </c>
      <c r="CQ20" s="129">
        <f t="shared" si="25"/>
        <v>7.45</v>
      </c>
      <c r="CR20" s="129">
        <f t="shared" si="26"/>
        <v>0</v>
      </c>
      <c r="CS20" s="130">
        <f t="shared" si="27"/>
        <v>4.92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4.92</v>
      </c>
      <c r="DB20" s="136"/>
      <c r="DC20" s="137">
        <f t="shared" si="31"/>
        <v>4.92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207">
        <v>7.0</v>
      </c>
      <c r="E21" s="207">
        <v>10.0</v>
      </c>
      <c r="F21" s="207">
        <v>6.0</v>
      </c>
      <c r="G21" s="207">
        <v>10.0</v>
      </c>
      <c r="H21" s="207">
        <v>10.0</v>
      </c>
      <c r="I21" s="207">
        <v>5.0</v>
      </c>
      <c r="J21" s="207">
        <v>5.0</v>
      </c>
      <c r="K21" s="207">
        <v>10.0</v>
      </c>
      <c r="L21" s="207">
        <v>10.0</v>
      </c>
      <c r="M21" s="207">
        <v>10.0</v>
      </c>
      <c r="N21" s="207">
        <v>6.0</v>
      </c>
      <c r="O21" s="143"/>
      <c r="P21" s="144">
        <v>2.0</v>
      </c>
      <c r="Q21" s="143"/>
      <c r="R21" s="143"/>
      <c r="S21" s="143"/>
      <c r="T21" s="141"/>
      <c r="U21" s="141"/>
      <c r="V21" s="62">
        <f t="shared" si="9"/>
        <v>5.306</v>
      </c>
      <c r="W21" s="121">
        <v>5.0</v>
      </c>
      <c r="X21" s="123">
        <f>'PROY. INTER'!W21</f>
        <v>6</v>
      </c>
      <c r="Y21" s="62">
        <f t="shared" si="10"/>
        <v>5.5</v>
      </c>
      <c r="Z21" s="62">
        <f t="shared" si="11"/>
        <v>1.65</v>
      </c>
      <c r="AA21" s="64">
        <f t="shared" si="12"/>
        <v>6.95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214">
        <v>7.0</v>
      </c>
      <c r="AI21" s="215"/>
      <c r="AJ21" s="215"/>
      <c r="AK21" s="221"/>
      <c r="AL21" s="216"/>
      <c r="AM21" s="139">
        <v>7.0</v>
      </c>
      <c r="AN21" s="140"/>
      <c r="AO21" s="140"/>
      <c r="AP21" s="121">
        <v>6.0</v>
      </c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4.662</v>
      </c>
      <c r="BA21" s="213">
        <v>6.0</v>
      </c>
      <c r="BB21" s="123">
        <f>'PROY. INTER'!AX21</f>
        <v>2</v>
      </c>
      <c r="BC21" s="62">
        <f t="shared" si="15"/>
        <v>4</v>
      </c>
      <c r="BD21" s="62">
        <f t="shared" si="16"/>
        <v>1.2</v>
      </c>
      <c r="BE21" s="64">
        <f t="shared" si="17"/>
        <v>5.86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219"/>
      <c r="BM21" s="220"/>
      <c r="BN21" s="212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6.95</v>
      </c>
      <c r="CQ21" s="129">
        <f t="shared" si="25"/>
        <v>5.86</v>
      </c>
      <c r="CR21" s="129">
        <f t="shared" si="26"/>
        <v>0</v>
      </c>
      <c r="CS21" s="130">
        <f t="shared" si="27"/>
        <v>4.27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4.27</v>
      </c>
      <c r="DB21" s="136"/>
      <c r="DC21" s="137">
        <f t="shared" si="31"/>
        <v>4.27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207">
        <v>10.0</v>
      </c>
      <c r="E22" s="207">
        <v>10.0</v>
      </c>
      <c r="F22" s="207">
        <v>10.0</v>
      </c>
      <c r="G22" s="207">
        <v>10.0</v>
      </c>
      <c r="H22" s="207">
        <v>10.0</v>
      </c>
      <c r="I22" s="207">
        <v>10.0</v>
      </c>
      <c r="J22" s="207">
        <v>10.0</v>
      </c>
      <c r="K22" s="207">
        <v>10.0</v>
      </c>
      <c r="L22" s="207">
        <v>10.0</v>
      </c>
      <c r="M22" s="207">
        <v>10.0</v>
      </c>
      <c r="N22" s="207">
        <v>10.0</v>
      </c>
      <c r="O22" s="143"/>
      <c r="P22" s="144">
        <v>10.0</v>
      </c>
      <c r="Q22" s="143"/>
      <c r="R22" s="143"/>
      <c r="S22" s="143"/>
      <c r="T22" s="141"/>
      <c r="U22" s="141"/>
      <c r="V22" s="62">
        <f t="shared" si="9"/>
        <v>7</v>
      </c>
      <c r="W22" s="121">
        <v>7.0</v>
      </c>
      <c r="X22" s="123">
        <f>'PROY. INTER'!W22</f>
        <v>10</v>
      </c>
      <c r="Y22" s="62">
        <f t="shared" si="10"/>
        <v>8.5</v>
      </c>
      <c r="Z22" s="62">
        <f t="shared" si="11"/>
        <v>2.55</v>
      </c>
      <c r="AA22" s="64">
        <f t="shared" si="12"/>
        <v>9.55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214">
        <v>8.0</v>
      </c>
      <c r="AI22" s="215"/>
      <c r="AJ22" s="215"/>
      <c r="AK22" s="216"/>
      <c r="AL22" s="216"/>
      <c r="AM22" s="139">
        <v>9.0</v>
      </c>
      <c r="AN22" s="140"/>
      <c r="AO22" s="140"/>
      <c r="AP22" s="121">
        <v>9.0</v>
      </c>
      <c r="AQ22" s="62"/>
      <c r="AR22" s="143"/>
      <c r="AS22" s="143"/>
      <c r="AT22" s="143"/>
      <c r="AU22" s="143"/>
      <c r="AV22" s="143"/>
      <c r="AW22" s="143"/>
      <c r="AX22" s="141"/>
      <c r="AY22" s="141"/>
      <c r="AZ22" s="62">
        <f t="shared" si="14"/>
        <v>6.062</v>
      </c>
      <c r="BA22" s="217">
        <v>9.0</v>
      </c>
      <c r="BB22" s="123">
        <f>'PROY. INTER'!AX22</f>
        <v>10</v>
      </c>
      <c r="BC22" s="62">
        <f t="shared" si="15"/>
        <v>9.5</v>
      </c>
      <c r="BD22" s="62">
        <f t="shared" si="16"/>
        <v>2.85</v>
      </c>
      <c r="BE22" s="64">
        <f t="shared" si="17"/>
        <v>8.91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212"/>
      <c r="BM22" s="218"/>
      <c r="BN22" s="219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9.55</v>
      </c>
      <c r="CQ22" s="129">
        <f t="shared" si="25"/>
        <v>8.91</v>
      </c>
      <c r="CR22" s="129">
        <f t="shared" si="26"/>
        <v>0</v>
      </c>
      <c r="CS22" s="130">
        <f t="shared" si="27"/>
        <v>6.15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6.15</v>
      </c>
      <c r="DB22" s="136"/>
      <c r="DC22" s="137">
        <f t="shared" si="31"/>
        <v>6.15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207">
        <v>8.0</v>
      </c>
      <c r="E23" s="207">
        <v>10.0</v>
      </c>
      <c r="F23" s="207">
        <v>9.0</v>
      </c>
      <c r="G23" s="207">
        <v>10.0</v>
      </c>
      <c r="H23" s="207">
        <v>10.0</v>
      </c>
      <c r="I23" s="207">
        <v>7.0</v>
      </c>
      <c r="J23" s="207">
        <v>10.0</v>
      </c>
      <c r="K23" s="207">
        <v>10.0</v>
      </c>
      <c r="L23" s="207">
        <v>10.0</v>
      </c>
      <c r="M23" s="207">
        <v>10.0</v>
      </c>
      <c r="N23" s="207">
        <v>10.0</v>
      </c>
      <c r="O23" s="143"/>
      <c r="P23" s="144">
        <v>10.0</v>
      </c>
      <c r="Q23" s="143"/>
      <c r="R23" s="143"/>
      <c r="S23" s="143"/>
      <c r="T23" s="141"/>
      <c r="U23" s="141"/>
      <c r="V23" s="62">
        <f t="shared" si="9"/>
        <v>6.65</v>
      </c>
      <c r="W23" s="121">
        <v>7.0</v>
      </c>
      <c r="X23" s="123">
        <f>'PROY. INTER'!W23</f>
        <v>7.2</v>
      </c>
      <c r="Y23" s="62">
        <f t="shared" si="10"/>
        <v>7.1</v>
      </c>
      <c r="Z23" s="62">
        <f t="shared" si="11"/>
        <v>2.13</v>
      </c>
      <c r="AA23" s="64">
        <f t="shared" si="12"/>
        <v>8.78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214">
        <v>7.0</v>
      </c>
      <c r="AI23" s="215"/>
      <c r="AJ23" s="215"/>
      <c r="AK23" s="216"/>
      <c r="AL23" s="216"/>
      <c r="AM23" s="139">
        <v>8.0</v>
      </c>
      <c r="AN23" s="140"/>
      <c r="AO23" s="140"/>
      <c r="AP23" s="121">
        <v>8.0</v>
      </c>
      <c r="AQ23" s="62"/>
      <c r="AR23" s="143"/>
      <c r="AS23" s="143"/>
      <c r="AT23" s="143"/>
      <c r="AU23" s="143"/>
      <c r="AV23" s="143"/>
      <c r="AW23" s="143"/>
      <c r="AX23" s="141"/>
      <c r="AY23" s="141"/>
      <c r="AZ23" s="62">
        <f t="shared" si="14"/>
        <v>5.362</v>
      </c>
      <c r="BA23" s="217">
        <v>8.0</v>
      </c>
      <c r="BB23" s="123">
        <f>'PROY. INTER'!AX23</f>
        <v>10</v>
      </c>
      <c r="BC23" s="62">
        <f t="shared" si="15"/>
        <v>9</v>
      </c>
      <c r="BD23" s="62">
        <f t="shared" si="16"/>
        <v>2.7</v>
      </c>
      <c r="BE23" s="64">
        <f t="shared" si="17"/>
        <v>8.06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219"/>
      <c r="BM23" s="220"/>
      <c r="BN23" s="219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8.78</v>
      </c>
      <c r="CQ23" s="129">
        <f t="shared" si="25"/>
        <v>8.06</v>
      </c>
      <c r="CR23" s="129">
        <f t="shared" si="26"/>
        <v>0</v>
      </c>
      <c r="CS23" s="130">
        <f t="shared" si="27"/>
        <v>5.61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5.61</v>
      </c>
      <c r="DB23" s="136"/>
      <c r="DC23" s="137">
        <f t="shared" si="31"/>
        <v>5.61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207">
        <v>8.0</v>
      </c>
      <c r="E24" s="207">
        <v>10.0</v>
      </c>
      <c r="F24" s="207">
        <v>9.0</v>
      </c>
      <c r="G24" s="207">
        <v>10.0</v>
      </c>
      <c r="H24" s="207">
        <v>10.0</v>
      </c>
      <c r="I24" s="207">
        <v>10.0</v>
      </c>
      <c r="J24" s="207">
        <v>8.0</v>
      </c>
      <c r="K24" s="207">
        <v>10.0</v>
      </c>
      <c r="L24" s="207">
        <v>10.0</v>
      </c>
      <c r="M24" s="207">
        <v>10.0</v>
      </c>
      <c r="N24" s="207">
        <v>10.0</v>
      </c>
      <c r="O24" s="143"/>
      <c r="P24" s="144">
        <v>9.5</v>
      </c>
      <c r="Q24" s="143"/>
      <c r="R24" s="143"/>
      <c r="S24" s="143"/>
      <c r="T24" s="141"/>
      <c r="U24" s="141"/>
      <c r="V24" s="62">
        <f t="shared" si="9"/>
        <v>6.678</v>
      </c>
      <c r="W24" s="121">
        <v>7.0</v>
      </c>
      <c r="X24" s="123">
        <f>'PROY. INTER'!W24</f>
        <v>9</v>
      </c>
      <c r="Y24" s="62">
        <f t="shared" si="10"/>
        <v>8</v>
      </c>
      <c r="Z24" s="62">
        <f t="shared" si="11"/>
        <v>2.4</v>
      </c>
      <c r="AA24" s="64">
        <f t="shared" si="12"/>
        <v>9.07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214">
        <v>7.0</v>
      </c>
      <c r="AI24" s="215"/>
      <c r="AJ24" s="215"/>
      <c r="AK24" s="216"/>
      <c r="AL24" s="216"/>
      <c r="AM24" s="139">
        <v>7.0</v>
      </c>
      <c r="AN24" s="140"/>
      <c r="AO24" s="140"/>
      <c r="AP24" s="121">
        <v>7.0</v>
      </c>
      <c r="AQ24" s="62"/>
      <c r="AR24" s="143"/>
      <c r="AS24" s="143"/>
      <c r="AT24" s="143"/>
      <c r="AU24" s="143"/>
      <c r="AV24" s="143"/>
      <c r="AW24" s="143"/>
      <c r="AX24" s="141"/>
      <c r="AY24" s="141"/>
      <c r="AZ24" s="62">
        <f t="shared" si="14"/>
        <v>4.9</v>
      </c>
      <c r="BA24" s="217">
        <v>7.0</v>
      </c>
      <c r="BB24" s="123">
        <f>'PROY. INTER'!AX24</f>
        <v>10</v>
      </c>
      <c r="BC24" s="62">
        <f t="shared" si="15"/>
        <v>8.5</v>
      </c>
      <c r="BD24" s="62">
        <f t="shared" si="16"/>
        <v>2.55</v>
      </c>
      <c r="BE24" s="64">
        <f t="shared" si="17"/>
        <v>7.45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219"/>
      <c r="BM24" s="220"/>
      <c r="BN24" s="219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9.07</v>
      </c>
      <c r="CQ24" s="129">
        <f t="shared" si="25"/>
        <v>7.45</v>
      </c>
      <c r="CR24" s="129">
        <f t="shared" si="26"/>
        <v>0</v>
      </c>
      <c r="CS24" s="130">
        <f t="shared" si="27"/>
        <v>5.5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5.5</v>
      </c>
      <c r="DB24" s="136"/>
      <c r="DC24" s="137">
        <f t="shared" si="31"/>
        <v>5.5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207">
        <v>7.0</v>
      </c>
      <c r="E25" s="207">
        <v>10.0</v>
      </c>
      <c r="F25" s="207">
        <v>5.0</v>
      </c>
      <c r="G25" s="207">
        <v>10.0</v>
      </c>
      <c r="H25" s="207">
        <v>10.0</v>
      </c>
      <c r="I25" s="207">
        <v>6.0</v>
      </c>
      <c r="J25" s="207">
        <v>6.0</v>
      </c>
      <c r="K25" s="207">
        <v>10.0</v>
      </c>
      <c r="L25" s="207">
        <v>10.0</v>
      </c>
      <c r="M25" s="207">
        <v>10.0</v>
      </c>
      <c r="N25" s="207">
        <v>6.0</v>
      </c>
      <c r="O25" s="143"/>
      <c r="P25" s="144">
        <v>2.0</v>
      </c>
      <c r="Q25" s="143"/>
      <c r="R25" s="143"/>
      <c r="S25" s="143"/>
      <c r="T25" s="141"/>
      <c r="U25" s="141"/>
      <c r="V25" s="62">
        <f t="shared" si="9"/>
        <v>5.362</v>
      </c>
      <c r="W25" s="121">
        <v>7.0</v>
      </c>
      <c r="X25" s="123">
        <f>'PROY. INTER'!W25</f>
        <v>6</v>
      </c>
      <c r="Y25" s="62">
        <f t="shared" si="10"/>
        <v>6.5</v>
      </c>
      <c r="Z25" s="62">
        <f t="shared" si="11"/>
        <v>1.95</v>
      </c>
      <c r="AA25" s="64">
        <f t="shared" si="12"/>
        <v>7.31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7.0</v>
      </c>
      <c r="AI25" s="140"/>
      <c r="AJ25" s="140"/>
      <c r="AK25" s="140"/>
      <c r="AL25" s="140"/>
      <c r="AM25" s="139">
        <v>7.0</v>
      </c>
      <c r="AN25" s="140"/>
      <c r="AO25" s="140"/>
      <c r="AP25" s="121">
        <v>6.0</v>
      </c>
      <c r="AQ25" s="62"/>
      <c r="AR25" s="143"/>
      <c r="AS25" s="143"/>
      <c r="AT25" s="143"/>
      <c r="AU25" s="143"/>
      <c r="AV25" s="143"/>
      <c r="AW25" s="143"/>
      <c r="AX25" s="141"/>
      <c r="AY25" s="141"/>
      <c r="AZ25" s="62">
        <f t="shared" si="14"/>
        <v>4.662</v>
      </c>
      <c r="BA25" s="217">
        <v>6.0</v>
      </c>
      <c r="BB25" s="123">
        <f>'PROY. INTER'!AX25</f>
        <v>10</v>
      </c>
      <c r="BC25" s="62">
        <f t="shared" si="15"/>
        <v>8</v>
      </c>
      <c r="BD25" s="62">
        <f t="shared" si="16"/>
        <v>2.4</v>
      </c>
      <c r="BE25" s="64">
        <f t="shared" si="17"/>
        <v>7.06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219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7.31</v>
      </c>
      <c r="CQ25" s="129">
        <f t="shared" si="25"/>
        <v>7.06</v>
      </c>
      <c r="CR25" s="129">
        <f t="shared" si="26"/>
        <v>0</v>
      </c>
      <c r="CS25" s="130">
        <f t="shared" si="27"/>
        <v>4.79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4.79</v>
      </c>
      <c r="DB25" s="136"/>
      <c r="DC25" s="137">
        <f t="shared" si="31"/>
        <v>4.79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207">
        <v>9.0</v>
      </c>
      <c r="E26" s="207">
        <v>10.0</v>
      </c>
      <c r="F26" s="207">
        <v>8.0</v>
      </c>
      <c r="G26" s="207">
        <v>10.0</v>
      </c>
      <c r="H26" s="207">
        <v>10.0</v>
      </c>
      <c r="I26" s="207">
        <v>9.0</v>
      </c>
      <c r="J26" s="207">
        <v>10.0</v>
      </c>
      <c r="K26" s="207">
        <v>10.0</v>
      </c>
      <c r="L26" s="207">
        <v>10.0</v>
      </c>
      <c r="M26" s="207">
        <v>10.0</v>
      </c>
      <c r="N26" s="207">
        <v>10.0</v>
      </c>
      <c r="O26" s="143"/>
      <c r="P26" s="144">
        <v>9.5</v>
      </c>
      <c r="Q26" s="143"/>
      <c r="R26" s="143"/>
      <c r="S26" s="143"/>
      <c r="T26" s="141"/>
      <c r="U26" s="141"/>
      <c r="V26" s="62">
        <f t="shared" si="9"/>
        <v>6.734</v>
      </c>
      <c r="W26" s="121">
        <v>6.0</v>
      </c>
      <c r="X26" s="123">
        <f>'PROY. INTER'!W26</f>
        <v>7.73</v>
      </c>
      <c r="Y26" s="62">
        <f t="shared" si="10"/>
        <v>6.865</v>
      </c>
      <c r="Z26" s="62">
        <f t="shared" si="11"/>
        <v>2.0595</v>
      </c>
      <c r="AA26" s="64">
        <f t="shared" si="12"/>
        <v>8.79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208">
        <v>8.0</v>
      </c>
      <c r="AI26" s="209"/>
      <c r="AJ26" s="209"/>
      <c r="AK26" s="210"/>
      <c r="AL26" s="210"/>
      <c r="AM26" s="139">
        <v>9.0</v>
      </c>
      <c r="AN26" s="140"/>
      <c r="AO26" s="140"/>
      <c r="AP26" s="121">
        <v>9.0</v>
      </c>
      <c r="AQ26" s="62"/>
      <c r="AR26" s="143"/>
      <c r="AS26" s="143"/>
      <c r="AT26" s="143"/>
      <c r="AU26" s="143"/>
      <c r="AV26" s="143"/>
      <c r="AW26" s="143"/>
      <c r="AX26" s="141"/>
      <c r="AY26" s="141"/>
      <c r="AZ26" s="62">
        <f t="shared" si="14"/>
        <v>6.062</v>
      </c>
      <c r="BA26" s="217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8.91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212"/>
      <c r="BM26" s="218"/>
      <c r="BN26" s="219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8.79</v>
      </c>
      <c r="CQ26" s="129">
        <f t="shared" si="25"/>
        <v>8.91</v>
      </c>
      <c r="CR26" s="129">
        <f t="shared" si="26"/>
        <v>0</v>
      </c>
      <c r="CS26" s="130">
        <f t="shared" si="27"/>
        <v>5.9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5.9</v>
      </c>
      <c r="DB26" s="136"/>
      <c r="DC26" s="137">
        <f t="shared" si="31"/>
        <v>5.9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207">
        <v>7.0</v>
      </c>
      <c r="E27" s="207">
        <v>10.0</v>
      </c>
      <c r="F27" s="207">
        <v>8.0</v>
      </c>
      <c r="G27" s="207">
        <v>10.0</v>
      </c>
      <c r="H27" s="207">
        <v>10.0</v>
      </c>
      <c r="I27" s="207">
        <v>8.0</v>
      </c>
      <c r="J27" s="207">
        <v>9.0</v>
      </c>
      <c r="K27" s="207">
        <v>10.0</v>
      </c>
      <c r="L27" s="207">
        <v>10.0</v>
      </c>
      <c r="M27" s="207">
        <v>10.0</v>
      </c>
      <c r="N27" s="207">
        <v>10.0</v>
      </c>
      <c r="O27" s="143"/>
      <c r="P27" s="144">
        <v>8.5</v>
      </c>
      <c r="Q27" s="143"/>
      <c r="R27" s="143"/>
      <c r="S27" s="143"/>
      <c r="T27" s="141"/>
      <c r="U27" s="141"/>
      <c r="V27" s="62">
        <f t="shared" si="9"/>
        <v>6.44</v>
      </c>
      <c r="W27" s="121">
        <v>9.0</v>
      </c>
      <c r="X27" s="123">
        <f>'PROY. INTER'!W27</f>
        <v>6</v>
      </c>
      <c r="Y27" s="62">
        <f t="shared" si="10"/>
        <v>7.5</v>
      </c>
      <c r="Z27" s="62">
        <f t="shared" si="11"/>
        <v>2.25</v>
      </c>
      <c r="AA27" s="64">
        <f t="shared" si="12"/>
        <v>8.69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214">
        <v>8.0</v>
      </c>
      <c r="AI27" s="215"/>
      <c r="AJ27" s="215"/>
      <c r="AK27" s="216"/>
      <c r="AL27" s="216"/>
      <c r="AM27" s="139">
        <v>8.0</v>
      </c>
      <c r="AN27" s="140"/>
      <c r="AO27" s="140"/>
      <c r="AP27" s="121">
        <v>8.0</v>
      </c>
      <c r="AQ27" s="62"/>
      <c r="AR27" s="143"/>
      <c r="AS27" s="143"/>
      <c r="AT27" s="143"/>
      <c r="AU27" s="143"/>
      <c r="AV27" s="143"/>
      <c r="AW27" s="143"/>
      <c r="AX27" s="141"/>
      <c r="AY27" s="141"/>
      <c r="AZ27" s="62">
        <f t="shared" si="14"/>
        <v>5.6</v>
      </c>
      <c r="BA27" s="213">
        <v>8.0</v>
      </c>
      <c r="BB27" s="123">
        <f>'PROY. INTER'!AX27</f>
        <v>2</v>
      </c>
      <c r="BC27" s="62">
        <f t="shared" si="15"/>
        <v>5</v>
      </c>
      <c r="BD27" s="62">
        <f t="shared" si="16"/>
        <v>1.5</v>
      </c>
      <c r="BE27" s="64">
        <f t="shared" si="17"/>
        <v>7.1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219"/>
      <c r="BM27" s="220"/>
      <c r="BN27" s="219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8.69</v>
      </c>
      <c r="CQ27" s="129">
        <f t="shared" si="25"/>
        <v>7.1</v>
      </c>
      <c r="CR27" s="129">
        <f t="shared" si="26"/>
        <v>0</v>
      </c>
      <c r="CS27" s="130">
        <f t="shared" si="27"/>
        <v>5.26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5.26</v>
      </c>
      <c r="DB27" s="136"/>
      <c r="DC27" s="137">
        <f t="shared" si="31"/>
        <v>5.26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207">
        <v>9.0</v>
      </c>
      <c r="E28" s="207">
        <v>10.0</v>
      </c>
      <c r="F28" s="207">
        <v>10.0</v>
      </c>
      <c r="G28" s="207">
        <v>10.0</v>
      </c>
      <c r="H28" s="207">
        <v>10.0</v>
      </c>
      <c r="I28" s="207">
        <v>8.0</v>
      </c>
      <c r="J28" s="207">
        <v>9.0</v>
      </c>
      <c r="K28" s="207">
        <v>10.0</v>
      </c>
      <c r="L28" s="207">
        <v>10.0</v>
      </c>
      <c r="M28" s="207">
        <v>10.0</v>
      </c>
      <c r="N28" s="207">
        <v>10.0</v>
      </c>
      <c r="O28" s="143"/>
      <c r="P28" s="144">
        <v>10.0</v>
      </c>
      <c r="Q28" s="143"/>
      <c r="R28" s="143"/>
      <c r="S28" s="143"/>
      <c r="T28" s="141"/>
      <c r="U28" s="141"/>
      <c r="V28" s="62">
        <f t="shared" si="9"/>
        <v>6.762</v>
      </c>
      <c r="W28" s="121">
        <v>8.0</v>
      </c>
      <c r="X28" s="123">
        <f>'PROY. INTER'!W28</f>
        <v>9.73</v>
      </c>
      <c r="Y28" s="62">
        <f t="shared" si="10"/>
        <v>8.865</v>
      </c>
      <c r="Z28" s="62">
        <f t="shared" si="11"/>
        <v>2.6595</v>
      </c>
      <c r="AA28" s="64">
        <f t="shared" si="12"/>
        <v>9.42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208">
        <v>9.0</v>
      </c>
      <c r="AI28" s="209"/>
      <c r="AJ28" s="209"/>
      <c r="AK28" s="210"/>
      <c r="AL28" s="210"/>
      <c r="AM28" s="139">
        <v>9.0</v>
      </c>
      <c r="AN28" s="140"/>
      <c r="AO28" s="140"/>
      <c r="AP28" s="121">
        <v>9.0</v>
      </c>
      <c r="AQ28" s="62"/>
      <c r="AR28" s="143"/>
      <c r="AS28" s="143"/>
      <c r="AT28" s="143"/>
      <c r="AU28" s="143"/>
      <c r="AV28" s="143"/>
      <c r="AW28" s="143"/>
      <c r="AX28" s="141"/>
      <c r="AY28" s="141"/>
      <c r="AZ28" s="62">
        <f t="shared" si="14"/>
        <v>6.3</v>
      </c>
      <c r="BA28" s="217">
        <v>8.0</v>
      </c>
      <c r="BB28" s="123">
        <f>'PROY. INTER'!AX28</f>
        <v>10</v>
      </c>
      <c r="BC28" s="62">
        <f t="shared" si="15"/>
        <v>9</v>
      </c>
      <c r="BD28" s="62">
        <f t="shared" si="16"/>
        <v>2.7</v>
      </c>
      <c r="BE28" s="64">
        <f t="shared" si="17"/>
        <v>9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219"/>
      <c r="BM28" s="220"/>
      <c r="BN28" s="219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9.42</v>
      </c>
      <c r="CQ28" s="129">
        <f t="shared" si="25"/>
        <v>9</v>
      </c>
      <c r="CR28" s="129">
        <f t="shared" si="26"/>
        <v>0</v>
      </c>
      <c r="CS28" s="130">
        <f t="shared" si="27"/>
        <v>6.14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6.14</v>
      </c>
      <c r="DB28" s="136"/>
      <c r="DC28" s="137">
        <f t="shared" si="31"/>
        <v>6.14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207">
        <v>9.0</v>
      </c>
      <c r="E29" s="207">
        <v>10.0</v>
      </c>
      <c r="F29" s="207">
        <v>9.0</v>
      </c>
      <c r="G29" s="207">
        <v>10.0</v>
      </c>
      <c r="H29" s="207">
        <v>10.0</v>
      </c>
      <c r="I29" s="207">
        <v>9.0</v>
      </c>
      <c r="J29" s="207">
        <v>9.0</v>
      </c>
      <c r="K29" s="207">
        <v>10.0</v>
      </c>
      <c r="L29" s="207">
        <v>10.0</v>
      </c>
      <c r="M29" s="207">
        <v>10.0</v>
      </c>
      <c r="N29" s="207">
        <v>10.0</v>
      </c>
      <c r="O29" s="143"/>
      <c r="P29" s="144">
        <v>10.0</v>
      </c>
      <c r="Q29" s="143"/>
      <c r="R29" s="143"/>
      <c r="S29" s="143"/>
      <c r="T29" s="141"/>
      <c r="U29" s="141"/>
      <c r="V29" s="62">
        <f t="shared" si="9"/>
        <v>6.762</v>
      </c>
      <c r="W29" s="121">
        <v>4.0</v>
      </c>
      <c r="X29" s="123">
        <f>'PROY. INTER'!W29</f>
        <v>9.2</v>
      </c>
      <c r="Y29" s="62">
        <f t="shared" si="10"/>
        <v>6.6</v>
      </c>
      <c r="Z29" s="62">
        <f t="shared" si="11"/>
        <v>1.98</v>
      </c>
      <c r="AA29" s="64">
        <f t="shared" si="12"/>
        <v>8.74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214">
        <v>9.0</v>
      </c>
      <c r="AI29" s="215"/>
      <c r="AJ29" s="215"/>
      <c r="AK29" s="216"/>
      <c r="AL29" s="216"/>
      <c r="AM29" s="139">
        <v>9.0</v>
      </c>
      <c r="AN29" s="140"/>
      <c r="AO29" s="140"/>
      <c r="AP29" s="121">
        <v>8.0</v>
      </c>
      <c r="AQ29" s="62"/>
      <c r="AR29" s="143"/>
      <c r="AS29" s="143"/>
      <c r="AT29" s="143"/>
      <c r="AU29" s="143"/>
      <c r="AV29" s="143"/>
      <c r="AW29" s="143"/>
      <c r="AX29" s="141"/>
      <c r="AY29" s="141"/>
      <c r="AZ29" s="62">
        <f t="shared" si="14"/>
        <v>6.062</v>
      </c>
      <c r="BA29" s="217">
        <v>8.0</v>
      </c>
      <c r="BB29" s="123">
        <f>'PROY. INTER'!AX29</f>
        <v>10</v>
      </c>
      <c r="BC29" s="62">
        <f t="shared" si="15"/>
        <v>9</v>
      </c>
      <c r="BD29" s="62">
        <f t="shared" si="16"/>
        <v>2.7</v>
      </c>
      <c r="BE29" s="64">
        <f t="shared" si="17"/>
        <v>8.76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212"/>
      <c r="BM29" s="218"/>
      <c r="BN29" s="219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8.74</v>
      </c>
      <c r="CQ29" s="129">
        <f t="shared" si="25"/>
        <v>8.76</v>
      </c>
      <c r="CR29" s="129">
        <f t="shared" si="26"/>
        <v>0</v>
      </c>
      <c r="CS29" s="130">
        <f t="shared" si="27"/>
        <v>5.83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5.83</v>
      </c>
      <c r="DB29" s="136"/>
      <c r="DC29" s="137">
        <f t="shared" si="31"/>
        <v>5.83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207">
        <v>8.0</v>
      </c>
      <c r="E30" s="207">
        <v>10.0</v>
      </c>
      <c r="F30" s="207">
        <v>8.0</v>
      </c>
      <c r="G30" s="207">
        <v>10.0</v>
      </c>
      <c r="H30" s="207">
        <v>10.0</v>
      </c>
      <c r="I30" s="207">
        <v>9.0</v>
      </c>
      <c r="J30" s="207">
        <v>9.0</v>
      </c>
      <c r="K30" s="207">
        <v>10.0</v>
      </c>
      <c r="L30" s="207">
        <v>10.0</v>
      </c>
      <c r="M30" s="207">
        <v>10.0</v>
      </c>
      <c r="N30" s="207">
        <v>10.0</v>
      </c>
      <c r="O30" s="143"/>
      <c r="P30" s="144">
        <v>10.0</v>
      </c>
      <c r="Q30" s="143"/>
      <c r="R30" s="143"/>
      <c r="S30" s="143"/>
      <c r="T30" s="141"/>
      <c r="U30" s="141"/>
      <c r="V30" s="62">
        <f t="shared" si="9"/>
        <v>6.65</v>
      </c>
      <c r="W30" s="121">
        <v>7.0</v>
      </c>
      <c r="X30" s="123">
        <f>'PROY. INTER'!W30</f>
        <v>9.47</v>
      </c>
      <c r="Y30" s="62">
        <f t="shared" si="10"/>
        <v>8.235</v>
      </c>
      <c r="Z30" s="62">
        <f t="shared" si="11"/>
        <v>2.4705</v>
      </c>
      <c r="AA30" s="64">
        <f t="shared" si="12"/>
        <v>9.12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214">
        <v>9.0</v>
      </c>
      <c r="AI30" s="215"/>
      <c r="AJ30" s="215"/>
      <c r="AK30" s="216"/>
      <c r="AL30" s="216"/>
      <c r="AM30" s="139">
        <v>10.0</v>
      </c>
      <c r="AN30" s="140"/>
      <c r="AO30" s="140"/>
      <c r="AP30" s="121">
        <v>10.0</v>
      </c>
      <c r="AQ30" s="62"/>
      <c r="AR30" s="143"/>
      <c r="AS30" s="143"/>
      <c r="AT30" s="143"/>
      <c r="AU30" s="143"/>
      <c r="AV30" s="143"/>
      <c r="AW30" s="143"/>
      <c r="AX30" s="141"/>
      <c r="AY30" s="141"/>
      <c r="AZ30" s="62">
        <f t="shared" si="14"/>
        <v>6.762</v>
      </c>
      <c r="BA30" s="217">
        <v>9.0</v>
      </c>
      <c r="BB30" s="123">
        <f>'PROY. INTER'!AX30</f>
        <v>10</v>
      </c>
      <c r="BC30" s="62">
        <f t="shared" si="15"/>
        <v>9.5</v>
      </c>
      <c r="BD30" s="62">
        <f t="shared" si="16"/>
        <v>2.85</v>
      </c>
      <c r="BE30" s="64">
        <f t="shared" si="17"/>
        <v>9.61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219"/>
      <c r="BM30" s="220"/>
      <c r="BN30" s="219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9.12</v>
      </c>
      <c r="CQ30" s="129">
        <f t="shared" si="25"/>
        <v>9.61</v>
      </c>
      <c r="CR30" s="129">
        <f t="shared" si="26"/>
        <v>0</v>
      </c>
      <c r="CS30" s="130">
        <f t="shared" si="27"/>
        <v>6.24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6.24</v>
      </c>
      <c r="DB30" s="136"/>
      <c r="DC30" s="137">
        <f t="shared" si="31"/>
        <v>6.24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207">
        <v>9.0</v>
      </c>
      <c r="E31" s="207">
        <v>10.0</v>
      </c>
      <c r="F31" s="207">
        <v>9.0</v>
      </c>
      <c r="G31" s="207">
        <v>10.0</v>
      </c>
      <c r="H31" s="207">
        <v>10.0</v>
      </c>
      <c r="I31" s="207">
        <v>10.0</v>
      </c>
      <c r="J31" s="207">
        <v>10.0</v>
      </c>
      <c r="K31" s="207">
        <v>10.0</v>
      </c>
      <c r="L31" s="207">
        <v>10.0</v>
      </c>
      <c r="M31" s="207">
        <v>10.0</v>
      </c>
      <c r="N31" s="207">
        <v>10.0</v>
      </c>
      <c r="O31" s="143"/>
      <c r="P31" s="144">
        <v>10.0</v>
      </c>
      <c r="Q31" s="143"/>
      <c r="R31" s="143"/>
      <c r="S31" s="143"/>
      <c r="T31" s="141"/>
      <c r="U31" s="141"/>
      <c r="V31" s="62">
        <f t="shared" si="9"/>
        <v>6.881</v>
      </c>
      <c r="W31" s="121">
        <v>7.0</v>
      </c>
      <c r="X31" s="123">
        <f>'PROY. INTER'!W31</f>
        <v>10</v>
      </c>
      <c r="Y31" s="62">
        <f t="shared" si="10"/>
        <v>8.5</v>
      </c>
      <c r="Z31" s="62">
        <f t="shared" si="11"/>
        <v>2.55</v>
      </c>
      <c r="AA31" s="64">
        <f t="shared" si="12"/>
        <v>9.43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214">
        <v>9.0</v>
      </c>
      <c r="AI31" s="215"/>
      <c r="AJ31" s="215"/>
      <c r="AK31" s="222"/>
      <c r="AL31" s="216"/>
      <c r="AM31" s="139">
        <v>10.0</v>
      </c>
      <c r="AN31" s="140"/>
      <c r="AO31" s="140"/>
      <c r="AP31" s="121">
        <v>10.0</v>
      </c>
      <c r="AQ31" s="62"/>
      <c r="AR31" s="143"/>
      <c r="AS31" s="143"/>
      <c r="AT31" s="143"/>
      <c r="AU31" s="143"/>
      <c r="AV31" s="143"/>
      <c r="AW31" s="143"/>
      <c r="AX31" s="141"/>
      <c r="AY31" s="141"/>
      <c r="AZ31" s="62">
        <f t="shared" si="14"/>
        <v>6.762</v>
      </c>
      <c r="BA31" s="217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9.76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219"/>
      <c r="BM31" s="220"/>
      <c r="BN31" s="219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9.43</v>
      </c>
      <c r="CQ31" s="129">
        <f t="shared" si="25"/>
        <v>9.76</v>
      </c>
      <c r="CR31" s="129">
        <f t="shared" si="26"/>
        <v>0</v>
      </c>
      <c r="CS31" s="130">
        <f t="shared" si="27"/>
        <v>6.39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6.39</v>
      </c>
      <c r="DB31" s="136"/>
      <c r="DC31" s="137">
        <f t="shared" si="31"/>
        <v>6.39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207">
        <v>8.0</v>
      </c>
      <c r="E32" s="207">
        <v>10.0</v>
      </c>
      <c r="F32" s="207">
        <v>7.0</v>
      </c>
      <c r="G32" s="207">
        <v>10.0</v>
      </c>
      <c r="H32" s="207">
        <v>10.0</v>
      </c>
      <c r="I32" s="207">
        <v>8.0</v>
      </c>
      <c r="J32" s="207">
        <v>7.0</v>
      </c>
      <c r="K32" s="207">
        <v>10.0</v>
      </c>
      <c r="L32" s="207">
        <v>10.0</v>
      </c>
      <c r="M32" s="207">
        <v>10.0</v>
      </c>
      <c r="N32" s="207">
        <v>10.0</v>
      </c>
      <c r="O32" s="143"/>
      <c r="P32" s="144">
        <v>9.5</v>
      </c>
      <c r="Q32" s="143"/>
      <c r="R32" s="143"/>
      <c r="S32" s="143"/>
      <c r="T32" s="141"/>
      <c r="U32" s="141"/>
      <c r="V32" s="62">
        <f t="shared" si="9"/>
        <v>6.384</v>
      </c>
      <c r="W32" s="121">
        <v>6.0</v>
      </c>
      <c r="X32" s="123">
        <f>'PROY. INTER'!W32</f>
        <v>6.47</v>
      </c>
      <c r="Y32" s="62">
        <f t="shared" si="10"/>
        <v>6.235</v>
      </c>
      <c r="Z32" s="62">
        <f t="shared" si="11"/>
        <v>1.8705</v>
      </c>
      <c r="AA32" s="64">
        <f t="shared" si="12"/>
        <v>8.25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214">
        <v>7.0</v>
      </c>
      <c r="AI32" s="215"/>
      <c r="AJ32" s="215"/>
      <c r="AK32" s="216"/>
      <c r="AL32" s="216"/>
      <c r="AM32" s="139">
        <v>8.0</v>
      </c>
      <c r="AN32" s="140"/>
      <c r="AO32" s="140"/>
      <c r="AP32" s="121">
        <v>7.0</v>
      </c>
      <c r="AQ32" s="62"/>
      <c r="AR32" s="143"/>
      <c r="AS32" s="143"/>
      <c r="AT32" s="143"/>
      <c r="AU32" s="143"/>
      <c r="AV32" s="143"/>
      <c r="AW32" s="143"/>
      <c r="AX32" s="141"/>
      <c r="AY32" s="141"/>
      <c r="AZ32" s="62">
        <f t="shared" si="14"/>
        <v>5.131</v>
      </c>
      <c r="BA32" s="217">
        <v>8.0</v>
      </c>
      <c r="BB32" s="123">
        <f>'PROY. INTER'!AX32</f>
        <v>10</v>
      </c>
      <c r="BC32" s="62">
        <f t="shared" si="15"/>
        <v>9</v>
      </c>
      <c r="BD32" s="62">
        <f t="shared" si="16"/>
        <v>2.7</v>
      </c>
      <c r="BE32" s="64">
        <f t="shared" si="17"/>
        <v>7.83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212"/>
      <c r="BM32" s="218"/>
      <c r="BN32" s="212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8.25</v>
      </c>
      <c r="CQ32" s="129">
        <f t="shared" si="25"/>
        <v>7.83</v>
      </c>
      <c r="CR32" s="129">
        <f t="shared" si="26"/>
        <v>0</v>
      </c>
      <c r="CS32" s="130">
        <f t="shared" si="27"/>
        <v>5.36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5.36</v>
      </c>
      <c r="DB32" s="136"/>
      <c r="DC32" s="137">
        <f t="shared" si="31"/>
        <v>5.36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207">
        <v>9.0</v>
      </c>
      <c r="E33" s="207">
        <v>10.0</v>
      </c>
      <c r="F33" s="207">
        <v>9.0</v>
      </c>
      <c r="G33" s="207">
        <v>10.0</v>
      </c>
      <c r="H33" s="207">
        <v>10.0</v>
      </c>
      <c r="I33" s="207">
        <v>8.0</v>
      </c>
      <c r="J33" s="207">
        <v>9.0</v>
      </c>
      <c r="K33" s="207">
        <v>10.0</v>
      </c>
      <c r="L33" s="207">
        <v>10.0</v>
      </c>
      <c r="M33" s="207">
        <v>10.0</v>
      </c>
      <c r="N33" s="207">
        <v>10.0</v>
      </c>
      <c r="O33" s="143"/>
      <c r="P33" s="144">
        <v>9.0</v>
      </c>
      <c r="Q33" s="143"/>
      <c r="R33" s="143"/>
      <c r="S33" s="143"/>
      <c r="T33" s="141"/>
      <c r="U33" s="141"/>
      <c r="V33" s="62">
        <f t="shared" si="9"/>
        <v>6.65</v>
      </c>
      <c r="W33" s="121">
        <v>6.0</v>
      </c>
      <c r="X33" s="123">
        <f>'PROY. INTER'!W33</f>
        <v>9.2</v>
      </c>
      <c r="Y33" s="62">
        <f t="shared" si="10"/>
        <v>7.6</v>
      </c>
      <c r="Z33" s="62">
        <f t="shared" si="11"/>
        <v>2.28</v>
      </c>
      <c r="AA33" s="64">
        <f t="shared" si="12"/>
        <v>8.93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214">
        <v>7.0</v>
      </c>
      <c r="AI33" s="215"/>
      <c r="AJ33" s="215"/>
      <c r="AK33" s="216"/>
      <c r="AL33" s="216"/>
      <c r="AM33" s="139">
        <v>7.0</v>
      </c>
      <c r="AN33" s="140"/>
      <c r="AO33" s="140"/>
      <c r="AP33" s="121">
        <v>6.0</v>
      </c>
      <c r="AQ33" s="62"/>
      <c r="AR33" s="143"/>
      <c r="AS33" s="143"/>
      <c r="AT33" s="143"/>
      <c r="AU33" s="143"/>
      <c r="AV33" s="143"/>
      <c r="AW33" s="143"/>
      <c r="AX33" s="141"/>
      <c r="AY33" s="141"/>
      <c r="AZ33" s="62">
        <f t="shared" si="14"/>
        <v>4.662</v>
      </c>
      <c r="BA33" s="217">
        <v>7.0</v>
      </c>
      <c r="BB33" s="123">
        <f>'PROY. INTER'!AX33</f>
        <v>10</v>
      </c>
      <c r="BC33" s="62">
        <f t="shared" si="15"/>
        <v>8.5</v>
      </c>
      <c r="BD33" s="62">
        <f t="shared" si="16"/>
        <v>2.55</v>
      </c>
      <c r="BE33" s="64">
        <f t="shared" si="17"/>
        <v>7.21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219"/>
      <c r="BM33" s="220"/>
      <c r="BN33" s="219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8.93</v>
      </c>
      <c r="CQ33" s="129">
        <f t="shared" si="25"/>
        <v>7.21</v>
      </c>
      <c r="CR33" s="129">
        <f t="shared" si="26"/>
        <v>0</v>
      </c>
      <c r="CS33" s="130">
        <f t="shared" si="27"/>
        <v>5.38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5.38</v>
      </c>
      <c r="DB33" s="136"/>
      <c r="DC33" s="137">
        <f t="shared" si="31"/>
        <v>5.38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207">
        <v>7.0</v>
      </c>
      <c r="E34" s="207">
        <v>10.0</v>
      </c>
      <c r="F34" s="207">
        <v>8.0</v>
      </c>
      <c r="G34" s="207">
        <v>10.0</v>
      </c>
      <c r="H34" s="207">
        <v>10.0</v>
      </c>
      <c r="I34" s="207">
        <v>9.0</v>
      </c>
      <c r="J34" s="207">
        <v>9.0</v>
      </c>
      <c r="K34" s="207">
        <v>10.0</v>
      </c>
      <c r="L34" s="207">
        <v>10.0</v>
      </c>
      <c r="M34" s="207">
        <v>10.0</v>
      </c>
      <c r="N34" s="207">
        <v>10.0</v>
      </c>
      <c r="O34" s="143"/>
      <c r="P34" s="144">
        <v>9.0</v>
      </c>
      <c r="Q34" s="143"/>
      <c r="R34" s="143"/>
      <c r="S34" s="143"/>
      <c r="T34" s="141"/>
      <c r="U34" s="141"/>
      <c r="V34" s="62">
        <f t="shared" si="9"/>
        <v>6.531</v>
      </c>
      <c r="W34" s="121">
        <v>5.0</v>
      </c>
      <c r="X34" s="123">
        <f>'PROY. INTER'!W34</f>
        <v>7.33</v>
      </c>
      <c r="Y34" s="62">
        <f t="shared" si="10"/>
        <v>6.165</v>
      </c>
      <c r="Z34" s="62">
        <f t="shared" si="11"/>
        <v>1.8495</v>
      </c>
      <c r="AA34" s="64">
        <f t="shared" si="12"/>
        <v>8.38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214">
        <v>8.0</v>
      </c>
      <c r="AI34" s="215"/>
      <c r="AJ34" s="215"/>
      <c r="AK34" s="216"/>
      <c r="AL34" s="216"/>
      <c r="AM34" s="139">
        <v>8.0</v>
      </c>
      <c r="AN34" s="140"/>
      <c r="AO34" s="140"/>
      <c r="AP34" s="121">
        <v>8.0</v>
      </c>
      <c r="AQ34" s="62"/>
      <c r="AR34" s="143"/>
      <c r="AS34" s="143"/>
      <c r="AT34" s="143"/>
      <c r="AU34" s="143"/>
      <c r="AV34" s="143"/>
      <c r="AW34" s="143"/>
      <c r="AX34" s="141"/>
      <c r="AY34" s="141"/>
      <c r="AZ34" s="62">
        <f t="shared" si="14"/>
        <v>5.6</v>
      </c>
      <c r="BA34" s="217">
        <v>8.0</v>
      </c>
      <c r="BB34" s="123">
        <f>'PROY. INTER'!AX34</f>
        <v>10</v>
      </c>
      <c r="BC34" s="62">
        <f t="shared" si="15"/>
        <v>9</v>
      </c>
      <c r="BD34" s="62">
        <f t="shared" si="16"/>
        <v>2.7</v>
      </c>
      <c r="BE34" s="64">
        <f t="shared" si="17"/>
        <v>8.3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212"/>
      <c r="BM34" s="212"/>
      <c r="BN34" s="219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8.38</v>
      </c>
      <c r="CQ34" s="129">
        <f t="shared" si="25"/>
        <v>8.3</v>
      </c>
      <c r="CR34" s="129">
        <f t="shared" si="26"/>
        <v>0</v>
      </c>
      <c r="CS34" s="130">
        <f t="shared" si="27"/>
        <v>5.56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5.56</v>
      </c>
      <c r="DB34" s="136"/>
      <c r="DC34" s="137">
        <f t="shared" si="31"/>
        <v>5.56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207">
        <v>8.0</v>
      </c>
      <c r="E35" s="207">
        <v>10.0</v>
      </c>
      <c r="F35" s="207">
        <v>9.0</v>
      </c>
      <c r="G35" s="207">
        <v>10.0</v>
      </c>
      <c r="H35" s="207">
        <v>10.0</v>
      </c>
      <c r="I35" s="207">
        <v>9.0</v>
      </c>
      <c r="J35" s="207">
        <v>9.0</v>
      </c>
      <c r="K35" s="207">
        <v>10.0</v>
      </c>
      <c r="L35" s="207">
        <v>10.0</v>
      </c>
      <c r="M35" s="207">
        <v>10.0</v>
      </c>
      <c r="N35" s="207">
        <v>10.0</v>
      </c>
      <c r="O35" s="143"/>
      <c r="P35" s="144">
        <v>10.0</v>
      </c>
      <c r="Q35" s="143"/>
      <c r="R35" s="143"/>
      <c r="S35" s="143"/>
      <c r="T35" s="141"/>
      <c r="U35" s="141"/>
      <c r="V35" s="62">
        <f t="shared" si="9"/>
        <v>6.706</v>
      </c>
      <c r="W35" s="121">
        <v>6.0</v>
      </c>
      <c r="X35" s="123">
        <f>'PROY. INTER'!W35</f>
        <v>9.73</v>
      </c>
      <c r="Y35" s="62">
        <f t="shared" si="10"/>
        <v>7.865</v>
      </c>
      <c r="Z35" s="62">
        <f t="shared" si="11"/>
        <v>2.3595</v>
      </c>
      <c r="AA35" s="64">
        <f t="shared" si="12"/>
        <v>9.06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214">
        <v>9.0</v>
      </c>
      <c r="AI35" s="215"/>
      <c r="AJ35" s="215"/>
      <c r="AK35" s="216"/>
      <c r="AL35" s="216"/>
      <c r="AM35" s="139">
        <v>8.0</v>
      </c>
      <c r="AN35" s="140"/>
      <c r="AO35" s="140"/>
      <c r="AP35" s="121">
        <v>8.0</v>
      </c>
      <c r="AQ35" s="62"/>
      <c r="AR35" s="143"/>
      <c r="AS35" s="143"/>
      <c r="AT35" s="143"/>
      <c r="AU35" s="143"/>
      <c r="AV35" s="143"/>
      <c r="AW35" s="143"/>
      <c r="AX35" s="141"/>
      <c r="AY35" s="141"/>
      <c r="AZ35" s="62">
        <f t="shared" si="14"/>
        <v>5.831</v>
      </c>
      <c r="BA35" s="217">
        <v>9.0</v>
      </c>
      <c r="BB35" s="123">
        <f>'PROY. INTER'!AX35</f>
        <v>10</v>
      </c>
      <c r="BC35" s="62">
        <f t="shared" si="15"/>
        <v>9.5</v>
      </c>
      <c r="BD35" s="62">
        <f t="shared" si="16"/>
        <v>2.85</v>
      </c>
      <c r="BE35" s="64">
        <f t="shared" si="17"/>
        <v>8.68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212"/>
      <c r="BM35" s="218"/>
      <c r="BN35" s="219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9.06</v>
      </c>
      <c r="CQ35" s="129">
        <f t="shared" si="25"/>
        <v>8.68</v>
      </c>
      <c r="CR35" s="129">
        <f t="shared" si="26"/>
        <v>0</v>
      </c>
      <c r="CS35" s="130">
        <f t="shared" si="27"/>
        <v>5.91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5.91</v>
      </c>
      <c r="DB35" s="136"/>
      <c r="DC35" s="137">
        <f t="shared" si="31"/>
        <v>5.91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223"/>
      <c r="E36" s="224"/>
      <c r="F36" s="224"/>
      <c r="G36" s="224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225"/>
      <c r="AI36" s="215"/>
      <c r="AJ36" s="215"/>
      <c r="AK36" s="216"/>
      <c r="AL36" s="216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226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219"/>
      <c r="BM36" s="220"/>
      <c r="BN36" s="212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223"/>
      <c r="E37" s="224"/>
      <c r="F37" s="224"/>
      <c r="G37" s="224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225"/>
      <c r="AI37" s="215"/>
      <c r="AJ37" s="215"/>
      <c r="AK37" s="216"/>
      <c r="AL37" s="216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226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212"/>
      <c r="BM37" s="212"/>
      <c r="BN37" s="219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223"/>
      <c r="E38" s="224"/>
      <c r="F38" s="224"/>
      <c r="G38" s="224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225"/>
      <c r="AI38" s="215"/>
      <c r="AJ38" s="215"/>
      <c r="AK38" s="216"/>
      <c r="AL38" s="216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226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219"/>
      <c r="BM38" s="220"/>
      <c r="BN38" s="219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227"/>
      <c r="E39" s="227"/>
      <c r="F39" s="227"/>
      <c r="G39" s="227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219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228"/>
      <c r="E40" s="229"/>
      <c r="F40" s="229"/>
      <c r="G40" s="229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230"/>
      <c r="AI40" s="209"/>
      <c r="AJ40" s="209"/>
      <c r="AK40" s="210"/>
      <c r="AL40" s="21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231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212"/>
      <c r="BM40" s="218"/>
      <c r="BN40" s="219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230"/>
      <c r="AI41" s="209"/>
      <c r="AJ41" s="209"/>
      <c r="AK41" s="210"/>
      <c r="AL41" s="21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212"/>
      <c r="BM41" s="218"/>
      <c r="BN41" s="212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J61" si="173">B48</f>
        <v/>
      </c>
      <c r="BK48" s="232"/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0">B48</f>
        <v/>
      </c>
      <c r="CO48" s="128" t="str">
        <f t="shared" si="170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1">B48</f>
        <v/>
      </c>
      <c r="CZ48" s="134" t="str">
        <f t="shared" si="171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2">B49</f>
        <v/>
      </c>
      <c r="AG49" s="125" t="str">
        <f t="shared" si="172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si="173"/>
        <v/>
      </c>
      <c r="BK49" s="232"/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4">B49</f>
        <v/>
      </c>
      <c r="CO49" s="128" t="str">
        <f t="shared" si="174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5">B49</f>
        <v/>
      </c>
      <c r="CZ49" s="134" t="str">
        <f t="shared" si="175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6">B50</f>
        <v/>
      </c>
      <c r="AG50" s="125" t="str">
        <f t="shared" si="176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si="173"/>
        <v/>
      </c>
      <c r="BK50" s="232"/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7">B50</f>
        <v/>
      </c>
      <c r="CO50" s="128" t="str">
        <f t="shared" si="177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78">B50</f>
        <v/>
      </c>
      <c r="CZ50" s="134" t="str">
        <f t="shared" si="178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79">B51</f>
        <v/>
      </c>
      <c r="AG51" s="125" t="str">
        <f t="shared" si="179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si="173"/>
        <v/>
      </c>
      <c r="BK51" s="232"/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0">B51</f>
        <v/>
      </c>
      <c r="CO51" s="128" t="str">
        <f t="shared" si="180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1">B51</f>
        <v/>
      </c>
      <c r="CZ51" s="134" t="str">
        <f t="shared" si="181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2">B52</f>
        <v/>
      </c>
      <c r="AG52" s="125" t="str">
        <f t="shared" si="182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si="173"/>
        <v/>
      </c>
      <c r="BK52" s="232"/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3">B52</f>
        <v/>
      </c>
      <c r="CO52" s="128" t="str">
        <f t="shared" si="183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4">B52</f>
        <v/>
      </c>
      <c r="CZ52" s="134" t="str">
        <f t="shared" si="184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5">B53</f>
        <v/>
      </c>
      <c r="AG53" s="125" t="str">
        <f t="shared" si="185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si="173"/>
        <v/>
      </c>
      <c r="BK53" s="232"/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86">B53</f>
        <v/>
      </c>
      <c r="CO53" s="128" t="str">
        <f t="shared" si="186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87">B53</f>
        <v/>
      </c>
      <c r="CZ53" s="134" t="str">
        <f t="shared" si="187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88">B54</f>
        <v/>
      </c>
      <c r="AG54" s="125" t="str">
        <f t="shared" si="188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si="173"/>
        <v/>
      </c>
      <c r="BK54" s="232"/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89">B54</f>
        <v/>
      </c>
      <c r="CO54" s="128" t="str">
        <f t="shared" si="189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0">B54</f>
        <v/>
      </c>
      <c r="CZ54" s="134" t="str">
        <f t="shared" si="190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1">B55</f>
        <v/>
      </c>
      <c r="AG55" s="125" t="str">
        <f t="shared" si="191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si="173"/>
        <v/>
      </c>
      <c r="BK55" s="232"/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2">B55</f>
        <v/>
      </c>
      <c r="CO55" s="128" t="str">
        <f t="shared" si="192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193">B55</f>
        <v/>
      </c>
      <c r="CZ55" s="134" t="str">
        <f t="shared" si="193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194">B56</f>
        <v/>
      </c>
      <c r="AG56" s="125" t="str">
        <f t="shared" si="194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si="173"/>
        <v/>
      </c>
      <c r="BK56" s="232"/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195">B56</f>
        <v/>
      </c>
      <c r="CO56" s="128" t="str">
        <f t="shared" si="195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196">B56</f>
        <v/>
      </c>
      <c r="CZ56" s="134" t="str">
        <f t="shared" si="196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197">B57</f>
        <v/>
      </c>
      <c r="AG57" s="125" t="str">
        <f t="shared" si="197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si="173"/>
        <v/>
      </c>
      <c r="BK57" s="232"/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198">B57</f>
        <v/>
      </c>
      <c r="CO57" s="128" t="str">
        <f t="shared" si="198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199">B57</f>
        <v/>
      </c>
      <c r="CZ57" s="134" t="str">
        <f t="shared" si="199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0">B58</f>
        <v/>
      </c>
      <c r="AG58" s="125" t="str">
        <f t="shared" si="200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si="173"/>
        <v/>
      </c>
      <c r="BK58" s="232"/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01">B58</f>
        <v/>
      </c>
      <c r="CO58" s="128" t="str">
        <f t="shared" si="20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02">B58</f>
        <v/>
      </c>
      <c r="CZ58" s="134" t="str">
        <f t="shared" si="20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03">B59</f>
        <v/>
      </c>
      <c r="AG59" s="125" t="str">
        <f t="shared" si="20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si="173"/>
        <v/>
      </c>
      <c r="BK59" s="232"/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04">B59</f>
        <v/>
      </c>
      <c r="CO59" s="128" t="str">
        <f t="shared" si="204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05">B59</f>
        <v/>
      </c>
      <c r="CZ59" s="134" t="str">
        <f t="shared" si="205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06">B60</f>
        <v/>
      </c>
      <c r="AG60" s="125" t="str">
        <f t="shared" si="206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si="173"/>
        <v/>
      </c>
      <c r="BK60" s="232"/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07">B60</f>
        <v/>
      </c>
      <c r="CO60" s="128" t="str">
        <f t="shared" si="207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08">B60</f>
        <v/>
      </c>
      <c r="CZ60" s="134" t="str">
        <f t="shared" si="208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09">B61</f>
        <v/>
      </c>
      <c r="AG61" s="125" t="str">
        <f t="shared" si="209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si="173"/>
        <v/>
      </c>
      <c r="BK61" s="232"/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10">B61</f>
        <v/>
      </c>
      <c r="CO61" s="128" t="str">
        <f t="shared" si="210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11">B61</f>
        <v/>
      </c>
      <c r="CZ61" s="134" t="str">
        <f t="shared" si="211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5.535416667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 L12:N35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LAS NOTAS DEBEN SER ENTRE 0 Y 10 PTOS." sqref="W12:W61">
      <formula1>0.0</formula1>
      <formula2>10.0</formula2>
    </dataValidation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AS NOTAS DEBEN ESTAR ENTRE 0 Y 10 PTOS." sqref="D12:U61">
      <formula1>0.0</formula1>
      <formula2>10.0</formula2>
    </dataValidation>
    <dataValidation type="decimal" allowBlank="1" showInputMessage="1" showErrorMessage="1" prompt="LOS VALORES DEBEN SER ENTRE 0 Y 10 PTOS." sqref="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1.43"/>
    <col customWidth="1" min="3" max="3" width="44.29"/>
    <col customWidth="1" min="4" max="7" width="4.86"/>
    <col customWidth="1" min="8" max="8" width="7.71"/>
    <col customWidth="1" min="9" max="14" width="4.86"/>
    <col customWidth="1" min="15" max="15" width="6.0"/>
    <col customWidth="1" min="16" max="21" width="4.86"/>
    <col customWidth="1" min="22" max="23" width="5.71"/>
    <col customWidth="1" min="24" max="24" width="7.71"/>
    <col customWidth="1" min="25" max="25" width="6.71"/>
    <col customWidth="1" min="26" max="26" width="6.57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40.71"/>
    <col customWidth="1" hidden="1" min="33" max="36" width="4.86"/>
    <col customWidth="1" min="37" max="37" width="7.57"/>
    <col customWidth="1" min="38" max="38" width="4.86"/>
    <col customWidth="1" hidden="1" min="39" max="42" width="4.86"/>
    <col customWidth="1" min="43" max="43" width="8.14"/>
    <col customWidth="1" hidden="1" min="44" max="48" width="4.86"/>
    <col customWidth="1" min="49" max="50" width="4.86"/>
    <col customWidth="1" min="51" max="55" width="5.71"/>
    <col customWidth="1" min="56" max="56" width="9.0"/>
    <col customWidth="1" min="57" max="57" width="2.71"/>
    <col customWidth="1" min="58" max="58" width="4.71"/>
    <col customWidth="1" min="59" max="59" width="2.71"/>
    <col customWidth="1" min="60" max="60" width="4.71"/>
    <col customWidth="1" min="61" max="61" width="10.71"/>
    <col customWidth="1" min="62" max="62" width="45.14"/>
    <col customWidth="1" hidden="1" min="63" max="63" width="4.86"/>
    <col customWidth="1" min="64" max="64" width="11.29"/>
    <col customWidth="1" hidden="1" min="65" max="66" width="4.86"/>
    <col customWidth="1" min="67" max="67" width="12.0"/>
    <col customWidth="1" min="68" max="68" width="19.57"/>
    <col customWidth="1" hidden="1" min="69" max="78" width="4.86"/>
    <col customWidth="1" min="79" max="80" width="4.86"/>
    <col customWidth="1" min="81" max="85" width="5.71"/>
    <col customWidth="1" min="86" max="86" width="8.86"/>
    <col customWidth="1" min="87" max="87" width="3.29"/>
    <col customWidth="1" min="88" max="88" width="2.71"/>
    <col customWidth="1" min="89" max="89" width="2.86"/>
    <col customWidth="1" min="90" max="91" width="10.71"/>
    <col customWidth="1" min="92" max="92" width="45.86"/>
    <col customWidth="1" min="93" max="96" width="10.71"/>
    <col customWidth="1" min="97" max="97" width="21.86"/>
    <col customWidth="1" min="98" max="98" width="4.43"/>
    <col customWidth="1" min="99" max="100" width="2.71"/>
    <col customWidth="1" min="101" max="102" width="10.71"/>
    <col customWidth="1" min="103" max="103" width="28.86"/>
    <col customWidth="1" min="104" max="106" width="10.71"/>
    <col customWidth="1" min="107" max="107" width="26.71"/>
    <col customWidth="1" min="108" max="108" width="14.0"/>
  </cols>
  <sheetData>
    <row r="1" ht="82.5" customHeight="1">
      <c r="AC1" s="2"/>
      <c r="BF1" s="2"/>
      <c r="CJ1" s="2"/>
      <c r="CU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233" t="s">
        <v>0</v>
      </c>
      <c r="AF2" s="5" t="str">
        <f t="shared" ref="AF2:AF4" si="1">C2</f>
        <v>UNIDAD EDUCATIVA EMILIO ISAÍAS ABIHANNA 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4"/>
      <c r="BF2" s="2"/>
      <c r="BH2" s="3" t="s">
        <v>0</v>
      </c>
      <c r="BI2" s="4"/>
      <c r="BJ2" s="5" t="str">
        <f t="shared" ref="BJ2:BJ4" si="2">C2</f>
        <v>UNIDAD EDUCATIVA EMILIO ISAÍAS ABIHANNA </v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4"/>
      <c r="CJ2" s="2"/>
      <c r="CL2" s="74" t="s">
        <v>0</v>
      </c>
      <c r="CM2" s="4"/>
      <c r="CN2" s="167" t="str">
        <f t="shared" ref="CN2:CN4" si="3">C2</f>
        <v>UNIDAD EDUCATIVA EMILIO ISAÍAS ABIHANNA </v>
      </c>
      <c r="CO2" s="167"/>
      <c r="CP2" s="167"/>
      <c r="CQ2" s="167"/>
      <c r="CR2" s="167"/>
      <c r="CS2" s="167"/>
      <c r="CU2" s="2"/>
      <c r="CW2" s="74" t="s">
        <v>0</v>
      </c>
      <c r="CX2" s="4"/>
      <c r="CY2" s="5" t="str">
        <f t="shared" ref="CY2:CY4" si="4">C2</f>
        <v>UNIDAD EDUCATIVA EMILIO ISAÍAS ABIHANNA </v>
      </c>
      <c r="CZ2" s="6"/>
      <c r="DA2" s="6"/>
      <c r="DB2" s="6"/>
      <c r="DC2" s="4"/>
    </row>
    <row r="3" ht="21.0" customHeight="1">
      <c r="A3" s="3" t="s">
        <v>66</v>
      </c>
      <c r="B3" s="4"/>
      <c r="C3" s="7" t="s">
        <v>137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233" t="s">
        <v>66</v>
      </c>
      <c r="AF3" s="8" t="str">
        <f t="shared" si="1"/>
        <v>MARIO GÓMEZ CORREA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4"/>
      <c r="BF3" s="2"/>
      <c r="BH3" s="3" t="s">
        <v>66</v>
      </c>
      <c r="BI3" s="4"/>
      <c r="BJ3" s="8" t="str">
        <f t="shared" si="2"/>
        <v>MARIO GÓMEZ CORREA</v>
      </c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4"/>
      <c r="CJ3" s="2"/>
      <c r="CL3" s="74" t="s">
        <v>66</v>
      </c>
      <c r="CM3" s="4"/>
      <c r="CN3" s="12" t="str">
        <f t="shared" si="3"/>
        <v>MARIO GÓMEZ CORREA</v>
      </c>
      <c r="CO3" s="75"/>
      <c r="CP3" s="75"/>
      <c r="CQ3" s="75"/>
      <c r="CR3" s="75"/>
      <c r="CS3" s="75"/>
      <c r="CU3" s="2"/>
      <c r="CW3" s="74" t="s">
        <v>66</v>
      </c>
      <c r="CX3" s="4"/>
      <c r="CY3" s="8" t="str">
        <f t="shared" si="4"/>
        <v>MARIO GÓMEZ CORREA</v>
      </c>
      <c r="CZ3" s="6"/>
      <c r="DA3" s="6"/>
      <c r="DB3" s="6"/>
      <c r="DC3" s="4"/>
    </row>
    <row r="4" ht="21.0" customHeight="1">
      <c r="A4" s="3" t="s">
        <v>4</v>
      </c>
      <c r="B4" s="4"/>
      <c r="C4" s="9" t="s">
        <v>5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233" t="s">
        <v>4</v>
      </c>
      <c r="AF4" s="12" t="str">
        <f t="shared" si="1"/>
        <v>1ERO TECNICO </v>
      </c>
      <c r="AG4" s="10" t="s">
        <v>6</v>
      </c>
      <c r="AH4" s="6"/>
      <c r="AI4" s="4"/>
      <c r="AJ4" s="11" t="str">
        <f>G4</f>
        <v>B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F4" s="2"/>
      <c r="BH4" s="3" t="s">
        <v>4</v>
      </c>
      <c r="BI4" s="4"/>
      <c r="BJ4" s="12" t="str">
        <f t="shared" si="2"/>
        <v>1ERO TECNICO </v>
      </c>
      <c r="BK4" s="10" t="s">
        <v>6</v>
      </c>
      <c r="BL4" s="6"/>
      <c r="BM4" s="4"/>
      <c r="BN4" s="11" t="str">
        <f>G4</f>
        <v>B</v>
      </c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J4" s="2"/>
      <c r="CL4" s="74" t="s">
        <v>4</v>
      </c>
      <c r="CM4" s="4"/>
      <c r="CN4" s="12" t="str">
        <f t="shared" si="3"/>
        <v>1ERO TECNICO </v>
      </c>
      <c r="CO4" s="76" t="s">
        <v>6</v>
      </c>
      <c r="CP4" s="4"/>
      <c r="CQ4" s="75" t="str">
        <f>G4</f>
        <v>B</v>
      </c>
      <c r="CR4" s="75"/>
      <c r="CS4" s="75"/>
      <c r="CU4" s="2"/>
      <c r="CW4" s="74" t="s">
        <v>4</v>
      </c>
      <c r="CX4" s="4"/>
      <c r="CY4" s="12" t="str">
        <f t="shared" si="4"/>
        <v>1ERO TECNICO </v>
      </c>
      <c r="CZ4" s="76" t="s">
        <v>6</v>
      </c>
      <c r="DA4" s="4"/>
      <c r="DB4" s="77"/>
      <c r="DC4" s="77" t="str">
        <f>G4</f>
        <v>B</v>
      </c>
    </row>
    <row r="5" ht="7.5" customHeight="1">
      <c r="AC5" s="2"/>
      <c r="BF5" s="2"/>
      <c r="CJ5" s="2"/>
      <c r="CU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4"/>
      <c r="BF6" s="2"/>
      <c r="BH6" s="14" t="s">
        <v>71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4"/>
      <c r="CJ6" s="2"/>
      <c r="CL6" s="14" t="s">
        <v>72</v>
      </c>
      <c r="CM6" s="6"/>
      <c r="CN6" s="6"/>
      <c r="CO6" s="6"/>
      <c r="CP6" s="6"/>
      <c r="CQ6" s="6"/>
      <c r="CR6" s="6"/>
      <c r="CS6" s="4"/>
      <c r="CU6" s="2"/>
      <c r="CW6" s="14" t="s">
        <v>73</v>
      </c>
      <c r="CX6" s="6"/>
      <c r="CY6" s="6"/>
      <c r="CZ6" s="6"/>
      <c r="DA6" s="6"/>
      <c r="DB6" s="6"/>
      <c r="DC6" s="4"/>
    </row>
    <row r="7" ht="25.5" customHeight="1">
      <c r="A7" s="16" t="s">
        <v>138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FISICA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4"/>
      <c r="BF7" s="2"/>
      <c r="BH7" s="16" t="str">
        <f>A7</f>
        <v>MATERIA: FISICA</v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4"/>
      <c r="CJ7" s="2"/>
      <c r="CL7" s="16" t="str">
        <f>A7</f>
        <v>MATERIA: FISICA</v>
      </c>
      <c r="CM7" s="6"/>
      <c r="CN7" s="6"/>
      <c r="CO7" s="6"/>
      <c r="CP7" s="6"/>
      <c r="CQ7" s="6"/>
      <c r="CR7" s="6"/>
      <c r="CS7" s="4"/>
      <c r="CU7" s="2"/>
      <c r="CW7" s="16" t="str">
        <f>A7</f>
        <v>MATERIA: FISICA</v>
      </c>
      <c r="CX7" s="6"/>
      <c r="CY7" s="6"/>
      <c r="CZ7" s="6"/>
      <c r="DA7" s="6"/>
      <c r="DB7" s="6"/>
      <c r="DC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139</v>
      </c>
      <c r="AC8" s="2"/>
      <c r="AE8" s="17" t="s">
        <v>12</v>
      </c>
      <c r="AF8" s="19"/>
      <c r="AG8" s="78" t="s">
        <v>75</v>
      </c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80"/>
      <c r="AW8" s="81" t="s">
        <v>76</v>
      </c>
      <c r="AX8" s="22"/>
      <c r="AY8" s="23" t="s">
        <v>77</v>
      </c>
      <c r="AZ8" s="24" t="s">
        <v>78</v>
      </c>
      <c r="BA8" s="24" t="s">
        <v>16</v>
      </c>
      <c r="BB8" s="82" t="s">
        <v>79</v>
      </c>
      <c r="BC8" s="25">
        <v>0.3</v>
      </c>
      <c r="BD8" s="26" t="s">
        <v>140</v>
      </c>
      <c r="BF8" s="2"/>
      <c r="BH8" s="17" t="s">
        <v>12</v>
      </c>
      <c r="BI8" s="18"/>
      <c r="BJ8" s="19"/>
      <c r="BK8" s="78" t="s">
        <v>75</v>
      </c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80"/>
      <c r="CA8" s="81" t="s">
        <v>76</v>
      </c>
      <c r="CB8" s="22"/>
      <c r="CC8" s="23" t="s">
        <v>77</v>
      </c>
      <c r="CD8" s="24" t="s">
        <v>78</v>
      </c>
      <c r="CE8" s="24" t="s">
        <v>16</v>
      </c>
      <c r="CF8" s="82" t="s">
        <v>79</v>
      </c>
      <c r="CG8" s="25">
        <v>0.3</v>
      </c>
      <c r="CH8" s="26" t="s">
        <v>141</v>
      </c>
      <c r="CJ8" s="2"/>
      <c r="CU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F9" s="28"/>
      <c r="AG9" s="83" t="s">
        <v>83</v>
      </c>
      <c r="AH9" s="79"/>
      <c r="AI9" s="79"/>
      <c r="AJ9" s="79"/>
      <c r="AK9" s="79"/>
      <c r="AL9" s="79"/>
      <c r="AM9" s="79"/>
      <c r="AN9" s="80"/>
      <c r="AO9" s="84" t="s">
        <v>84</v>
      </c>
      <c r="AP9" s="79"/>
      <c r="AQ9" s="79"/>
      <c r="AR9" s="79"/>
      <c r="AS9" s="79"/>
      <c r="AT9" s="79"/>
      <c r="AU9" s="79"/>
      <c r="AV9" s="80"/>
      <c r="AW9" s="29"/>
      <c r="AX9" s="28"/>
      <c r="AY9" s="30"/>
      <c r="AZ9" s="30"/>
      <c r="BA9" s="30"/>
      <c r="BB9" s="30"/>
      <c r="BC9" s="30"/>
      <c r="BD9" s="31"/>
      <c r="BF9" s="2"/>
      <c r="BH9" s="27"/>
      <c r="BJ9" s="28"/>
      <c r="BK9" s="83" t="s">
        <v>83</v>
      </c>
      <c r="BL9" s="79"/>
      <c r="BM9" s="79"/>
      <c r="BN9" s="79"/>
      <c r="BO9" s="79"/>
      <c r="BP9" s="79"/>
      <c r="BQ9" s="79"/>
      <c r="BR9" s="80"/>
      <c r="BS9" s="84" t="s">
        <v>84</v>
      </c>
      <c r="BT9" s="79"/>
      <c r="BU9" s="79"/>
      <c r="BV9" s="79"/>
      <c r="BW9" s="79"/>
      <c r="BX9" s="79"/>
      <c r="BY9" s="79"/>
      <c r="BZ9" s="80"/>
      <c r="CA9" s="29"/>
      <c r="CB9" s="28"/>
      <c r="CC9" s="30"/>
      <c r="CD9" s="30"/>
      <c r="CE9" s="30"/>
      <c r="CF9" s="30"/>
      <c r="CG9" s="30"/>
      <c r="CH9" s="31"/>
      <c r="CJ9" s="2"/>
      <c r="CL9" s="85"/>
      <c r="CM9" s="6"/>
      <c r="CN9" s="86"/>
      <c r="CO9" s="87" t="str">
        <f>FISICA!CL10</f>
        <v>ESTUDIANTES</v>
      </c>
      <c r="CP9" s="88"/>
      <c r="CQ9" s="88"/>
      <c r="CR9" s="88"/>
      <c r="CS9" s="89"/>
      <c r="CU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4"/>
      <c r="AG10" s="90" t="s">
        <v>85</v>
      </c>
      <c r="AH10" s="91"/>
      <c r="AI10" s="90" t="s">
        <v>86</v>
      </c>
      <c r="AJ10" s="91"/>
      <c r="AK10" s="90" t="s">
        <v>87</v>
      </c>
      <c r="AL10" s="91"/>
      <c r="AM10" s="90" t="s">
        <v>88</v>
      </c>
      <c r="AN10" s="91"/>
      <c r="AO10" s="92" t="s">
        <v>88</v>
      </c>
      <c r="AP10" s="91"/>
      <c r="AQ10" s="92" t="s">
        <v>89</v>
      </c>
      <c r="AR10" s="91"/>
      <c r="AS10" s="92" t="s">
        <v>90</v>
      </c>
      <c r="AT10" s="91"/>
      <c r="AU10" s="92" t="s">
        <v>91</v>
      </c>
      <c r="AV10" s="91"/>
      <c r="AW10" s="93"/>
      <c r="AX10" s="94"/>
      <c r="AY10" s="30"/>
      <c r="AZ10" s="30"/>
      <c r="BA10" s="30"/>
      <c r="BB10" s="30"/>
      <c r="BC10" s="30"/>
      <c r="BD10" s="31"/>
      <c r="BF10" s="2"/>
      <c r="BH10" s="32"/>
      <c r="BI10" s="33"/>
      <c r="BJ10" s="34"/>
      <c r="BK10" s="90" t="s">
        <v>85</v>
      </c>
      <c r="BL10" s="91"/>
      <c r="BM10" s="90" t="s">
        <v>86</v>
      </c>
      <c r="BN10" s="91"/>
      <c r="BO10" s="90" t="s">
        <v>87</v>
      </c>
      <c r="BP10" s="91"/>
      <c r="BQ10" s="90" t="s">
        <v>88</v>
      </c>
      <c r="BR10" s="91"/>
      <c r="BS10" s="92" t="s">
        <v>88</v>
      </c>
      <c r="BT10" s="91"/>
      <c r="BU10" s="92" t="s">
        <v>89</v>
      </c>
      <c r="BV10" s="91"/>
      <c r="BW10" s="92" t="s">
        <v>90</v>
      </c>
      <c r="BX10" s="91"/>
      <c r="BY10" s="92" t="s">
        <v>91</v>
      </c>
      <c r="BZ10" s="91"/>
      <c r="CA10" s="93"/>
      <c r="CB10" s="94"/>
      <c r="CC10" s="30"/>
      <c r="CD10" s="30"/>
      <c r="CE10" s="30"/>
      <c r="CF10" s="30"/>
      <c r="CG10" s="30"/>
      <c r="CH10" s="31"/>
      <c r="CJ10" s="2"/>
      <c r="CL10" s="95" t="s">
        <v>12</v>
      </c>
      <c r="CM10" s="96"/>
      <c r="CN10" s="97"/>
      <c r="CO10" s="98" t="s">
        <v>92</v>
      </c>
      <c r="CP10" s="79"/>
      <c r="CQ10" s="80"/>
      <c r="CR10" s="99" t="s">
        <v>93</v>
      </c>
      <c r="CS10" s="100" t="s">
        <v>94</v>
      </c>
      <c r="CU10" s="2"/>
      <c r="CW10" s="101"/>
      <c r="CX10" s="101"/>
      <c r="CY10" s="102" t="s">
        <v>12</v>
      </c>
      <c r="CZ10" s="103" t="s">
        <v>95</v>
      </c>
      <c r="DA10" s="104"/>
      <c r="DB10" s="104"/>
      <c r="DC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234" t="s">
        <v>142</v>
      </c>
      <c r="I11" s="234" t="s">
        <v>143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235" t="s">
        <v>144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9" t="s">
        <v>25</v>
      </c>
      <c r="AG11" s="106" t="s">
        <v>96</v>
      </c>
      <c r="AH11" s="106" t="s">
        <v>97</v>
      </c>
      <c r="AI11" s="106" t="s">
        <v>96</v>
      </c>
      <c r="AJ11" s="106" t="s">
        <v>97</v>
      </c>
      <c r="AK11" s="236" t="s">
        <v>145</v>
      </c>
      <c r="AL11" s="236" t="s">
        <v>143</v>
      </c>
      <c r="AM11" s="106" t="s">
        <v>96</v>
      </c>
      <c r="AN11" s="106" t="s">
        <v>97</v>
      </c>
      <c r="AO11" s="107" t="s">
        <v>96</v>
      </c>
      <c r="AP11" s="107" t="s">
        <v>97</v>
      </c>
      <c r="AQ11" s="237" t="s">
        <v>146</v>
      </c>
      <c r="AR11" s="107" t="s">
        <v>97</v>
      </c>
      <c r="AS11" s="107" t="s">
        <v>96</v>
      </c>
      <c r="AT11" s="107" t="s">
        <v>97</v>
      </c>
      <c r="AU11" s="107" t="s">
        <v>96</v>
      </c>
      <c r="AV11" s="107" t="s">
        <v>97</v>
      </c>
      <c r="AW11" s="108"/>
      <c r="AX11" s="108"/>
      <c r="AY11" s="54"/>
      <c r="AZ11" s="54"/>
      <c r="BA11" s="54"/>
      <c r="BB11" s="54"/>
      <c r="BC11" s="54"/>
      <c r="BD11" s="55"/>
      <c r="BF11" s="2"/>
      <c r="BH11" s="38" t="s">
        <v>23</v>
      </c>
      <c r="BI11" s="38" t="s">
        <v>24</v>
      </c>
      <c r="BJ11" s="39" t="s">
        <v>25</v>
      </c>
      <c r="BK11" s="106" t="s">
        <v>96</v>
      </c>
      <c r="BL11" s="238" t="s">
        <v>147</v>
      </c>
      <c r="BM11" s="239" t="s">
        <v>97</v>
      </c>
      <c r="BN11" s="239" t="s">
        <v>96</v>
      </c>
      <c r="BO11" s="238" t="s">
        <v>148</v>
      </c>
      <c r="BP11" s="238" t="s">
        <v>149</v>
      </c>
      <c r="BQ11" s="238"/>
      <c r="BR11" s="106"/>
      <c r="BS11" s="107"/>
      <c r="BT11" s="107"/>
      <c r="BU11" s="107"/>
      <c r="BV11" s="107"/>
      <c r="BW11" s="107"/>
      <c r="BX11" s="107"/>
      <c r="BY11" s="107"/>
      <c r="BZ11" s="107"/>
      <c r="CA11" s="108"/>
      <c r="CB11" s="108"/>
      <c r="CC11" s="54"/>
      <c r="CD11" s="54"/>
      <c r="CE11" s="54"/>
      <c r="CF11" s="54"/>
      <c r="CG11" s="54"/>
      <c r="CH11" s="55"/>
      <c r="CJ11" s="2"/>
      <c r="CL11" s="109" t="s">
        <v>23</v>
      </c>
      <c r="CM11" s="110" t="s">
        <v>24</v>
      </c>
      <c r="CN11" s="111" t="s">
        <v>25</v>
      </c>
      <c r="CO11" s="112" t="s">
        <v>98</v>
      </c>
      <c r="CP11" s="112" t="s">
        <v>99</v>
      </c>
      <c r="CQ11" s="112" t="s">
        <v>100</v>
      </c>
      <c r="CR11" s="54"/>
      <c r="CS11" s="113"/>
      <c r="CU11" s="2"/>
      <c r="CW11" s="114" t="s">
        <v>23</v>
      </c>
      <c r="CX11" s="114" t="s">
        <v>24</v>
      </c>
      <c r="CY11" s="115" t="s">
        <v>25</v>
      </c>
      <c r="CZ11" s="116" t="s">
        <v>101</v>
      </c>
      <c r="DA11" s="117" t="s">
        <v>102</v>
      </c>
      <c r="DB11" s="116" t="s">
        <v>103</v>
      </c>
      <c r="DC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20"/>
      <c r="E12" s="120"/>
      <c r="F12" s="120"/>
      <c r="G12" s="120"/>
      <c r="H12" s="119">
        <v>9.0</v>
      </c>
      <c r="I12" s="119">
        <v>10.0</v>
      </c>
      <c r="J12" s="120"/>
      <c r="K12" s="120"/>
      <c r="L12" s="62"/>
      <c r="M12" s="62"/>
      <c r="N12" s="121">
        <v>10.0</v>
      </c>
      <c r="O12" s="62"/>
      <c r="P12" s="62"/>
      <c r="Q12" s="62"/>
      <c r="R12" s="62"/>
      <c r="S12" s="62"/>
      <c r="T12" s="122"/>
      <c r="U12" s="122"/>
      <c r="V12" s="62">
        <f t="shared" ref="V12:V61" si="8">IFERROR(TRUNC(AVERAGE(D12:U12),2),"")*70/100</f>
        <v>6.762</v>
      </c>
      <c r="W12" s="121">
        <v>10.0</v>
      </c>
      <c r="X12" s="123">
        <f>'PROY. INTER'!W12</f>
        <v>10</v>
      </c>
      <c r="Y12" s="62">
        <f t="shared" ref="Y12:Y61" si="9">AVERAGE(W12:X12)</f>
        <v>10</v>
      </c>
      <c r="Z12" s="62">
        <f t="shared" ref="Z12:Z61" si="10">Y12*30/100</f>
        <v>3</v>
      </c>
      <c r="AA12" s="64">
        <f t="shared" ref="AA12:AA61" si="11">IFERROR(TRUNC(SUM(V12+Z12),2),"")</f>
        <v>9.76</v>
      </c>
      <c r="AC12" s="2"/>
      <c r="AE12" s="56">
        <v>1.0</v>
      </c>
      <c r="AF12" s="65" t="str">
        <f t="shared" ref="AF12:AF61" si="12">C12</f>
        <v>Almeida Alvarado Ariana Guisela</v>
      </c>
      <c r="AG12" s="120"/>
      <c r="AH12" s="120"/>
      <c r="AI12" s="120"/>
      <c r="AJ12" s="120"/>
      <c r="AK12" s="119">
        <v>10.0</v>
      </c>
      <c r="AL12" s="119">
        <v>10.0</v>
      </c>
      <c r="AM12" s="120"/>
      <c r="AN12" s="120"/>
      <c r="AO12" s="62"/>
      <c r="AP12" s="62"/>
      <c r="AQ12" s="121">
        <v>10.0</v>
      </c>
      <c r="AR12" s="62"/>
      <c r="AS12" s="62"/>
      <c r="AT12" s="62"/>
      <c r="AU12" s="62"/>
      <c r="AV12" s="62"/>
      <c r="AW12" s="122"/>
      <c r="AX12" s="122"/>
      <c r="AY12" s="62">
        <f t="shared" ref="AY12:AY61" si="13">IFERROR(TRUNC(AVERAGE(AG12:AX12),2),"")*70/100</f>
        <v>7</v>
      </c>
      <c r="AZ12" s="121">
        <v>8.0</v>
      </c>
      <c r="BA12" s="123">
        <f>'PROY. INTER'!AX12</f>
        <v>10</v>
      </c>
      <c r="BB12" s="62">
        <f t="shared" ref="BB12:BB61" si="14">AVERAGE(AZ12:BA12)</f>
        <v>9</v>
      </c>
      <c r="BC12" s="62">
        <f t="shared" ref="BC12:BC61" si="15">BB12*30/100</f>
        <v>2.7</v>
      </c>
      <c r="BD12" s="64">
        <f t="shared" ref="BD12:BD61" si="16">IFERROR(TRUNC(SUM(AY12+BC12),2),"")</f>
        <v>9.7</v>
      </c>
      <c r="BF12" s="2"/>
      <c r="BH12" s="56">
        <v>1.0</v>
      </c>
      <c r="BI12" s="124" t="str">
        <f t="shared" ref="BI12:BJ12" si="5">B12</f>
        <v/>
      </c>
      <c r="BJ12" s="125" t="str">
        <f t="shared" si="5"/>
        <v>Almeida Alvarado Ariana Guisela</v>
      </c>
      <c r="BK12" s="120"/>
      <c r="BL12" s="119">
        <v>10.0</v>
      </c>
      <c r="BM12" s="120"/>
      <c r="BN12" s="120"/>
      <c r="BO12" s="119">
        <v>10.0</v>
      </c>
      <c r="BP12" s="119">
        <v>10.0</v>
      </c>
      <c r="BQ12" s="120"/>
      <c r="BR12" s="120"/>
      <c r="BS12" s="62"/>
      <c r="BT12" s="62"/>
      <c r="BU12" s="62"/>
      <c r="BV12" s="62"/>
      <c r="BW12" s="62"/>
      <c r="BX12" s="62"/>
      <c r="BY12" s="62"/>
      <c r="BZ12" s="62"/>
      <c r="CA12" s="122"/>
      <c r="CB12" s="122"/>
      <c r="CC12" s="62">
        <f t="shared" ref="CC12:CC61" si="18">IFERROR(TRUNC(AVERAGE(BK12:CB12),2),"")*70/100</f>
        <v>7</v>
      </c>
      <c r="CD12" s="62"/>
      <c r="CE12" s="123">
        <f>'PROY. INTER'!BY12</f>
        <v>0</v>
      </c>
      <c r="CF12" s="62">
        <f t="shared" ref="CF12:CF61" si="19">AVERAGE(CD12:CE12)</f>
        <v>0</v>
      </c>
      <c r="CG12" s="62">
        <f t="shared" ref="CG12:CG61" si="20">CF12*30/100</f>
        <v>0</v>
      </c>
      <c r="CH12" s="64">
        <f t="shared" ref="CH12:CH61" si="21">IFERROR(TRUNC(SUM(CC12+CG12),2),"")</f>
        <v>7</v>
      </c>
      <c r="CJ12" s="2"/>
      <c r="CL12" s="126">
        <v>1.0</v>
      </c>
      <c r="CM12" s="127" t="str">
        <f t="shared" ref="CM12:CN12" si="6">B12</f>
        <v/>
      </c>
      <c r="CN12" s="128" t="str">
        <f t="shared" si="6"/>
        <v>Almeida Alvarado Ariana Guisela</v>
      </c>
      <c r="CO12" s="129">
        <f t="shared" ref="CO12:CO61" si="23">AA12</f>
        <v>9.76</v>
      </c>
      <c r="CP12" s="129">
        <f t="shared" ref="CP12:CP61" si="24">BD12</f>
        <v>9.7</v>
      </c>
      <c r="CQ12" s="129">
        <f t="shared" ref="CQ12:CQ61" si="25">CH12</f>
        <v>7</v>
      </c>
      <c r="CR12" s="130">
        <f t="shared" ref="CR12:CR61" si="26">IFERROR(TRUNC(AVERAGE(CO12:CQ12),2),"")*100/100</f>
        <v>8.82</v>
      </c>
      <c r="CS12" s="131" t="str">
        <f t="shared" ref="CS12:CS61" si="27">IF(CR12="","",IF(CR12&gt;=7,"APROBADO",IF(AND(CR12&lt;=6.99,CR12&gt;=5),"SUPLETORIO","REPROBADO")))</f>
        <v>APROBADO</v>
      </c>
      <c r="CU12" s="2"/>
      <c r="CW12" s="132">
        <v>1.0</v>
      </c>
      <c r="CX12" s="133" t="str">
        <f t="shared" ref="CX12:CY12" si="7">B12</f>
        <v/>
      </c>
      <c r="CY12" s="134" t="str">
        <f t="shared" si="7"/>
        <v>Almeida Alvarado Ariana Guisela</v>
      </c>
      <c r="CZ12" s="135">
        <f t="shared" ref="CZ12:CZ61" si="29">CR12</f>
        <v>8.82</v>
      </c>
      <c r="DA12" s="136"/>
      <c r="DB12" s="137">
        <f t="shared" ref="DB12:DB61" si="30">IF(CZ12&gt;=7,CZ12,IF(CZ12="","",IF(DA12="",AVERAGE(CZ12:DA12),IF(AND(CZ12&lt;4.01,DA12&lt;&gt;""),CZ12,IF(DA12&lt;7,CZ12,7)))))</f>
        <v>8.82</v>
      </c>
      <c r="DC12" s="138" t="str">
        <f t="shared" ref="DC12:DC61" si="31">IF(AND(CZ12&gt;=7,DA12&lt;&gt;""),"DEJE EN BLANCO EL CASILLERO SUPLETORIO",IF(CZ12="","",IF(AND(CZ12&lt;5,DA12&lt;&gt;""),"NO PUEDE RENDIR SUPLETORIO;REPRUEBA EL GRADO",IF(DB12&lt;7,"NO PROMOVIDO","PROMOVIDO"))))</f>
        <v>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40"/>
      <c r="E13" s="140"/>
      <c r="F13" s="140"/>
      <c r="G13" s="140"/>
      <c r="H13" s="139">
        <v>9.0</v>
      </c>
      <c r="I13" s="139">
        <v>10.0</v>
      </c>
      <c r="J13" s="140"/>
      <c r="K13" s="140"/>
      <c r="L13" s="62"/>
      <c r="M13" s="62"/>
      <c r="N13" s="121">
        <v>10.0</v>
      </c>
      <c r="O13" s="62"/>
      <c r="P13" s="62"/>
      <c r="Q13" s="62"/>
      <c r="R13" s="62"/>
      <c r="S13" s="62"/>
      <c r="T13" s="141"/>
      <c r="U13" s="141"/>
      <c r="V13" s="62">
        <f t="shared" si="8"/>
        <v>6.762</v>
      </c>
      <c r="W13" s="121">
        <v>10.0</v>
      </c>
      <c r="X13" s="123">
        <f>'PROY. INTER'!W13</f>
        <v>10</v>
      </c>
      <c r="Y13" s="62">
        <f t="shared" si="9"/>
        <v>10</v>
      </c>
      <c r="Z13" s="62">
        <f t="shared" si="10"/>
        <v>3</v>
      </c>
      <c r="AA13" s="64">
        <f t="shared" si="11"/>
        <v>9.76</v>
      </c>
      <c r="AC13" s="2"/>
      <c r="AE13" s="56">
        <v>2.0</v>
      </c>
      <c r="AF13" s="65" t="str">
        <f t="shared" si="12"/>
        <v>Alvarado Vargas Dacmar Alejandra</v>
      </c>
      <c r="AG13" s="140"/>
      <c r="AH13" s="140"/>
      <c r="AI13" s="140"/>
      <c r="AJ13" s="140"/>
      <c r="AK13" s="139">
        <v>10.0</v>
      </c>
      <c r="AL13" s="139">
        <v>7.0</v>
      </c>
      <c r="AM13" s="140"/>
      <c r="AN13" s="140"/>
      <c r="AO13" s="62"/>
      <c r="AP13" s="62"/>
      <c r="AQ13" s="121">
        <v>10.0</v>
      </c>
      <c r="AR13" s="62"/>
      <c r="AS13" s="62"/>
      <c r="AT13" s="62"/>
      <c r="AU13" s="62"/>
      <c r="AV13" s="62"/>
      <c r="AW13" s="141"/>
      <c r="AX13" s="141"/>
      <c r="AY13" s="62">
        <f t="shared" si="13"/>
        <v>6.3</v>
      </c>
      <c r="AZ13" s="121">
        <v>7.0</v>
      </c>
      <c r="BA13" s="123">
        <f>'PROY. INTER'!AX13</f>
        <v>10</v>
      </c>
      <c r="BB13" s="62">
        <f t="shared" si="14"/>
        <v>8.5</v>
      </c>
      <c r="BC13" s="62">
        <f t="shared" si="15"/>
        <v>2.55</v>
      </c>
      <c r="BD13" s="64">
        <f t="shared" si="16"/>
        <v>8.85</v>
      </c>
      <c r="BF13" s="2"/>
      <c r="BH13" s="56">
        <v>2.0</v>
      </c>
      <c r="BI13" s="124" t="str">
        <f t="shared" ref="BI13:BJ13" si="17">B13</f>
        <v/>
      </c>
      <c r="BJ13" s="125" t="str">
        <f t="shared" si="17"/>
        <v>Alvarado Vargas Dacmar Alejandra</v>
      </c>
      <c r="BK13" s="140"/>
      <c r="BL13" s="139">
        <v>10.0</v>
      </c>
      <c r="BM13" s="140"/>
      <c r="BN13" s="140"/>
      <c r="BO13" s="139">
        <v>10.0</v>
      </c>
      <c r="BP13" s="139">
        <v>10.0</v>
      </c>
      <c r="BQ13" s="140"/>
      <c r="BR13" s="140"/>
      <c r="BS13" s="62"/>
      <c r="BT13" s="62"/>
      <c r="BU13" s="62"/>
      <c r="BV13" s="62"/>
      <c r="BW13" s="62"/>
      <c r="BX13" s="62"/>
      <c r="BY13" s="62"/>
      <c r="BZ13" s="62"/>
      <c r="CA13" s="141"/>
      <c r="CB13" s="141"/>
      <c r="CC13" s="62">
        <f t="shared" si="18"/>
        <v>7</v>
      </c>
      <c r="CD13" s="62"/>
      <c r="CE13" s="123">
        <f>'PROY. INTER'!BY13</f>
        <v>0</v>
      </c>
      <c r="CF13" s="62">
        <f t="shared" si="19"/>
        <v>0</v>
      </c>
      <c r="CG13" s="62">
        <f t="shared" si="20"/>
        <v>0</v>
      </c>
      <c r="CH13" s="64">
        <f t="shared" si="21"/>
        <v>7</v>
      </c>
      <c r="CJ13" s="2"/>
      <c r="CL13" s="126">
        <v>2.0</v>
      </c>
      <c r="CM13" s="127" t="str">
        <f t="shared" ref="CM13:CN13" si="22">B13</f>
        <v/>
      </c>
      <c r="CN13" s="128" t="str">
        <f t="shared" si="22"/>
        <v>Alvarado Vargas Dacmar Alejandra</v>
      </c>
      <c r="CO13" s="129">
        <f t="shared" si="23"/>
        <v>9.76</v>
      </c>
      <c r="CP13" s="129">
        <f t="shared" si="24"/>
        <v>8.85</v>
      </c>
      <c r="CQ13" s="129">
        <f t="shared" si="25"/>
        <v>7</v>
      </c>
      <c r="CR13" s="130">
        <f t="shared" si="26"/>
        <v>8.53</v>
      </c>
      <c r="CS13" s="131" t="str">
        <f t="shared" si="27"/>
        <v>APROBADO</v>
      </c>
      <c r="CU13" s="2"/>
      <c r="CW13" s="132">
        <v>2.0</v>
      </c>
      <c r="CX13" s="133" t="str">
        <f t="shared" ref="CX13:CY13" si="28">B13</f>
        <v/>
      </c>
      <c r="CY13" s="134" t="str">
        <f t="shared" si="28"/>
        <v>Alvarado Vargas Dacmar Alejandra</v>
      </c>
      <c r="CZ13" s="135">
        <f t="shared" si="29"/>
        <v>8.53</v>
      </c>
      <c r="DA13" s="142"/>
      <c r="DB13" s="137">
        <f t="shared" si="30"/>
        <v>8.53</v>
      </c>
      <c r="DC13" s="138" t="str">
        <f t="shared" si="31"/>
        <v>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40"/>
      <c r="E14" s="140"/>
      <c r="F14" s="140"/>
      <c r="G14" s="140"/>
      <c r="H14" s="139">
        <v>7.5</v>
      </c>
      <c r="I14" s="139">
        <v>8.0</v>
      </c>
      <c r="J14" s="140"/>
      <c r="K14" s="140"/>
      <c r="L14" s="62"/>
      <c r="M14" s="62"/>
      <c r="N14" s="144">
        <v>10.0</v>
      </c>
      <c r="O14" s="143"/>
      <c r="P14" s="143"/>
      <c r="Q14" s="143"/>
      <c r="R14" s="143"/>
      <c r="S14" s="143"/>
      <c r="T14" s="141"/>
      <c r="U14" s="141"/>
      <c r="V14" s="62">
        <f t="shared" si="8"/>
        <v>5.95</v>
      </c>
      <c r="W14" s="121">
        <v>10.0</v>
      </c>
      <c r="X14" s="123">
        <f>'PROY. INTER'!W14</f>
        <v>8.2</v>
      </c>
      <c r="Y14" s="62">
        <f t="shared" si="9"/>
        <v>9.1</v>
      </c>
      <c r="Z14" s="62">
        <f t="shared" si="10"/>
        <v>2.73</v>
      </c>
      <c r="AA14" s="64">
        <f t="shared" si="11"/>
        <v>8.68</v>
      </c>
      <c r="AC14" s="2"/>
      <c r="AE14" s="56">
        <v>3.0</v>
      </c>
      <c r="AF14" s="65" t="str">
        <f t="shared" si="12"/>
        <v>Ampuero Cornejo Cesar Jeanpierre</v>
      </c>
      <c r="AG14" s="140"/>
      <c r="AH14" s="140"/>
      <c r="AI14" s="140"/>
      <c r="AJ14" s="140"/>
      <c r="AK14" s="139">
        <v>9.0</v>
      </c>
      <c r="AL14" s="139">
        <v>7.0</v>
      </c>
      <c r="AM14" s="140"/>
      <c r="AN14" s="140"/>
      <c r="AO14" s="62"/>
      <c r="AP14" s="62"/>
      <c r="AQ14" s="121">
        <v>10.0</v>
      </c>
      <c r="AR14" s="62"/>
      <c r="AS14" s="62"/>
      <c r="AT14" s="62"/>
      <c r="AU14" s="62"/>
      <c r="AV14" s="62"/>
      <c r="AW14" s="141"/>
      <c r="AX14" s="141"/>
      <c r="AY14" s="62">
        <f t="shared" si="13"/>
        <v>6.062</v>
      </c>
      <c r="AZ14" s="121">
        <v>7.0</v>
      </c>
      <c r="BA14" s="123">
        <f>'PROY. INTER'!AX14</f>
        <v>10</v>
      </c>
      <c r="BB14" s="62">
        <f t="shared" si="14"/>
        <v>8.5</v>
      </c>
      <c r="BC14" s="62">
        <f t="shared" si="15"/>
        <v>2.55</v>
      </c>
      <c r="BD14" s="64">
        <f t="shared" si="16"/>
        <v>8.61</v>
      </c>
      <c r="BF14" s="2"/>
      <c r="BH14" s="56">
        <v>3.0</v>
      </c>
      <c r="BI14" s="124" t="str">
        <f t="shared" ref="BI14:BJ14" si="32">B14</f>
        <v/>
      </c>
      <c r="BJ14" s="240" t="str">
        <f t="shared" si="32"/>
        <v>Ampuero Cornejo Cesar Jeanpierre</v>
      </c>
      <c r="BK14" s="140"/>
      <c r="BL14" s="139">
        <v>7.0</v>
      </c>
      <c r="BM14" s="140"/>
      <c r="BN14" s="140"/>
      <c r="BO14" s="139">
        <v>7.0</v>
      </c>
      <c r="BP14" s="139">
        <v>7.0</v>
      </c>
      <c r="BQ14" s="140"/>
      <c r="BR14" s="140"/>
      <c r="BS14" s="62"/>
      <c r="BT14" s="62"/>
      <c r="BU14" s="143"/>
      <c r="BV14" s="143"/>
      <c r="BW14" s="143"/>
      <c r="BX14" s="143"/>
      <c r="BY14" s="143"/>
      <c r="BZ14" s="143"/>
      <c r="CA14" s="141"/>
      <c r="CB14" s="141"/>
      <c r="CC14" s="62">
        <f t="shared" si="18"/>
        <v>4.9</v>
      </c>
      <c r="CD14" s="62"/>
      <c r="CE14" s="123">
        <f>'PROY. INTER'!BY14</f>
        <v>0</v>
      </c>
      <c r="CF14" s="62">
        <f t="shared" si="19"/>
        <v>0</v>
      </c>
      <c r="CG14" s="62">
        <f t="shared" si="20"/>
        <v>0</v>
      </c>
      <c r="CH14" s="64">
        <f t="shared" si="21"/>
        <v>4.9</v>
      </c>
      <c r="CJ14" s="2"/>
      <c r="CL14" s="126">
        <v>3.0</v>
      </c>
      <c r="CM14" s="127" t="str">
        <f t="shared" ref="CM14:CN14" si="33">B14</f>
        <v/>
      </c>
      <c r="CN14" s="128" t="str">
        <f t="shared" si="33"/>
        <v>Ampuero Cornejo Cesar Jeanpierre</v>
      </c>
      <c r="CO14" s="129">
        <f t="shared" si="23"/>
        <v>8.68</v>
      </c>
      <c r="CP14" s="129">
        <f t="shared" si="24"/>
        <v>8.61</v>
      </c>
      <c r="CQ14" s="129">
        <f t="shared" si="25"/>
        <v>4.9</v>
      </c>
      <c r="CR14" s="130">
        <f t="shared" si="26"/>
        <v>7.39</v>
      </c>
      <c r="CS14" s="131" t="str">
        <f t="shared" si="27"/>
        <v>APROBADO</v>
      </c>
      <c r="CU14" s="2"/>
      <c r="CW14" s="132">
        <v>3.0</v>
      </c>
      <c r="CX14" s="133" t="str">
        <f t="shared" ref="CX14:CY14" si="34">B14</f>
        <v/>
      </c>
      <c r="CY14" s="134" t="str">
        <f t="shared" si="34"/>
        <v>Ampuero Cornejo Cesar Jeanpierre</v>
      </c>
      <c r="CZ14" s="135">
        <f t="shared" si="29"/>
        <v>7.39</v>
      </c>
      <c r="DA14" s="136"/>
      <c r="DB14" s="137">
        <f t="shared" si="30"/>
        <v>7.39</v>
      </c>
      <c r="DC14" s="138" t="str">
        <f t="shared" si="31"/>
        <v>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40"/>
      <c r="E15" s="140"/>
      <c r="F15" s="140"/>
      <c r="G15" s="140"/>
      <c r="H15" s="139">
        <v>5.0</v>
      </c>
      <c r="I15" s="139">
        <v>5.0</v>
      </c>
      <c r="J15" s="140"/>
      <c r="K15" s="140"/>
      <c r="L15" s="62"/>
      <c r="M15" s="62"/>
      <c r="N15" s="144">
        <v>10.0</v>
      </c>
      <c r="O15" s="143"/>
      <c r="P15" s="143"/>
      <c r="Q15" s="143"/>
      <c r="R15" s="143"/>
      <c r="S15" s="143"/>
      <c r="T15" s="141"/>
      <c r="U15" s="141"/>
      <c r="V15" s="62">
        <f t="shared" si="8"/>
        <v>4.662</v>
      </c>
      <c r="W15" s="121">
        <v>10.0</v>
      </c>
      <c r="X15" s="123">
        <f>'PROY. INTER'!W15</f>
        <v>6.73</v>
      </c>
      <c r="Y15" s="62">
        <f t="shared" si="9"/>
        <v>8.365</v>
      </c>
      <c r="Z15" s="62">
        <f t="shared" si="10"/>
        <v>2.5095</v>
      </c>
      <c r="AA15" s="64">
        <f t="shared" si="11"/>
        <v>7.17</v>
      </c>
      <c r="AC15" s="2"/>
      <c r="AE15" s="56">
        <v>4.0</v>
      </c>
      <c r="AF15" s="65" t="str">
        <f t="shared" si="12"/>
        <v>Aylla Murillo Kerly Kristhel</v>
      </c>
      <c r="AG15" s="140"/>
      <c r="AH15" s="140"/>
      <c r="AI15" s="140"/>
      <c r="AJ15" s="140"/>
      <c r="AK15" s="139">
        <v>7.5</v>
      </c>
      <c r="AL15" s="139">
        <v>7.0</v>
      </c>
      <c r="AM15" s="140"/>
      <c r="AN15" s="140"/>
      <c r="AO15" s="62"/>
      <c r="AP15" s="62"/>
      <c r="AQ15" s="144">
        <v>10.0</v>
      </c>
      <c r="AR15" s="143"/>
      <c r="AS15" s="143"/>
      <c r="AT15" s="143"/>
      <c r="AU15" s="143"/>
      <c r="AV15" s="143"/>
      <c r="AW15" s="141"/>
      <c r="AX15" s="141"/>
      <c r="AY15" s="62">
        <f t="shared" si="13"/>
        <v>5.712</v>
      </c>
      <c r="AZ15" s="121">
        <v>7.0</v>
      </c>
      <c r="BA15" s="123">
        <f>'PROY. INTER'!AX15</f>
        <v>10</v>
      </c>
      <c r="BB15" s="62">
        <f t="shared" si="14"/>
        <v>8.5</v>
      </c>
      <c r="BC15" s="62">
        <f t="shared" si="15"/>
        <v>2.55</v>
      </c>
      <c r="BD15" s="64">
        <f t="shared" si="16"/>
        <v>8.26</v>
      </c>
      <c r="BF15" s="2"/>
      <c r="BH15" s="56">
        <v>4.0</v>
      </c>
      <c r="BI15" s="124" t="str">
        <f t="shared" ref="BI15:BJ15" si="35">B15</f>
        <v/>
      </c>
      <c r="BJ15" s="125" t="str">
        <f t="shared" si="35"/>
        <v>Aylla Murillo Kerly Kristhel</v>
      </c>
      <c r="BK15" s="140"/>
      <c r="BL15" s="139">
        <v>10.0</v>
      </c>
      <c r="BM15" s="140"/>
      <c r="BN15" s="140"/>
      <c r="BO15" s="139">
        <v>10.0</v>
      </c>
      <c r="BP15" s="139">
        <v>10.0</v>
      </c>
      <c r="BQ15" s="140"/>
      <c r="BR15" s="140"/>
      <c r="BS15" s="62"/>
      <c r="BT15" s="62"/>
      <c r="BU15" s="143"/>
      <c r="BV15" s="143"/>
      <c r="BW15" s="143"/>
      <c r="BX15" s="143"/>
      <c r="BY15" s="143"/>
      <c r="BZ15" s="143"/>
      <c r="CA15" s="141"/>
      <c r="CB15" s="141"/>
      <c r="CC15" s="62">
        <f t="shared" si="18"/>
        <v>7</v>
      </c>
      <c r="CD15" s="62"/>
      <c r="CE15" s="123">
        <f>'PROY. INTER'!BY15</f>
        <v>0</v>
      </c>
      <c r="CF15" s="62">
        <f t="shared" si="19"/>
        <v>0</v>
      </c>
      <c r="CG15" s="62">
        <f t="shared" si="20"/>
        <v>0</v>
      </c>
      <c r="CH15" s="64">
        <f t="shared" si="21"/>
        <v>7</v>
      </c>
      <c r="CJ15" s="2"/>
      <c r="CL15" s="126">
        <v>4.0</v>
      </c>
      <c r="CM15" s="127" t="str">
        <f t="shared" ref="CM15:CN15" si="36">B15</f>
        <v/>
      </c>
      <c r="CN15" s="128" t="str">
        <f t="shared" si="36"/>
        <v>Aylla Murillo Kerly Kristhel</v>
      </c>
      <c r="CO15" s="129">
        <f t="shared" si="23"/>
        <v>7.17</v>
      </c>
      <c r="CP15" s="129">
        <f t="shared" si="24"/>
        <v>8.26</v>
      </c>
      <c r="CQ15" s="129">
        <f t="shared" si="25"/>
        <v>7</v>
      </c>
      <c r="CR15" s="130">
        <f t="shared" si="26"/>
        <v>7.47</v>
      </c>
      <c r="CS15" s="131" t="str">
        <f t="shared" si="27"/>
        <v>APROBADO</v>
      </c>
      <c r="CU15" s="2"/>
      <c r="CW15" s="132">
        <v>4.0</v>
      </c>
      <c r="CX15" s="133" t="str">
        <f t="shared" ref="CX15:CY15" si="37">B15</f>
        <v/>
      </c>
      <c r="CY15" s="134" t="str">
        <f t="shared" si="37"/>
        <v>Aylla Murillo Kerly Kristhel</v>
      </c>
      <c r="CZ15" s="135">
        <f t="shared" si="29"/>
        <v>7.47</v>
      </c>
      <c r="DA15" s="136"/>
      <c r="DB15" s="137">
        <f t="shared" si="30"/>
        <v>7.47</v>
      </c>
      <c r="DC15" s="138" t="str">
        <f t="shared" si="31"/>
        <v>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40"/>
      <c r="E16" s="140"/>
      <c r="F16" s="140"/>
      <c r="G16" s="140"/>
      <c r="H16" s="139">
        <v>7.0</v>
      </c>
      <c r="I16" s="139">
        <v>7.0</v>
      </c>
      <c r="J16" s="140"/>
      <c r="K16" s="140"/>
      <c r="L16" s="62"/>
      <c r="M16" s="62"/>
      <c r="N16" s="144">
        <v>10.0</v>
      </c>
      <c r="O16" s="143"/>
      <c r="P16" s="143"/>
      <c r="Q16" s="143"/>
      <c r="R16" s="143"/>
      <c r="S16" s="143"/>
      <c r="T16" s="141"/>
      <c r="U16" s="141"/>
      <c r="V16" s="62">
        <f t="shared" si="8"/>
        <v>5.6</v>
      </c>
      <c r="W16" s="121">
        <v>10.0</v>
      </c>
      <c r="X16" s="123">
        <f>'PROY. INTER'!W16</f>
        <v>6</v>
      </c>
      <c r="Y16" s="62">
        <f t="shared" si="9"/>
        <v>8</v>
      </c>
      <c r="Z16" s="62">
        <f t="shared" si="10"/>
        <v>2.4</v>
      </c>
      <c r="AA16" s="64">
        <f t="shared" si="11"/>
        <v>8</v>
      </c>
      <c r="AC16" s="2"/>
      <c r="AE16" s="56">
        <v>5.0</v>
      </c>
      <c r="AF16" s="65" t="str">
        <f t="shared" si="12"/>
        <v>Campuzano Meza Naydelyn Odeth</v>
      </c>
      <c r="AG16" s="140"/>
      <c r="AH16" s="140"/>
      <c r="AI16" s="140"/>
      <c r="AJ16" s="140"/>
      <c r="AK16" s="139">
        <v>7.5</v>
      </c>
      <c r="AL16" s="139">
        <v>7.0</v>
      </c>
      <c r="AM16" s="140"/>
      <c r="AN16" s="140"/>
      <c r="AO16" s="62"/>
      <c r="AP16" s="62"/>
      <c r="AQ16" s="144">
        <v>10.0</v>
      </c>
      <c r="AR16" s="143"/>
      <c r="AS16" s="143"/>
      <c r="AT16" s="143"/>
      <c r="AU16" s="143"/>
      <c r="AV16" s="143"/>
      <c r="AW16" s="141"/>
      <c r="AX16" s="141"/>
      <c r="AY16" s="62">
        <f t="shared" si="13"/>
        <v>5.712</v>
      </c>
      <c r="AZ16" s="121">
        <v>7.0</v>
      </c>
      <c r="BA16" s="123">
        <f>'PROY. INTER'!AX16</f>
        <v>2</v>
      </c>
      <c r="BB16" s="62">
        <f t="shared" si="14"/>
        <v>4.5</v>
      </c>
      <c r="BC16" s="62">
        <f t="shared" si="15"/>
        <v>1.35</v>
      </c>
      <c r="BD16" s="64">
        <f t="shared" si="16"/>
        <v>7.06</v>
      </c>
      <c r="BF16" s="2"/>
      <c r="BH16" s="56">
        <v>5.0</v>
      </c>
      <c r="BI16" s="124" t="str">
        <f t="shared" ref="BI16:BJ16" si="38">B16</f>
        <v/>
      </c>
      <c r="BJ16" s="241" t="str">
        <f t="shared" si="38"/>
        <v>Campuzano Meza Naydelyn Odeth</v>
      </c>
      <c r="BK16" s="140"/>
      <c r="BL16" s="140"/>
      <c r="BM16" s="140"/>
      <c r="BN16" s="140"/>
      <c r="BO16" s="140"/>
      <c r="BP16" s="140"/>
      <c r="BQ16" s="140"/>
      <c r="BR16" s="140"/>
      <c r="BS16" s="62"/>
      <c r="BT16" s="62"/>
      <c r="BU16" s="143"/>
      <c r="BV16" s="143"/>
      <c r="BW16" s="143"/>
      <c r="BX16" s="143"/>
      <c r="BY16" s="143"/>
      <c r="BZ16" s="143"/>
      <c r="CA16" s="141"/>
      <c r="CB16" s="141"/>
      <c r="CC16" s="62">
        <f t="shared" si="18"/>
        <v>0</v>
      </c>
      <c r="CD16" s="62"/>
      <c r="CE16" s="123">
        <f>'PROY. INTER'!BY16</f>
        <v>0</v>
      </c>
      <c r="CF16" s="62">
        <f t="shared" si="19"/>
        <v>0</v>
      </c>
      <c r="CG16" s="62">
        <f t="shared" si="20"/>
        <v>0</v>
      </c>
      <c r="CH16" s="64">
        <f t="shared" si="21"/>
        <v>0</v>
      </c>
      <c r="CJ16" s="2"/>
      <c r="CL16" s="126">
        <v>5.0</v>
      </c>
      <c r="CM16" s="127" t="str">
        <f t="shared" ref="CM16:CN16" si="39">B16</f>
        <v/>
      </c>
      <c r="CN16" s="128" t="str">
        <f t="shared" si="39"/>
        <v>Campuzano Meza Naydelyn Odeth</v>
      </c>
      <c r="CO16" s="129">
        <f t="shared" si="23"/>
        <v>8</v>
      </c>
      <c r="CP16" s="129">
        <f t="shared" si="24"/>
        <v>7.06</v>
      </c>
      <c r="CQ16" s="129">
        <f t="shared" si="25"/>
        <v>0</v>
      </c>
      <c r="CR16" s="130">
        <f t="shared" si="26"/>
        <v>5.02</v>
      </c>
      <c r="CS16" s="131" t="str">
        <f t="shared" si="27"/>
        <v>SUPLETORIO</v>
      </c>
      <c r="CU16" s="2"/>
      <c r="CW16" s="132">
        <v>5.0</v>
      </c>
      <c r="CX16" s="133" t="str">
        <f t="shared" ref="CX16:CY16" si="40">B16</f>
        <v/>
      </c>
      <c r="CY16" s="134" t="str">
        <f t="shared" si="40"/>
        <v>Campuzano Meza Naydelyn Odeth</v>
      </c>
      <c r="CZ16" s="135">
        <f t="shared" si="29"/>
        <v>5.02</v>
      </c>
      <c r="DA16" s="136"/>
      <c r="DB16" s="137">
        <f t="shared" si="30"/>
        <v>5.02</v>
      </c>
      <c r="DC16" s="138" t="str">
        <f t="shared" si="31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40"/>
      <c r="E17" s="140"/>
      <c r="F17" s="140"/>
      <c r="G17" s="140"/>
      <c r="H17" s="139">
        <v>8.0</v>
      </c>
      <c r="I17" s="139">
        <v>10.0</v>
      </c>
      <c r="J17" s="140"/>
      <c r="K17" s="140"/>
      <c r="L17" s="62"/>
      <c r="M17" s="62"/>
      <c r="N17" s="144">
        <v>10.0</v>
      </c>
      <c r="O17" s="143"/>
      <c r="P17" s="143"/>
      <c r="Q17" s="143"/>
      <c r="R17" s="143"/>
      <c r="S17" s="143"/>
      <c r="T17" s="141"/>
      <c r="U17" s="141"/>
      <c r="V17" s="62">
        <f t="shared" si="8"/>
        <v>6.531</v>
      </c>
      <c r="W17" s="121">
        <v>10.0</v>
      </c>
      <c r="X17" s="123">
        <f>'PROY. INTER'!W17</f>
        <v>9.87</v>
      </c>
      <c r="Y17" s="62">
        <f t="shared" si="9"/>
        <v>9.935</v>
      </c>
      <c r="Z17" s="62">
        <f t="shared" si="10"/>
        <v>2.9805</v>
      </c>
      <c r="AA17" s="64">
        <f t="shared" si="11"/>
        <v>9.51</v>
      </c>
      <c r="AC17" s="2"/>
      <c r="AE17" s="56">
        <v>6.0</v>
      </c>
      <c r="AF17" s="65" t="str">
        <f t="shared" si="12"/>
        <v>Cantos Zúñiga a Hernán Snayder</v>
      </c>
      <c r="AG17" s="140"/>
      <c r="AH17" s="140"/>
      <c r="AI17" s="140"/>
      <c r="AJ17" s="140"/>
      <c r="AK17" s="139">
        <v>9.0</v>
      </c>
      <c r="AL17" s="139">
        <v>10.0</v>
      </c>
      <c r="AM17" s="140"/>
      <c r="AN17" s="140"/>
      <c r="AO17" s="62"/>
      <c r="AP17" s="62"/>
      <c r="AQ17" s="144">
        <v>10.0</v>
      </c>
      <c r="AR17" s="143"/>
      <c r="AS17" s="143"/>
      <c r="AT17" s="143"/>
      <c r="AU17" s="143"/>
      <c r="AV17" s="143"/>
      <c r="AW17" s="141"/>
      <c r="AX17" s="141"/>
      <c r="AY17" s="62">
        <f t="shared" si="13"/>
        <v>6.762</v>
      </c>
      <c r="AZ17" s="121">
        <v>7.0</v>
      </c>
      <c r="BA17" s="123">
        <f>'PROY. INTER'!AX17</f>
        <v>10</v>
      </c>
      <c r="BB17" s="62">
        <f t="shared" si="14"/>
        <v>8.5</v>
      </c>
      <c r="BC17" s="62">
        <f t="shared" si="15"/>
        <v>2.55</v>
      </c>
      <c r="BD17" s="64">
        <f t="shared" si="16"/>
        <v>9.31</v>
      </c>
      <c r="BF17" s="2"/>
      <c r="BH17" s="56">
        <v>6.0</v>
      </c>
      <c r="BI17" s="124" t="str">
        <f t="shared" ref="BI17:BJ17" si="41">B17</f>
        <v/>
      </c>
      <c r="BJ17" s="65" t="str">
        <f t="shared" si="41"/>
        <v>Cantos Zúñiga a Hernán Snayder</v>
      </c>
      <c r="BK17" s="140"/>
      <c r="BL17" s="139">
        <v>10.0</v>
      </c>
      <c r="BM17" s="140"/>
      <c r="BN17" s="140"/>
      <c r="BO17" s="139">
        <v>10.0</v>
      </c>
      <c r="BP17" s="139">
        <v>10.0</v>
      </c>
      <c r="BQ17" s="140"/>
      <c r="BR17" s="140"/>
      <c r="BS17" s="62"/>
      <c r="BT17" s="62"/>
      <c r="BU17" s="143"/>
      <c r="BV17" s="143"/>
      <c r="BW17" s="143"/>
      <c r="BX17" s="143"/>
      <c r="BY17" s="143"/>
      <c r="BZ17" s="143"/>
      <c r="CA17" s="141"/>
      <c r="CB17" s="141"/>
      <c r="CC17" s="62">
        <f t="shared" si="18"/>
        <v>7</v>
      </c>
      <c r="CD17" s="62"/>
      <c r="CE17" s="123">
        <f>'PROY. INTER'!BY17</f>
        <v>0</v>
      </c>
      <c r="CF17" s="62">
        <f t="shared" si="19"/>
        <v>0</v>
      </c>
      <c r="CG17" s="62">
        <f t="shared" si="20"/>
        <v>0</v>
      </c>
      <c r="CH17" s="64">
        <f t="shared" si="21"/>
        <v>7</v>
      </c>
      <c r="CJ17" s="2"/>
      <c r="CL17" s="126">
        <v>6.0</v>
      </c>
      <c r="CM17" s="127" t="str">
        <f t="shared" ref="CM17:CN17" si="42">B17</f>
        <v/>
      </c>
      <c r="CN17" s="128" t="str">
        <f t="shared" si="42"/>
        <v>Cantos Zúñiga a Hernán Snayder</v>
      </c>
      <c r="CO17" s="129">
        <f t="shared" si="23"/>
        <v>9.51</v>
      </c>
      <c r="CP17" s="129">
        <f t="shared" si="24"/>
        <v>9.31</v>
      </c>
      <c r="CQ17" s="129">
        <f t="shared" si="25"/>
        <v>7</v>
      </c>
      <c r="CR17" s="130">
        <f t="shared" si="26"/>
        <v>8.6</v>
      </c>
      <c r="CS17" s="131" t="str">
        <f t="shared" si="27"/>
        <v>APROBADO</v>
      </c>
      <c r="CU17" s="2"/>
      <c r="CW17" s="132">
        <v>6.0</v>
      </c>
      <c r="CX17" s="133" t="str">
        <f t="shared" ref="CX17:CY17" si="43">B17</f>
        <v/>
      </c>
      <c r="CY17" s="134" t="str">
        <f t="shared" si="43"/>
        <v>Cantos Zúñiga a Hernán Snayder</v>
      </c>
      <c r="CZ17" s="135">
        <f t="shared" si="29"/>
        <v>8.6</v>
      </c>
      <c r="DA17" s="136"/>
      <c r="DB17" s="137">
        <f t="shared" si="30"/>
        <v>8.6</v>
      </c>
      <c r="DC17" s="138" t="str">
        <f t="shared" si="31"/>
        <v>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40"/>
      <c r="E18" s="140"/>
      <c r="F18" s="140"/>
      <c r="G18" s="140"/>
      <c r="H18" s="139">
        <v>7.0</v>
      </c>
      <c r="I18" s="139">
        <v>9.0</v>
      </c>
      <c r="J18" s="140"/>
      <c r="K18" s="140"/>
      <c r="L18" s="62"/>
      <c r="M18" s="62"/>
      <c r="N18" s="144">
        <v>10.0</v>
      </c>
      <c r="O18" s="143"/>
      <c r="P18" s="143"/>
      <c r="Q18" s="143"/>
      <c r="R18" s="143"/>
      <c r="S18" s="143"/>
      <c r="T18" s="141"/>
      <c r="U18" s="141"/>
      <c r="V18" s="62">
        <f t="shared" si="8"/>
        <v>6.062</v>
      </c>
      <c r="W18" s="121">
        <v>10.0</v>
      </c>
      <c r="X18" s="123">
        <f>'PROY. INTER'!W18</f>
        <v>9</v>
      </c>
      <c r="Y18" s="62">
        <f t="shared" si="9"/>
        <v>9.5</v>
      </c>
      <c r="Z18" s="62">
        <f t="shared" si="10"/>
        <v>2.85</v>
      </c>
      <c r="AA18" s="64">
        <f t="shared" si="11"/>
        <v>8.91</v>
      </c>
      <c r="AC18" s="2"/>
      <c r="AE18" s="56">
        <v>7.0</v>
      </c>
      <c r="AF18" s="65" t="str">
        <f t="shared" si="12"/>
        <v>Carranza Dumes Genesis Daniela</v>
      </c>
      <c r="AG18" s="140"/>
      <c r="AH18" s="140"/>
      <c r="AI18" s="140"/>
      <c r="AJ18" s="140"/>
      <c r="AK18" s="139">
        <v>9.0</v>
      </c>
      <c r="AL18" s="139">
        <v>7.0</v>
      </c>
      <c r="AM18" s="140"/>
      <c r="AN18" s="140"/>
      <c r="AO18" s="62"/>
      <c r="AP18" s="62"/>
      <c r="AQ18" s="144">
        <v>10.0</v>
      </c>
      <c r="AR18" s="143"/>
      <c r="AS18" s="143"/>
      <c r="AT18" s="143"/>
      <c r="AU18" s="143"/>
      <c r="AV18" s="143"/>
      <c r="AW18" s="141"/>
      <c r="AX18" s="141"/>
      <c r="AY18" s="62">
        <f t="shared" si="13"/>
        <v>6.062</v>
      </c>
      <c r="AZ18" s="121">
        <v>7.0</v>
      </c>
      <c r="BA18" s="123">
        <f>'PROY. INTER'!AX18</f>
        <v>2</v>
      </c>
      <c r="BB18" s="62">
        <f t="shared" si="14"/>
        <v>4.5</v>
      </c>
      <c r="BC18" s="62">
        <f t="shared" si="15"/>
        <v>1.35</v>
      </c>
      <c r="BD18" s="64">
        <f t="shared" si="16"/>
        <v>7.41</v>
      </c>
      <c r="BF18" s="2"/>
      <c r="BH18" s="56">
        <v>7.0</v>
      </c>
      <c r="BI18" s="124" t="str">
        <f t="shared" ref="BI18:BJ18" si="44">B18</f>
        <v/>
      </c>
      <c r="BJ18" s="240" t="str">
        <f t="shared" si="44"/>
        <v>Carranza Dumes Genesis Daniela</v>
      </c>
      <c r="BK18" s="140"/>
      <c r="BL18" s="139">
        <v>7.0</v>
      </c>
      <c r="BM18" s="140"/>
      <c r="BN18" s="140"/>
      <c r="BO18" s="139">
        <v>7.0</v>
      </c>
      <c r="BP18" s="139">
        <v>7.0</v>
      </c>
      <c r="BQ18" s="140"/>
      <c r="BR18" s="140"/>
      <c r="BS18" s="62"/>
      <c r="BT18" s="62"/>
      <c r="BU18" s="143"/>
      <c r="BV18" s="143"/>
      <c r="BW18" s="143"/>
      <c r="BX18" s="143"/>
      <c r="BY18" s="143"/>
      <c r="BZ18" s="143"/>
      <c r="CA18" s="141"/>
      <c r="CB18" s="141"/>
      <c r="CC18" s="62">
        <f t="shared" si="18"/>
        <v>4.9</v>
      </c>
      <c r="CD18" s="62"/>
      <c r="CE18" s="123">
        <f>'PROY. INTER'!BY18</f>
        <v>0</v>
      </c>
      <c r="CF18" s="62">
        <f t="shared" si="19"/>
        <v>0</v>
      </c>
      <c r="CG18" s="62">
        <f t="shared" si="20"/>
        <v>0</v>
      </c>
      <c r="CH18" s="64">
        <f t="shared" si="21"/>
        <v>4.9</v>
      </c>
      <c r="CJ18" s="2"/>
      <c r="CL18" s="126">
        <v>7.0</v>
      </c>
      <c r="CM18" s="127" t="str">
        <f t="shared" ref="CM18:CN18" si="45">B18</f>
        <v/>
      </c>
      <c r="CN18" s="128" t="str">
        <f t="shared" si="45"/>
        <v>Carranza Dumes Genesis Daniela</v>
      </c>
      <c r="CO18" s="129">
        <f t="shared" si="23"/>
        <v>8.91</v>
      </c>
      <c r="CP18" s="129">
        <f t="shared" si="24"/>
        <v>7.41</v>
      </c>
      <c r="CQ18" s="129">
        <f t="shared" si="25"/>
        <v>4.9</v>
      </c>
      <c r="CR18" s="130">
        <f t="shared" si="26"/>
        <v>7.07</v>
      </c>
      <c r="CS18" s="131" t="str">
        <f t="shared" si="27"/>
        <v>APROBADO</v>
      </c>
      <c r="CU18" s="2"/>
      <c r="CW18" s="132">
        <v>7.0</v>
      </c>
      <c r="CX18" s="133" t="str">
        <f t="shared" ref="CX18:CY18" si="46">B18</f>
        <v/>
      </c>
      <c r="CY18" s="134" t="str">
        <f t="shared" si="46"/>
        <v>Carranza Dumes Genesis Daniela</v>
      </c>
      <c r="CZ18" s="135">
        <f t="shared" si="29"/>
        <v>7.07</v>
      </c>
      <c r="DA18" s="136"/>
      <c r="DB18" s="137">
        <f t="shared" si="30"/>
        <v>7.07</v>
      </c>
      <c r="DC18" s="138" t="str">
        <f t="shared" si="31"/>
        <v>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40"/>
      <c r="E19" s="140"/>
      <c r="F19" s="140"/>
      <c r="G19" s="140"/>
      <c r="H19" s="139">
        <v>5.0</v>
      </c>
      <c r="I19" s="139">
        <v>5.0</v>
      </c>
      <c r="J19" s="140"/>
      <c r="K19" s="140"/>
      <c r="L19" s="62"/>
      <c r="M19" s="62"/>
      <c r="N19" s="144">
        <v>9.0</v>
      </c>
      <c r="O19" s="143"/>
      <c r="P19" s="143"/>
      <c r="Q19" s="143"/>
      <c r="R19" s="143"/>
      <c r="S19" s="143"/>
      <c r="T19" s="141"/>
      <c r="U19" s="141"/>
      <c r="V19" s="62">
        <f t="shared" si="8"/>
        <v>4.431</v>
      </c>
      <c r="W19" s="121">
        <v>10.0</v>
      </c>
      <c r="X19" s="123">
        <f>'PROY. INTER'!W19</f>
        <v>6</v>
      </c>
      <c r="Y19" s="62">
        <f t="shared" si="9"/>
        <v>8</v>
      </c>
      <c r="Z19" s="62">
        <f t="shared" si="10"/>
        <v>2.4</v>
      </c>
      <c r="AA19" s="64">
        <f t="shared" si="11"/>
        <v>6.83</v>
      </c>
      <c r="AC19" s="2"/>
      <c r="AE19" s="56">
        <v>8.0</v>
      </c>
      <c r="AF19" s="65" t="str">
        <f t="shared" si="12"/>
        <v>Castro De La Rosa Cristopher Ruben</v>
      </c>
      <c r="AG19" s="140"/>
      <c r="AH19" s="140"/>
      <c r="AI19" s="140"/>
      <c r="AJ19" s="140"/>
      <c r="AK19" s="139">
        <v>7.0</v>
      </c>
      <c r="AL19" s="139">
        <v>7.0</v>
      </c>
      <c r="AM19" s="140"/>
      <c r="AN19" s="140"/>
      <c r="AO19" s="62"/>
      <c r="AP19" s="62"/>
      <c r="AQ19" s="144">
        <v>7.0</v>
      </c>
      <c r="AR19" s="143"/>
      <c r="AS19" s="143"/>
      <c r="AT19" s="143"/>
      <c r="AU19" s="143"/>
      <c r="AV19" s="143"/>
      <c r="AW19" s="145"/>
      <c r="AX19" s="145"/>
      <c r="AY19" s="62">
        <f t="shared" si="13"/>
        <v>4.9</v>
      </c>
      <c r="AZ19" s="121">
        <v>7.0</v>
      </c>
      <c r="BA19" s="123">
        <f>'PROY. INTER'!AX19</f>
        <v>2</v>
      </c>
      <c r="BB19" s="62">
        <f t="shared" si="14"/>
        <v>4.5</v>
      </c>
      <c r="BC19" s="62">
        <f t="shared" si="15"/>
        <v>1.35</v>
      </c>
      <c r="BD19" s="242">
        <f t="shared" si="16"/>
        <v>6.25</v>
      </c>
      <c r="BF19" s="2"/>
      <c r="BH19" s="56">
        <v>8.0</v>
      </c>
      <c r="BI19" s="124" t="str">
        <f t="shared" ref="BI19:BJ19" si="47">B19</f>
        <v/>
      </c>
      <c r="BJ19" s="240" t="str">
        <f t="shared" si="47"/>
        <v>Castro De La Rosa Cristopher Ruben</v>
      </c>
      <c r="BK19" s="140"/>
      <c r="BL19" s="139">
        <v>7.0</v>
      </c>
      <c r="BM19" s="140"/>
      <c r="BN19" s="140"/>
      <c r="BO19" s="139">
        <v>7.0</v>
      </c>
      <c r="BP19" s="139">
        <v>7.0</v>
      </c>
      <c r="BQ19" s="140"/>
      <c r="BR19" s="140"/>
      <c r="BS19" s="62"/>
      <c r="BT19" s="62"/>
      <c r="BU19" s="143"/>
      <c r="BV19" s="143"/>
      <c r="BW19" s="143"/>
      <c r="BX19" s="143"/>
      <c r="BY19" s="143"/>
      <c r="BZ19" s="143"/>
      <c r="CA19" s="141"/>
      <c r="CB19" s="141"/>
      <c r="CC19" s="62">
        <f t="shared" si="18"/>
        <v>4.9</v>
      </c>
      <c r="CD19" s="62"/>
      <c r="CE19" s="123">
        <f>'PROY. INTER'!BY19</f>
        <v>0</v>
      </c>
      <c r="CF19" s="62">
        <f t="shared" si="19"/>
        <v>0</v>
      </c>
      <c r="CG19" s="62">
        <f t="shared" si="20"/>
        <v>0</v>
      </c>
      <c r="CH19" s="64">
        <f t="shared" si="21"/>
        <v>4.9</v>
      </c>
      <c r="CJ19" s="2"/>
      <c r="CL19" s="126">
        <v>8.0</v>
      </c>
      <c r="CM19" s="127" t="str">
        <f t="shared" ref="CM19:CN19" si="48">B19</f>
        <v/>
      </c>
      <c r="CN19" s="128" t="str">
        <f t="shared" si="48"/>
        <v>Castro De La Rosa Cristopher Ruben</v>
      </c>
      <c r="CO19" s="129">
        <f t="shared" si="23"/>
        <v>6.83</v>
      </c>
      <c r="CP19" s="129">
        <f t="shared" si="24"/>
        <v>6.25</v>
      </c>
      <c r="CQ19" s="129">
        <f t="shared" si="25"/>
        <v>4.9</v>
      </c>
      <c r="CR19" s="130">
        <f t="shared" si="26"/>
        <v>5.99</v>
      </c>
      <c r="CS19" s="131" t="str">
        <f t="shared" si="27"/>
        <v>SUPLETORIO</v>
      </c>
      <c r="CU19" s="2"/>
      <c r="CW19" s="132">
        <v>8.0</v>
      </c>
      <c r="CX19" s="133" t="str">
        <f t="shared" ref="CX19:CY19" si="49">B19</f>
        <v/>
      </c>
      <c r="CY19" s="134" t="str">
        <f t="shared" si="49"/>
        <v>Castro De La Rosa Cristopher Ruben</v>
      </c>
      <c r="CZ19" s="135">
        <f t="shared" si="29"/>
        <v>5.99</v>
      </c>
      <c r="DA19" s="136"/>
      <c r="DB19" s="137">
        <f t="shared" si="30"/>
        <v>5.99</v>
      </c>
      <c r="DC19" s="138" t="str">
        <f t="shared" si="31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40"/>
      <c r="E20" s="140"/>
      <c r="F20" s="140"/>
      <c r="G20" s="140"/>
      <c r="H20" s="139">
        <v>5.0</v>
      </c>
      <c r="I20" s="139">
        <v>5.0</v>
      </c>
      <c r="J20" s="140"/>
      <c r="K20" s="140"/>
      <c r="L20" s="62"/>
      <c r="M20" s="62"/>
      <c r="N20" s="144">
        <v>9.0</v>
      </c>
      <c r="O20" s="143"/>
      <c r="P20" s="143"/>
      <c r="Q20" s="143"/>
      <c r="R20" s="143"/>
      <c r="S20" s="143"/>
      <c r="T20" s="141"/>
      <c r="U20" s="141"/>
      <c r="V20" s="62">
        <f t="shared" si="8"/>
        <v>4.431</v>
      </c>
      <c r="W20" s="121">
        <v>10.0</v>
      </c>
      <c r="X20" s="123">
        <f>'PROY. INTER'!W20</f>
        <v>6</v>
      </c>
      <c r="Y20" s="62">
        <f t="shared" si="9"/>
        <v>8</v>
      </c>
      <c r="Z20" s="62">
        <f t="shared" si="10"/>
        <v>2.4</v>
      </c>
      <c r="AA20" s="64">
        <f t="shared" si="11"/>
        <v>6.83</v>
      </c>
      <c r="AC20" s="2"/>
      <c r="AE20" s="56">
        <v>9.0</v>
      </c>
      <c r="AF20" s="65" t="str">
        <f t="shared" si="12"/>
        <v>Chamba Maurad Joshelyn Juleixi</v>
      </c>
      <c r="AG20" s="140"/>
      <c r="AH20" s="140"/>
      <c r="AI20" s="140"/>
      <c r="AJ20" s="140"/>
      <c r="AK20" s="139">
        <v>7.0</v>
      </c>
      <c r="AL20" s="139">
        <v>7.0</v>
      </c>
      <c r="AM20" s="140"/>
      <c r="AN20" s="140"/>
      <c r="AO20" s="62"/>
      <c r="AP20" s="62"/>
      <c r="AQ20" s="144">
        <v>7.0</v>
      </c>
      <c r="AR20" s="143"/>
      <c r="AS20" s="143"/>
      <c r="AT20" s="143"/>
      <c r="AU20" s="143"/>
      <c r="AV20" s="143"/>
      <c r="AW20" s="145"/>
      <c r="AX20" s="141"/>
      <c r="AY20" s="62">
        <f t="shared" si="13"/>
        <v>4.9</v>
      </c>
      <c r="AZ20" s="121">
        <v>7.0</v>
      </c>
      <c r="BA20" s="123">
        <f>'PROY. INTER'!AX20</f>
        <v>10</v>
      </c>
      <c r="BB20" s="62">
        <f t="shared" si="14"/>
        <v>8.5</v>
      </c>
      <c r="BC20" s="62">
        <f t="shared" si="15"/>
        <v>2.55</v>
      </c>
      <c r="BD20" s="64">
        <f t="shared" si="16"/>
        <v>7.45</v>
      </c>
      <c r="BF20" s="2"/>
      <c r="BH20" s="56">
        <v>9.0</v>
      </c>
      <c r="BI20" s="124" t="str">
        <f t="shared" ref="BI20:BJ20" si="50">B20</f>
        <v/>
      </c>
      <c r="BJ20" s="240" t="str">
        <f t="shared" si="50"/>
        <v>Chamba Maurad Joshelyn Juleixi</v>
      </c>
      <c r="BK20" s="140"/>
      <c r="BL20" s="139">
        <v>7.0</v>
      </c>
      <c r="BM20" s="140"/>
      <c r="BN20" s="140"/>
      <c r="BO20" s="139">
        <v>7.0</v>
      </c>
      <c r="BP20" s="139">
        <v>7.0</v>
      </c>
      <c r="BQ20" s="140"/>
      <c r="BR20" s="140"/>
      <c r="BS20" s="62"/>
      <c r="BT20" s="62"/>
      <c r="BU20" s="143"/>
      <c r="BV20" s="143"/>
      <c r="BW20" s="143"/>
      <c r="BX20" s="143"/>
      <c r="BY20" s="143"/>
      <c r="BZ20" s="143"/>
      <c r="CA20" s="141"/>
      <c r="CB20" s="141"/>
      <c r="CC20" s="62">
        <f t="shared" si="18"/>
        <v>4.9</v>
      </c>
      <c r="CD20" s="62"/>
      <c r="CE20" s="123">
        <f>'PROY. INTER'!BY20</f>
        <v>0</v>
      </c>
      <c r="CF20" s="62">
        <f t="shared" si="19"/>
        <v>0</v>
      </c>
      <c r="CG20" s="62">
        <f t="shared" si="20"/>
        <v>0</v>
      </c>
      <c r="CH20" s="64">
        <f t="shared" si="21"/>
        <v>4.9</v>
      </c>
      <c r="CJ20" s="2"/>
      <c r="CL20" s="126">
        <v>9.0</v>
      </c>
      <c r="CM20" s="127" t="str">
        <f t="shared" ref="CM20:CN20" si="51">B20</f>
        <v/>
      </c>
      <c r="CN20" s="128" t="str">
        <f t="shared" si="51"/>
        <v>Chamba Maurad Joshelyn Juleixi</v>
      </c>
      <c r="CO20" s="129">
        <f t="shared" si="23"/>
        <v>6.83</v>
      </c>
      <c r="CP20" s="129">
        <f t="shared" si="24"/>
        <v>7.45</v>
      </c>
      <c r="CQ20" s="129">
        <f t="shared" si="25"/>
        <v>4.9</v>
      </c>
      <c r="CR20" s="130">
        <f t="shared" si="26"/>
        <v>6.39</v>
      </c>
      <c r="CS20" s="131" t="str">
        <f t="shared" si="27"/>
        <v>SUPLETORIO</v>
      </c>
      <c r="CU20" s="2"/>
      <c r="CW20" s="132">
        <v>9.0</v>
      </c>
      <c r="CX20" s="133" t="str">
        <f t="shared" ref="CX20:CY20" si="52">B20</f>
        <v/>
      </c>
      <c r="CY20" s="134" t="str">
        <f t="shared" si="52"/>
        <v>Chamba Maurad Joshelyn Juleixi</v>
      </c>
      <c r="CZ20" s="135">
        <f t="shared" si="29"/>
        <v>6.39</v>
      </c>
      <c r="DA20" s="136"/>
      <c r="DB20" s="137">
        <f t="shared" si="30"/>
        <v>6.39</v>
      </c>
      <c r="DC20" s="138" t="str">
        <f t="shared" si="31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40"/>
      <c r="E21" s="140"/>
      <c r="F21" s="140"/>
      <c r="G21" s="140"/>
      <c r="H21" s="139">
        <v>5.0</v>
      </c>
      <c r="I21" s="139">
        <v>5.0</v>
      </c>
      <c r="J21" s="140"/>
      <c r="K21" s="140"/>
      <c r="L21" s="62"/>
      <c r="M21" s="62"/>
      <c r="N21" s="144">
        <v>5.0</v>
      </c>
      <c r="O21" s="143"/>
      <c r="P21" s="143"/>
      <c r="Q21" s="143"/>
      <c r="R21" s="143"/>
      <c r="S21" s="143"/>
      <c r="T21" s="141"/>
      <c r="U21" s="141"/>
      <c r="V21" s="62">
        <f t="shared" si="8"/>
        <v>3.5</v>
      </c>
      <c r="W21" s="121">
        <v>10.0</v>
      </c>
      <c r="X21" s="123">
        <f>'PROY. INTER'!W21</f>
        <v>6</v>
      </c>
      <c r="Y21" s="62">
        <f t="shared" si="9"/>
        <v>8</v>
      </c>
      <c r="Z21" s="62">
        <f t="shared" si="10"/>
        <v>2.4</v>
      </c>
      <c r="AA21" s="64">
        <f t="shared" si="11"/>
        <v>5.9</v>
      </c>
      <c r="AC21" s="2"/>
      <c r="AE21" s="56">
        <v>10.0</v>
      </c>
      <c r="AF21" s="65" t="str">
        <f t="shared" si="12"/>
        <v>Cedeño Sanchez Josué</v>
      </c>
      <c r="AG21" s="140"/>
      <c r="AH21" s="140"/>
      <c r="AI21" s="140"/>
      <c r="AJ21" s="140"/>
      <c r="AK21" s="139">
        <v>7.0</v>
      </c>
      <c r="AL21" s="139">
        <v>7.0</v>
      </c>
      <c r="AM21" s="140"/>
      <c r="AN21" s="140"/>
      <c r="AO21" s="62"/>
      <c r="AP21" s="62"/>
      <c r="AQ21" s="144">
        <v>7.0</v>
      </c>
      <c r="AR21" s="143"/>
      <c r="AS21" s="143"/>
      <c r="AT21" s="143"/>
      <c r="AU21" s="143"/>
      <c r="AV21" s="143"/>
      <c r="AW21" s="141"/>
      <c r="AX21" s="141"/>
      <c r="AY21" s="62">
        <f t="shared" si="13"/>
        <v>4.9</v>
      </c>
      <c r="AZ21" s="121">
        <v>7.0</v>
      </c>
      <c r="BA21" s="123">
        <f>'PROY. INTER'!AX21</f>
        <v>2</v>
      </c>
      <c r="BB21" s="62">
        <f t="shared" si="14"/>
        <v>4.5</v>
      </c>
      <c r="BC21" s="62">
        <f t="shared" si="15"/>
        <v>1.35</v>
      </c>
      <c r="BD21" s="242">
        <f t="shared" si="16"/>
        <v>6.25</v>
      </c>
      <c r="BF21" s="2"/>
      <c r="BH21" s="56">
        <v>10.0</v>
      </c>
      <c r="BI21" s="124" t="str">
        <f t="shared" ref="BI21:BJ21" si="53">B21</f>
        <v/>
      </c>
      <c r="BJ21" s="125" t="str">
        <f t="shared" si="53"/>
        <v>Cedeño Sanchez Josué</v>
      </c>
      <c r="BK21" s="140"/>
      <c r="BL21" s="139">
        <v>7.0</v>
      </c>
      <c r="BM21" s="140"/>
      <c r="BN21" s="140"/>
      <c r="BO21" s="139">
        <v>7.0</v>
      </c>
      <c r="BP21" s="139">
        <v>7.0</v>
      </c>
      <c r="BQ21" s="140"/>
      <c r="BR21" s="140"/>
      <c r="BS21" s="62"/>
      <c r="BT21" s="62"/>
      <c r="BU21" s="143"/>
      <c r="BV21" s="143"/>
      <c r="BW21" s="143"/>
      <c r="BX21" s="143"/>
      <c r="BY21" s="143"/>
      <c r="BZ21" s="143"/>
      <c r="CA21" s="141"/>
      <c r="CB21" s="141"/>
      <c r="CC21" s="62">
        <f t="shared" si="18"/>
        <v>4.9</v>
      </c>
      <c r="CD21" s="62"/>
      <c r="CE21" s="123">
        <f>'PROY. INTER'!BY21</f>
        <v>0</v>
      </c>
      <c r="CF21" s="62">
        <f t="shared" si="19"/>
        <v>0</v>
      </c>
      <c r="CG21" s="62">
        <f t="shared" si="20"/>
        <v>0</v>
      </c>
      <c r="CH21" s="64">
        <f t="shared" si="21"/>
        <v>4.9</v>
      </c>
      <c r="CJ21" s="2"/>
      <c r="CL21" s="126">
        <v>10.0</v>
      </c>
      <c r="CM21" s="127" t="str">
        <f t="shared" ref="CM21:CN21" si="54">B21</f>
        <v/>
      </c>
      <c r="CN21" s="128" t="str">
        <f t="shared" si="54"/>
        <v>Cedeño Sanchez Josué</v>
      </c>
      <c r="CO21" s="129">
        <f t="shared" si="23"/>
        <v>5.9</v>
      </c>
      <c r="CP21" s="129">
        <f t="shared" si="24"/>
        <v>6.25</v>
      </c>
      <c r="CQ21" s="129">
        <f t="shared" si="25"/>
        <v>4.9</v>
      </c>
      <c r="CR21" s="130">
        <f t="shared" si="26"/>
        <v>5.68</v>
      </c>
      <c r="CS21" s="131" t="str">
        <f t="shared" si="27"/>
        <v>SUPLETORIO</v>
      </c>
      <c r="CU21" s="2"/>
      <c r="CW21" s="132">
        <v>10.0</v>
      </c>
      <c r="CX21" s="133" t="str">
        <f t="shared" ref="CX21:CY21" si="55">B21</f>
        <v/>
      </c>
      <c r="CY21" s="134" t="str">
        <f t="shared" si="55"/>
        <v>Cedeño Sanchez Josué</v>
      </c>
      <c r="CZ21" s="135">
        <f t="shared" si="29"/>
        <v>5.68</v>
      </c>
      <c r="DA21" s="136"/>
      <c r="DB21" s="137">
        <f t="shared" si="30"/>
        <v>5.68</v>
      </c>
      <c r="DC21" s="138" t="str">
        <f t="shared" si="31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40"/>
      <c r="E22" s="140"/>
      <c r="F22" s="140"/>
      <c r="G22" s="140"/>
      <c r="H22" s="139">
        <v>10.0</v>
      </c>
      <c r="I22" s="139">
        <v>10.0</v>
      </c>
      <c r="J22" s="140"/>
      <c r="K22" s="140"/>
      <c r="L22" s="62"/>
      <c r="M22" s="62"/>
      <c r="N22" s="144">
        <v>10.0</v>
      </c>
      <c r="O22" s="143"/>
      <c r="P22" s="143"/>
      <c r="Q22" s="143"/>
      <c r="R22" s="143"/>
      <c r="S22" s="143"/>
      <c r="T22" s="141"/>
      <c r="U22" s="141"/>
      <c r="V22" s="62">
        <f t="shared" si="8"/>
        <v>7</v>
      </c>
      <c r="W22" s="121">
        <v>10.0</v>
      </c>
      <c r="X22" s="123">
        <f>'PROY. INTER'!W22</f>
        <v>10</v>
      </c>
      <c r="Y22" s="62">
        <f t="shared" si="9"/>
        <v>10</v>
      </c>
      <c r="Z22" s="62">
        <f t="shared" si="10"/>
        <v>3</v>
      </c>
      <c r="AA22" s="64">
        <f t="shared" si="11"/>
        <v>10</v>
      </c>
      <c r="AC22" s="2"/>
      <c r="AE22" s="56">
        <v>11.0</v>
      </c>
      <c r="AF22" s="65" t="str">
        <f t="shared" si="12"/>
        <v>Espinoza Martinez Stefano Juliano</v>
      </c>
      <c r="AG22" s="140"/>
      <c r="AH22" s="140"/>
      <c r="AI22" s="140"/>
      <c r="AJ22" s="140"/>
      <c r="AK22" s="139">
        <v>9.0</v>
      </c>
      <c r="AL22" s="139">
        <v>10.0</v>
      </c>
      <c r="AM22" s="140"/>
      <c r="AN22" s="140"/>
      <c r="AO22" s="62"/>
      <c r="AP22" s="62"/>
      <c r="AQ22" s="144">
        <v>10.0</v>
      </c>
      <c r="AR22" s="143"/>
      <c r="AS22" s="143"/>
      <c r="AT22" s="143"/>
      <c r="AU22" s="143"/>
      <c r="AV22" s="143"/>
      <c r="AW22" s="141"/>
      <c r="AX22" s="141"/>
      <c r="AY22" s="62">
        <f t="shared" si="13"/>
        <v>6.762</v>
      </c>
      <c r="AZ22" s="121">
        <v>7.0</v>
      </c>
      <c r="BA22" s="123">
        <f>'PROY. INTER'!AX22</f>
        <v>10</v>
      </c>
      <c r="BB22" s="62">
        <f t="shared" si="14"/>
        <v>8.5</v>
      </c>
      <c r="BC22" s="62">
        <f t="shared" si="15"/>
        <v>2.55</v>
      </c>
      <c r="BD22" s="64">
        <f t="shared" si="16"/>
        <v>9.31</v>
      </c>
      <c r="BF22" s="2"/>
      <c r="BH22" s="56">
        <v>11.0</v>
      </c>
      <c r="BI22" s="124" t="str">
        <f t="shared" ref="BI22:BJ22" si="56">B22</f>
        <v/>
      </c>
      <c r="BJ22" s="125" t="str">
        <f t="shared" si="56"/>
        <v>Espinoza Martinez Stefano Juliano</v>
      </c>
      <c r="BK22" s="140"/>
      <c r="BL22" s="139">
        <v>10.0</v>
      </c>
      <c r="BM22" s="140"/>
      <c r="BN22" s="140"/>
      <c r="BO22" s="139">
        <v>10.0</v>
      </c>
      <c r="BP22" s="139">
        <v>10.0</v>
      </c>
      <c r="BQ22" s="140"/>
      <c r="BR22" s="140"/>
      <c r="BS22" s="62"/>
      <c r="BT22" s="62"/>
      <c r="BU22" s="143"/>
      <c r="BV22" s="143"/>
      <c r="BW22" s="143"/>
      <c r="BX22" s="143"/>
      <c r="BY22" s="143"/>
      <c r="BZ22" s="143"/>
      <c r="CA22" s="141"/>
      <c r="CB22" s="141"/>
      <c r="CC22" s="62">
        <f t="shared" si="18"/>
        <v>7</v>
      </c>
      <c r="CD22" s="62"/>
      <c r="CE22" s="123">
        <f>'PROY. INTER'!BY22</f>
        <v>0</v>
      </c>
      <c r="CF22" s="62">
        <f t="shared" si="19"/>
        <v>0</v>
      </c>
      <c r="CG22" s="62">
        <f t="shared" si="20"/>
        <v>0</v>
      </c>
      <c r="CH22" s="64">
        <f t="shared" si="21"/>
        <v>7</v>
      </c>
      <c r="CJ22" s="2"/>
      <c r="CL22" s="126">
        <v>11.0</v>
      </c>
      <c r="CM22" s="127" t="str">
        <f t="shared" ref="CM22:CN22" si="57">B22</f>
        <v/>
      </c>
      <c r="CN22" s="128" t="str">
        <f t="shared" si="57"/>
        <v>Espinoza Martinez Stefano Juliano</v>
      </c>
      <c r="CO22" s="129">
        <f t="shared" si="23"/>
        <v>10</v>
      </c>
      <c r="CP22" s="129">
        <f t="shared" si="24"/>
        <v>9.31</v>
      </c>
      <c r="CQ22" s="129">
        <f t="shared" si="25"/>
        <v>7</v>
      </c>
      <c r="CR22" s="130">
        <f t="shared" si="26"/>
        <v>8.77</v>
      </c>
      <c r="CS22" s="131" t="str">
        <f t="shared" si="27"/>
        <v>APROBADO</v>
      </c>
      <c r="CU22" s="2"/>
      <c r="CW22" s="132">
        <v>11.0</v>
      </c>
      <c r="CX22" s="133" t="str">
        <f t="shared" ref="CX22:CY22" si="58">B22</f>
        <v/>
      </c>
      <c r="CY22" s="134" t="str">
        <f t="shared" si="58"/>
        <v>Espinoza Martinez Stefano Juliano</v>
      </c>
      <c r="CZ22" s="135">
        <f t="shared" si="29"/>
        <v>8.77</v>
      </c>
      <c r="DA22" s="136"/>
      <c r="DB22" s="137">
        <f t="shared" si="30"/>
        <v>8.77</v>
      </c>
      <c r="DC22" s="138" t="str">
        <f t="shared" si="31"/>
        <v>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40"/>
      <c r="E23" s="140"/>
      <c r="F23" s="140"/>
      <c r="G23" s="140"/>
      <c r="H23" s="139">
        <v>7.0</v>
      </c>
      <c r="I23" s="139">
        <v>10.0</v>
      </c>
      <c r="J23" s="140"/>
      <c r="K23" s="140"/>
      <c r="L23" s="62"/>
      <c r="M23" s="62"/>
      <c r="N23" s="144">
        <v>10.0</v>
      </c>
      <c r="O23" s="143"/>
      <c r="P23" s="143"/>
      <c r="Q23" s="143"/>
      <c r="R23" s="143"/>
      <c r="S23" s="143"/>
      <c r="T23" s="141"/>
      <c r="U23" s="141"/>
      <c r="V23" s="62">
        <f t="shared" si="8"/>
        <v>6.3</v>
      </c>
      <c r="W23" s="121">
        <v>10.0</v>
      </c>
      <c r="X23" s="123">
        <f>'PROY. INTER'!W23</f>
        <v>7.2</v>
      </c>
      <c r="Y23" s="62">
        <f t="shared" si="9"/>
        <v>8.6</v>
      </c>
      <c r="Z23" s="62">
        <f t="shared" si="10"/>
        <v>2.58</v>
      </c>
      <c r="AA23" s="64">
        <f t="shared" si="11"/>
        <v>8.88</v>
      </c>
      <c r="AC23" s="2"/>
      <c r="AE23" s="56">
        <v>12.0</v>
      </c>
      <c r="AF23" s="65" t="str">
        <f t="shared" si="12"/>
        <v>Espinoza Morante Melany Ginger</v>
      </c>
      <c r="AG23" s="140"/>
      <c r="AH23" s="140"/>
      <c r="AI23" s="140"/>
      <c r="AJ23" s="140"/>
      <c r="AK23" s="139">
        <v>7.0</v>
      </c>
      <c r="AL23" s="139">
        <v>7.0</v>
      </c>
      <c r="AM23" s="140"/>
      <c r="AN23" s="140"/>
      <c r="AO23" s="62"/>
      <c r="AP23" s="62"/>
      <c r="AQ23" s="144">
        <v>7.0</v>
      </c>
      <c r="AR23" s="143"/>
      <c r="AS23" s="143"/>
      <c r="AT23" s="143"/>
      <c r="AU23" s="143"/>
      <c r="AV23" s="143"/>
      <c r="AW23" s="141"/>
      <c r="AX23" s="141"/>
      <c r="AY23" s="62">
        <f t="shared" si="13"/>
        <v>4.9</v>
      </c>
      <c r="AZ23" s="121">
        <v>7.0</v>
      </c>
      <c r="BA23" s="123">
        <f>'PROY. INTER'!AX23</f>
        <v>10</v>
      </c>
      <c r="BB23" s="62">
        <f t="shared" si="14"/>
        <v>8.5</v>
      </c>
      <c r="BC23" s="62">
        <f t="shared" si="15"/>
        <v>2.55</v>
      </c>
      <c r="BD23" s="242">
        <f t="shared" si="16"/>
        <v>7.45</v>
      </c>
      <c r="BF23" s="2"/>
      <c r="BH23" s="56">
        <v>12.0</v>
      </c>
      <c r="BI23" s="124" t="str">
        <f t="shared" ref="BI23:BJ23" si="59">B23</f>
        <v/>
      </c>
      <c r="BJ23" s="125" t="str">
        <f t="shared" si="59"/>
        <v>Espinoza Morante Melany Ginger</v>
      </c>
      <c r="BK23" s="140"/>
      <c r="BL23" s="139">
        <v>10.0</v>
      </c>
      <c r="BM23" s="140"/>
      <c r="BN23" s="140"/>
      <c r="BO23" s="139">
        <v>8.0</v>
      </c>
      <c r="BP23" s="139">
        <v>10.0</v>
      </c>
      <c r="BQ23" s="140"/>
      <c r="BR23" s="140"/>
      <c r="BS23" s="62"/>
      <c r="BT23" s="62"/>
      <c r="BU23" s="143"/>
      <c r="BV23" s="143"/>
      <c r="BW23" s="143"/>
      <c r="BX23" s="143"/>
      <c r="BY23" s="143"/>
      <c r="BZ23" s="143"/>
      <c r="CA23" s="141"/>
      <c r="CB23" s="141"/>
      <c r="CC23" s="62">
        <f t="shared" si="18"/>
        <v>6.531</v>
      </c>
      <c r="CD23" s="62"/>
      <c r="CE23" s="123">
        <f>'PROY. INTER'!BY23</f>
        <v>0</v>
      </c>
      <c r="CF23" s="62">
        <f t="shared" si="19"/>
        <v>0</v>
      </c>
      <c r="CG23" s="62">
        <f t="shared" si="20"/>
        <v>0</v>
      </c>
      <c r="CH23" s="64">
        <f t="shared" si="21"/>
        <v>6.53</v>
      </c>
      <c r="CJ23" s="2"/>
      <c r="CL23" s="126">
        <v>12.0</v>
      </c>
      <c r="CM23" s="127" t="str">
        <f t="shared" ref="CM23:CN23" si="60">B23</f>
        <v/>
      </c>
      <c r="CN23" s="128" t="str">
        <f t="shared" si="60"/>
        <v>Espinoza Morante Melany Ginger</v>
      </c>
      <c r="CO23" s="129">
        <f t="shared" si="23"/>
        <v>8.88</v>
      </c>
      <c r="CP23" s="129">
        <f t="shared" si="24"/>
        <v>7.45</v>
      </c>
      <c r="CQ23" s="129">
        <f t="shared" si="25"/>
        <v>6.53</v>
      </c>
      <c r="CR23" s="130">
        <f t="shared" si="26"/>
        <v>7.62</v>
      </c>
      <c r="CS23" s="131" t="str">
        <f t="shared" si="27"/>
        <v>APROBADO</v>
      </c>
      <c r="CU23" s="2"/>
      <c r="CW23" s="132">
        <v>12.0</v>
      </c>
      <c r="CX23" s="133" t="str">
        <f t="shared" ref="CX23:CY23" si="61">B23</f>
        <v/>
      </c>
      <c r="CY23" s="134" t="str">
        <f t="shared" si="61"/>
        <v>Espinoza Morante Melany Ginger</v>
      </c>
      <c r="CZ23" s="135">
        <f t="shared" si="29"/>
        <v>7.62</v>
      </c>
      <c r="DA23" s="136"/>
      <c r="DB23" s="137">
        <f t="shared" si="30"/>
        <v>7.62</v>
      </c>
      <c r="DC23" s="138" t="str">
        <f t="shared" si="31"/>
        <v>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40"/>
      <c r="E24" s="140"/>
      <c r="F24" s="140"/>
      <c r="G24" s="140"/>
      <c r="H24" s="139">
        <v>8.0</v>
      </c>
      <c r="I24" s="139">
        <v>10.0</v>
      </c>
      <c r="J24" s="140"/>
      <c r="K24" s="140"/>
      <c r="L24" s="62"/>
      <c r="M24" s="62"/>
      <c r="N24" s="144">
        <v>10.0</v>
      </c>
      <c r="O24" s="143"/>
      <c r="P24" s="143"/>
      <c r="Q24" s="143"/>
      <c r="R24" s="143"/>
      <c r="S24" s="143"/>
      <c r="T24" s="141"/>
      <c r="U24" s="141"/>
      <c r="V24" s="62">
        <f t="shared" si="8"/>
        <v>6.531</v>
      </c>
      <c r="W24" s="121">
        <v>10.0</v>
      </c>
      <c r="X24" s="123">
        <f>'PROY. INTER'!W24</f>
        <v>9</v>
      </c>
      <c r="Y24" s="62">
        <f t="shared" si="9"/>
        <v>9.5</v>
      </c>
      <c r="Z24" s="62">
        <f t="shared" si="10"/>
        <v>2.85</v>
      </c>
      <c r="AA24" s="64">
        <f t="shared" si="11"/>
        <v>9.38</v>
      </c>
      <c r="AC24" s="2"/>
      <c r="AE24" s="56">
        <v>13.0</v>
      </c>
      <c r="AF24" s="65" t="str">
        <f t="shared" si="12"/>
        <v>Garrido franco Génesis Lissette</v>
      </c>
      <c r="AG24" s="140"/>
      <c r="AH24" s="140"/>
      <c r="AI24" s="140"/>
      <c r="AJ24" s="140"/>
      <c r="AK24" s="139">
        <v>7.0</v>
      </c>
      <c r="AL24" s="139">
        <v>7.0</v>
      </c>
      <c r="AM24" s="140"/>
      <c r="AN24" s="140"/>
      <c r="AO24" s="62"/>
      <c r="AP24" s="62"/>
      <c r="AQ24" s="144">
        <v>10.0</v>
      </c>
      <c r="AR24" s="143"/>
      <c r="AS24" s="143"/>
      <c r="AT24" s="143"/>
      <c r="AU24" s="143"/>
      <c r="AV24" s="143"/>
      <c r="AW24" s="141"/>
      <c r="AX24" s="141"/>
      <c r="AY24" s="62">
        <f t="shared" si="13"/>
        <v>5.6</v>
      </c>
      <c r="AZ24" s="121">
        <v>7.0</v>
      </c>
      <c r="BA24" s="123">
        <f>'PROY. INTER'!AX24</f>
        <v>10</v>
      </c>
      <c r="BB24" s="62">
        <f t="shared" si="14"/>
        <v>8.5</v>
      </c>
      <c r="BC24" s="62">
        <f t="shared" si="15"/>
        <v>2.55</v>
      </c>
      <c r="BD24" s="64">
        <f t="shared" si="16"/>
        <v>8.15</v>
      </c>
      <c r="BF24" s="2"/>
      <c r="BH24" s="56">
        <v>13.0</v>
      </c>
      <c r="BI24" s="124" t="str">
        <f t="shared" ref="BI24:BJ24" si="62">B24</f>
        <v/>
      </c>
      <c r="BJ24" s="125" t="str">
        <f t="shared" si="62"/>
        <v>Garrido franco Génesis Lissette</v>
      </c>
      <c r="BK24" s="140"/>
      <c r="BL24" s="139">
        <v>10.0</v>
      </c>
      <c r="BM24" s="140"/>
      <c r="BN24" s="140"/>
      <c r="BO24" s="139">
        <v>10.0</v>
      </c>
      <c r="BP24" s="139">
        <v>10.0</v>
      </c>
      <c r="BQ24" s="140"/>
      <c r="BR24" s="140"/>
      <c r="BS24" s="62"/>
      <c r="BT24" s="62"/>
      <c r="BU24" s="143"/>
      <c r="BV24" s="143"/>
      <c r="BW24" s="143"/>
      <c r="BX24" s="143"/>
      <c r="BY24" s="143"/>
      <c r="BZ24" s="143"/>
      <c r="CA24" s="141"/>
      <c r="CB24" s="141"/>
      <c r="CC24" s="62">
        <f t="shared" si="18"/>
        <v>7</v>
      </c>
      <c r="CD24" s="62"/>
      <c r="CE24" s="123">
        <f>'PROY. INTER'!BY24</f>
        <v>0</v>
      </c>
      <c r="CF24" s="62">
        <f t="shared" si="19"/>
        <v>0</v>
      </c>
      <c r="CG24" s="62">
        <f t="shared" si="20"/>
        <v>0</v>
      </c>
      <c r="CH24" s="64">
        <f t="shared" si="21"/>
        <v>7</v>
      </c>
      <c r="CJ24" s="2"/>
      <c r="CL24" s="126">
        <v>13.0</v>
      </c>
      <c r="CM24" s="127" t="str">
        <f t="shared" ref="CM24:CN24" si="63">B24</f>
        <v/>
      </c>
      <c r="CN24" s="128" t="str">
        <f t="shared" si="63"/>
        <v>Garrido franco Génesis Lissette</v>
      </c>
      <c r="CO24" s="129">
        <f t="shared" si="23"/>
        <v>9.38</v>
      </c>
      <c r="CP24" s="129">
        <f t="shared" si="24"/>
        <v>8.15</v>
      </c>
      <c r="CQ24" s="129">
        <f t="shared" si="25"/>
        <v>7</v>
      </c>
      <c r="CR24" s="130">
        <f t="shared" si="26"/>
        <v>8.17</v>
      </c>
      <c r="CS24" s="131" t="str">
        <f t="shared" si="27"/>
        <v>APROBADO</v>
      </c>
      <c r="CU24" s="2"/>
      <c r="CW24" s="132">
        <v>13.0</v>
      </c>
      <c r="CX24" s="133" t="str">
        <f t="shared" ref="CX24:CY24" si="64">B24</f>
        <v/>
      </c>
      <c r="CY24" s="134" t="str">
        <f t="shared" si="64"/>
        <v>Garrido franco Génesis Lissette</v>
      </c>
      <c r="CZ24" s="135">
        <f t="shared" si="29"/>
        <v>8.17</v>
      </c>
      <c r="DA24" s="136"/>
      <c r="DB24" s="137">
        <f t="shared" si="30"/>
        <v>8.17</v>
      </c>
      <c r="DC24" s="138" t="str">
        <f t="shared" si="31"/>
        <v>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40"/>
      <c r="E25" s="140"/>
      <c r="F25" s="140"/>
      <c r="G25" s="140"/>
      <c r="H25" s="139">
        <v>5.0</v>
      </c>
      <c r="I25" s="139">
        <v>5.0</v>
      </c>
      <c r="J25" s="140"/>
      <c r="K25" s="140"/>
      <c r="L25" s="62"/>
      <c r="M25" s="62"/>
      <c r="N25" s="144">
        <v>5.0</v>
      </c>
      <c r="O25" s="143"/>
      <c r="P25" s="143"/>
      <c r="Q25" s="143"/>
      <c r="R25" s="143"/>
      <c r="S25" s="143"/>
      <c r="T25" s="141"/>
      <c r="U25" s="141"/>
      <c r="V25" s="62">
        <f t="shared" si="8"/>
        <v>3.5</v>
      </c>
      <c r="W25" s="121">
        <v>10.0</v>
      </c>
      <c r="X25" s="123">
        <f>'PROY. INTER'!W25</f>
        <v>6</v>
      </c>
      <c r="Y25" s="62">
        <f t="shared" si="9"/>
        <v>8</v>
      </c>
      <c r="Z25" s="62">
        <f t="shared" si="10"/>
        <v>2.4</v>
      </c>
      <c r="AA25" s="64">
        <f t="shared" si="11"/>
        <v>5.9</v>
      </c>
      <c r="AC25" s="2"/>
      <c r="AE25" s="56">
        <v>14.0</v>
      </c>
      <c r="AF25" s="65" t="str">
        <f t="shared" si="12"/>
        <v>Gonzalez Gonzalez Jean Carlos</v>
      </c>
      <c r="AG25" s="140"/>
      <c r="AH25" s="140"/>
      <c r="AI25" s="140"/>
      <c r="AJ25" s="140"/>
      <c r="AK25" s="139">
        <v>7.0</v>
      </c>
      <c r="AL25" s="139">
        <v>7.0</v>
      </c>
      <c r="AM25" s="140"/>
      <c r="AN25" s="140"/>
      <c r="AO25" s="62"/>
      <c r="AP25" s="62"/>
      <c r="AQ25" s="144">
        <v>7.0</v>
      </c>
      <c r="AR25" s="143"/>
      <c r="AS25" s="143"/>
      <c r="AT25" s="143"/>
      <c r="AU25" s="143"/>
      <c r="AV25" s="143"/>
      <c r="AW25" s="141"/>
      <c r="AX25" s="141"/>
      <c r="AY25" s="62">
        <f t="shared" si="13"/>
        <v>4.9</v>
      </c>
      <c r="AZ25" s="121">
        <v>7.0</v>
      </c>
      <c r="BA25" s="123">
        <f>'PROY. INTER'!AX25</f>
        <v>10</v>
      </c>
      <c r="BB25" s="62">
        <f t="shared" si="14"/>
        <v>8.5</v>
      </c>
      <c r="BC25" s="62">
        <f t="shared" si="15"/>
        <v>2.55</v>
      </c>
      <c r="BD25" s="242">
        <f t="shared" si="16"/>
        <v>7.45</v>
      </c>
      <c r="BF25" s="2"/>
      <c r="BH25" s="56">
        <v>14.0</v>
      </c>
      <c r="BI25" s="124" t="str">
        <f t="shared" ref="BI25:BJ25" si="65">B25</f>
        <v/>
      </c>
      <c r="BJ25" s="241" t="str">
        <f t="shared" si="65"/>
        <v>Gonzalez Gonzalez Jean Carlos</v>
      </c>
      <c r="BK25" s="140"/>
      <c r="BL25" s="140"/>
      <c r="BM25" s="140"/>
      <c r="BN25" s="140"/>
      <c r="BO25" s="140"/>
      <c r="BP25" s="140"/>
      <c r="BQ25" s="140"/>
      <c r="BR25" s="140"/>
      <c r="BS25" s="62"/>
      <c r="BT25" s="62"/>
      <c r="BU25" s="143"/>
      <c r="BV25" s="143"/>
      <c r="BW25" s="143"/>
      <c r="BX25" s="143"/>
      <c r="BY25" s="143"/>
      <c r="BZ25" s="143"/>
      <c r="CA25" s="141"/>
      <c r="CB25" s="141"/>
      <c r="CC25" s="62">
        <f t="shared" si="18"/>
        <v>0</v>
      </c>
      <c r="CD25" s="62"/>
      <c r="CE25" s="123">
        <f>'PROY. INTER'!BY25</f>
        <v>0</v>
      </c>
      <c r="CF25" s="62">
        <f t="shared" si="19"/>
        <v>0</v>
      </c>
      <c r="CG25" s="62">
        <f t="shared" si="20"/>
        <v>0</v>
      </c>
      <c r="CH25" s="64">
        <f t="shared" si="21"/>
        <v>0</v>
      </c>
      <c r="CJ25" s="2"/>
      <c r="CL25" s="126">
        <v>14.0</v>
      </c>
      <c r="CM25" s="127" t="str">
        <f t="shared" ref="CM25:CN25" si="66">B25</f>
        <v/>
      </c>
      <c r="CN25" s="128" t="str">
        <f t="shared" si="66"/>
        <v>Gonzalez Gonzalez Jean Carlos</v>
      </c>
      <c r="CO25" s="129">
        <f t="shared" si="23"/>
        <v>5.9</v>
      </c>
      <c r="CP25" s="129">
        <f t="shared" si="24"/>
        <v>7.45</v>
      </c>
      <c r="CQ25" s="129">
        <f t="shared" si="25"/>
        <v>0</v>
      </c>
      <c r="CR25" s="130">
        <f t="shared" si="26"/>
        <v>4.45</v>
      </c>
      <c r="CS25" s="131" t="str">
        <f t="shared" si="27"/>
        <v>REPROBADO</v>
      </c>
      <c r="CU25" s="2"/>
      <c r="CW25" s="132">
        <v>14.0</v>
      </c>
      <c r="CX25" s="133" t="str">
        <f t="shared" ref="CX25:CY25" si="67">B25</f>
        <v/>
      </c>
      <c r="CY25" s="134" t="str">
        <f t="shared" si="67"/>
        <v>Gonzalez Gonzalez Jean Carlos</v>
      </c>
      <c r="CZ25" s="135">
        <f t="shared" si="29"/>
        <v>4.45</v>
      </c>
      <c r="DA25" s="136"/>
      <c r="DB25" s="137">
        <f t="shared" si="30"/>
        <v>4.45</v>
      </c>
      <c r="DC25" s="138" t="str">
        <f t="shared" si="31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40"/>
      <c r="E26" s="140"/>
      <c r="F26" s="140"/>
      <c r="G26" s="140"/>
      <c r="H26" s="139">
        <v>8.0</v>
      </c>
      <c r="I26" s="139">
        <v>8.0</v>
      </c>
      <c r="J26" s="140"/>
      <c r="K26" s="140"/>
      <c r="L26" s="62"/>
      <c r="M26" s="62"/>
      <c r="N26" s="144">
        <v>10.0</v>
      </c>
      <c r="O26" s="143"/>
      <c r="P26" s="143"/>
      <c r="Q26" s="143"/>
      <c r="R26" s="143"/>
      <c r="S26" s="143"/>
      <c r="T26" s="141"/>
      <c r="U26" s="141"/>
      <c r="V26" s="62">
        <f t="shared" si="8"/>
        <v>6.062</v>
      </c>
      <c r="W26" s="121">
        <v>10.0</v>
      </c>
      <c r="X26" s="123">
        <f>'PROY. INTER'!W26</f>
        <v>7.73</v>
      </c>
      <c r="Y26" s="62">
        <f t="shared" si="9"/>
        <v>8.865</v>
      </c>
      <c r="Z26" s="62">
        <f t="shared" si="10"/>
        <v>2.6595</v>
      </c>
      <c r="AA26" s="64">
        <f t="shared" si="11"/>
        <v>8.72</v>
      </c>
      <c r="AC26" s="2"/>
      <c r="AE26" s="56">
        <v>15.0</v>
      </c>
      <c r="AF26" s="65" t="str">
        <f t="shared" si="12"/>
        <v>Guevara Benites Jean Pierre</v>
      </c>
      <c r="AG26" s="140"/>
      <c r="AH26" s="140"/>
      <c r="AI26" s="140"/>
      <c r="AJ26" s="140"/>
      <c r="AK26" s="139">
        <v>8.5</v>
      </c>
      <c r="AL26" s="139">
        <v>7.0</v>
      </c>
      <c r="AM26" s="140"/>
      <c r="AN26" s="140"/>
      <c r="AO26" s="62"/>
      <c r="AP26" s="62"/>
      <c r="AQ26" s="144">
        <v>10.0</v>
      </c>
      <c r="AR26" s="143"/>
      <c r="AS26" s="143"/>
      <c r="AT26" s="143"/>
      <c r="AU26" s="143"/>
      <c r="AV26" s="143"/>
      <c r="AW26" s="141"/>
      <c r="AX26" s="141"/>
      <c r="AY26" s="62">
        <f t="shared" si="13"/>
        <v>5.95</v>
      </c>
      <c r="AZ26" s="121">
        <v>7.0</v>
      </c>
      <c r="BA26" s="123">
        <f>'PROY. INTER'!AX26</f>
        <v>10</v>
      </c>
      <c r="BB26" s="62">
        <f t="shared" si="14"/>
        <v>8.5</v>
      </c>
      <c r="BC26" s="62">
        <f t="shared" si="15"/>
        <v>2.55</v>
      </c>
      <c r="BD26" s="64">
        <f t="shared" si="16"/>
        <v>8.5</v>
      </c>
      <c r="BF26" s="2"/>
      <c r="BH26" s="56">
        <v>15.0</v>
      </c>
      <c r="BI26" s="124" t="str">
        <f t="shared" ref="BI26:BJ26" si="68">B26</f>
        <v/>
      </c>
      <c r="BJ26" s="125" t="str">
        <f t="shared" si="68"/>
        <v>Guevara Benites Jean Pierre</v>
      </c>
      <c r="BK26" s="140"/>
      <c r="BL26" s="139">
        <v>10.0</v>
      </c>
      <c r="BM26" s="140"/>
      <c r="BN26" s="140"/>
      <c r="BO26" s="139">
        <v>10.0</v>
      </c>
      <c r="BP26" s="139">
        <v>10.0</v>
      </c>
      <c r="BQ26" s="140"/>
      <c r="BR26" s="140"/>
      <c r="BS26" s="62"/>
      <c r="BT26" s="62"/>
      <c r="BU26" s="143"/>
      <c r="BV26" s="143"/>
      <c r="BW26" s="143"/>
      <c r="BX26" s="143"/>
      <c r="BY26" s="143"/>
      <c r="BZ26" s="143"/>
      <c r="CA26" s="141"/>
      <c r="CB26" s="141"/>
      <c r="CC26" s="62">
        <f t="shared" si="18"/>
        <v>7</v>
      </c>
      <c r="CD26" s="62"/>
      <c r="CE26" s="123">
        <f>'PROY. INTER'!BY26</f>
        <v>0</v>
      </c>
      <c r="CF26" s="62">
        <f t="shared" si="19"/>
        <v>0</v>
      </c>
      <c r="CG26" s="62">
        <f t="shared" si="20"/>
        <v>0</v>
      </c>
      <c r="CH26" s="64">
        <f t="shared" si="21"/>
        <v>7</v>
      </c>
      <c r="CJ26" s="2"/>
      <c r="CL26" s="126">
        <v>15.0</v>
      </c>
      <c r="CM26" s="127" t="str">
        <f t="shared" ref="CM26:CN26" si="69">B26</f>
        <v/>
      </c>
      <c r="CN26" s="128" t="str">
        <f t="shared" si="69"/>
        <v>Guevara Benites Jean Pierre</v>
      </c>
      <c r="CO26" s="129">
        <f t="shared" si="23"/>
        <v>8.72</v>
      </c>
      <c r="CP26" s="129">
        <f t="shared" si="24"/>
        <v>8.5</v>
      </c>
      <c r="CQ26" s="129">
        <f t="shared" si="25"/>
        <v>7</v>
      </c>
      <c r="CR26" s="130">
        <f t="shared" si="26"/>
        <v>8.07</v>
      </c>
      <c r="CS26" s="131" t="str">
        <f t="shared" si="27"/>
        <v>APROBADO</v>
      </c>
      <c r="CU26" s="2"/>
      <c r="CW26" s="132">
        <v>15.0</v>
      </c>
      <c r="CX26" s="133" t="str">
        <f t="shared" ref="CX26:CY26" si="70">B26</f>
        <v/>
      </c>
      <c r="CY26" s="134" t="str">
        <f t="shared" si="70"/>
        <v>Guevara Benites Jean Pierre</v>
      </c>
      <c r="CZ26" s="135">
        <f t="shared" si="29"/>
        <v>8.07</v>
      </c>
      <c r="DA26" s="136"/>
      <c r="DB26" s="137">
        <f t="shared" si="30"/>
        <v>8.07</v>
      </c>
      <c r="DC26" s="138" t="str">
        <f t="shared" si="31"/>
        <v>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40"/>
      <c r="E27" s="140"/>
      <c r="F27" s="140"/>
      <c r="G27" s="140"/>
      <c r="H27" s="139">
        <v>5.0</v>
      </c>
      <c r="I27" s="139">
        <v>10.0</v>
      </c>
      <c r="J27" s="140"/>
      <c r="K27" s="140"/>
      <c r="L27" s="62"/>
      <c r="M27" s="62"/>
      <c r="N27" s="144">
        <v>5.0</v>
      </c>
      <c r="O27" s="143"/>
      <c r="P27" s="143"/>
      <c r="Q27" s="143"/>
      <c r="R27" s="143"/>
      <c r="S27" s="143"/>
      <c r="T27" s="141"/>
      <c r="U27" s="141"/>
      <c r="V27" s="62">
        <f t="shared" si="8"/>
        <v>4.662</v>
      </c>
      <c r="W27" s="121">
        <v>10.0</v>
      </c>
      <c r="X27" s="123">
        <f>'PROY. INTER'!W27</f>
        <v>6</v>
      </c>
      <c r="Y27" s="62">
        <f t="shared" si="9"/>
        <v>8</v>
      </c>
      <c r="Z27" s="62">
        <f t="shared" si="10"/>
        <v>2.4</v>
      </c>
      <c r="AA27" s="64">
        <f t="shared" si="11"/>
        <v>7.06</v>
      </c>
      <c r="AC27" s="2"/>
      <c r="AE27" s="56">
        <v>16.0</v>
      </c>
      <c r="AF27" s="65" t="str">
        <f t="shared" si="12"/>
        <v>Mero Carcamo Adriana Carolina</v>
      </c>
      <c r="AG27" s="140"/>
      <c r="AH27" s="140"/>
      <c r="AI27" s="140"/>
      <c r="AJ27" s="140"/>
      <c r="AK27" s="139">
        <v>7.5</v>
      </c>
      <c r="AL27" s="139">
        <v>7.0</v>
      </c>
      <c r="AM27" s="140"/>
      <c r="AN27" s="140"/>
      <c r="AO27" s="62"/>
      <c r="AP27" s="62"/>
      <c r="AQ27" s="144">
        <v>10.0</v>
      </c>
      <c r="AR27" s="143"/>
      <c r="AS27" s="143"/>
      <c r="AT27" s="143"/>
      <c r="AU27" s="143"/>
      <c r="AV27" s="143"/>
      <c r="AW27" s="141"/>
      <c r="AX27" s="141"/>
      <c r="AY27" s="62">
        <f t="shared" si="13"/>
        <v>5.712</v>
      </c>
      <c r="AZ27" s="121">
        <v>7.0</v>
      </c>
      <c r="BA27" s="123">
        <f>'PROY. INTER'!AX27</f>
        <v>2</v>
      </c>
      <c r="BB27" s="62">
        <f t="shared" si="14"/>
        <v>4.5</v>
      </c>
      <c r="BC27" s="62">
        <f t="shared" si="15"/>
        <v>1.35</v>
      </c>
      <c r="BD27" s="64">
        <f t="shared" si="16"/>
        <v>7.06</v>
      </c>
      <c r="BF27" s="2"/>
      <c r="BH27" s="56">
        <v>16.0</v>
      </c>
      <c r="BI27" s="124" t="str">
        <f t="shared" ref="BI27:BJ27" si="71">B27</f>
        <v/>
      </c>
      <c r="BJ27" s="125" t="str">
        <f t="shared" si="71"/>
        <v>Mero Carcamo Adriana Carolina</v>
      </c>
      <c r="BK27" s="140"/>
      <c r="BL27" s="139">
        <v>10.0</v>
      </c>
      <c r="BM27" s="140"/>
      <c r="BN27" s="140"/>
      <c r="BO27" s="139">
        <v>10.0</v>
      </c>
      <c r="BP27" s="139">
        <v>10.0</v>
      </c>
      <c r="BQ27" s="140"/>
      <c r="BR27" s="140"/>
      <c r="BS27" s="62"/>
      <c r="BT27" s="62"/>
      <c r="BU27" s="143"/>
      <c r="BV27" s="143"/>
      <c r="BW27" s="143"/>
      <c r="BX27" s="143"/>
      <c r="BY27" s="143"/>
      <c r="BZ27" s="143"/>
      <c r="CA27" s="141"/>
      <c r="CB27" s="141"/>
      <c r="CC27" s="62">
        <f t="shared" si="18"/>
        <v>7</v>
      </c>
      <c r="CD27" s="62"/>
      <c r="CE27" s="123">
        <f>'PROY. INTER'!BY27</f>
        <v>0</v>
      </c>
      <c r="CF27" s="62">
        <f t="shared" si="19"/>
        <v>0</v>
      </c>
      <c r="CG27" s="62">
        <f t="shared" si="20"/>
        <v>0</v>
      </c>
      <c r="CH27" s="64">
        <f t="shared" si="21"/>
        <v>7</v>
      </c>
      <c r="CJ27" s="2"/>
      <c r="CL27" s="126">
        <v>16.0</v>
      </c>
      <c r="CM27" s="127" t="str">
        <f t="shared" ref="CM27:CN27" si="72">B27</f>
        <v/>
      </c>
      <c r="CN27" s="128" t="str">
        <f t="shared" si="72"/>
        <v>Mero Carcamo Adriana Carolina</v>
      </c>
      <c r="CO27" s="129">
        <f t="shared" si="23"/>
        <v>7.06</v>
      </c>
      <c r="CP27" s="129">
        <f t="shared" si="24"/>
        <v>7.06</v>
      </c>
      <c r="CQ27" s="129">
        <f t="shared" si="25"/>
        <v>7</v>
      </c>
      <c r="CR27" s="130">
        <f t="shared" si="26"/>
        <v>7.04</v>
      </c>
      <c r="CS27" s="131" t="str">
        <f t="shared" si="27"/>
        <v>APROBADO</v>
      </c>
      <c r="CU27" s="2"/>
      <c r="CW27" s="132">
        <v>16.0</v>
      </c>
      <c r="CX27" s="133" t="str">
        <f t="shared" ref="CX27:CY27" si="73">B27</f>
        <v/>
      </c>
      <c r="CY27" s="134" t="str">
        <f t="shared" si="73"/>
        <v>Mero Carcamo Adriana Carolina</v>
      </c>
      <c r="CZ27" s="135">
        <f t="shared" si="29"/>
        <v>7.04</v>
      </c>
      <c r="DA27" s="136"/>
      <c r="DB27" s="137">
        <f t="shared" si="30"/>
        <v>7.04</v>
      </c>
      <c r="DC27" s="138" t="str">
        <f t="shared" si="31"/>
        <v>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40"/>
      <c r="E28" s="140"/>
      <c r="F28" s="140"/>
      <c r="G28" s="140"/>
      <c r="H28" s="139">
        <v>9.0</v>
      </c>
      <c r="I28" s="139">
        <v>10.0</v>
      </c>
      <c r="J28" s="140"/>
      <c r="K28" s="140"/>
      <c r="L28" s="62"/>
      <c r="M28" s="62"/>
      <c r="N28" s="144">
        <v>10.0</v>
      </c>
      <c r="O28" s="143"/>
      <c r="P28" s="143"/>
      <c r="Q28" s="143"/>
      <c r="R28" s="143"/>
      <c r="S28" s="143"/>
      <c r="T28" s="141"/>
      <c r="U28" s="141"/>
      <c r="V28" s="62">
        <f t="shared" si="8"/>
        <v>6.762</v>
      </c>
      <c r="W28" s="121">
        <v>10.0</v>
      </c>
      <c r="X28" s="123">
        <f>'PROY. INTER'!W28</f>
        <v>9.73</v>
      </c>
      <c r="Y28" s="62">
        <f t="shared" si="9"/>
        <v>9.865</v>
      </c>
      <c r="Z28" s="62">
        <f t="shared" si="10"/>
        <v>2.9595</v>
      </c>
      <c r="AA28" s="64">
        <f t="shared" si="11"/>
        <v>9.72</v>
      </c>
      <c r="AC28" s="2"/>
      <c r="AE28" s="56">
        <v>17.0</v>
      </c>
      <c r="AF28" s="65" t="str">
        <f t="shared" si="12"/>
        <v>Moreira Villamar Darwin Matias</v>
      </c>
      <c r="AG28" s="140"/>
      <c r="AH28" s="140"/>
      <c r="AI28" s="140"/>
      <c r="AJ28" s="140"/>
      <c r="AK28" s="139">
        <v>8.5</v>
      </c>
      <c r="AL28" s="139">
        <v>10.0</v>
      </c>
      <c r="AM28" s="140"/>
      <c r="AN28" s="140"/>
      <c r="AO28" s="62"/>
      <c r="AP28" s="62"/>
      <c r="AQ28" s="144">
        <v>10.0</v>
      </c>
      <c r="AR28" s="143"/>
      <c r="AS28" s="143"/>
      <c r="AT28" s="143"/>
      <c r="AU28" s="143"/>
      <c r="AV28" s="143"/>
      <c r="AW28" s="141"/>
      <c r="AX28" s="141"/>
      <c r="AY28" s="62">
        <f t="shared" si="13"/>
        <v>6.65</v>
      </c>
      <c r="AZ28" s="121">
        <v>7.0</v>
      </c>
      <c r="BA28" s="123">
        <f>'PROY. INTER'!AX28</f>
        <v>10</v>
      </c>
      <c r="BB28" s="62">
        <f t="shared" si="14"/>
        <v>8.5</v>
      </c>
      <c r="BC28" s="62">
        <f t="shared" si="15"/>
        <v>2.55</v>
      </c>
      <c r="BD28" s="64">
        <f t="shared" si="16"/>
        <v>9.2</v>
      </c>
      <c r="BF28" s="2"/>
      <c r="BH28" s="56">
        <v>17.0</v>
      </c>
      <c r="BI28" s="124" t="str">
        <f t="shared" ref="BI28:BJ28" si="74">B28</f>
        <v/>
      </c>
      <c r="BJ28" s="125" t="str">
        <f t="shared" si="74"/>
        <v>Moreira Villamar Darwin Matias</v>
      </c>
      <c r="BK28" s="140"/>
      <c r="BL28" s="139">
        <v>10.0</v>
      </c>
      <c r="BM28" s="140"/>
      <c r="BN28" s="140"/>
      <c r="BO28" s="139">
        <v>10.0</v>
      </c>
      <c r="BP28" s="139">
        <v>10.0</v>
      </c>
      <c r="BQ28" s="140"/>
      <c r="BR28" s="140"/>
      <c r="BS28" s="62"/>
      <c r="BT28" s="62"/>
      <c r="BU28" s="143"/>
      <c r="BV28" s="143"/>
      <c r="BW28" s="143"/>
      <c r="BX28" s="143"/>
      <c r="BY28" s="143"/>
      <c r="BZ28" s="143"/>
      <c r="CA28" s="141"/>
      <c r="CB28" s="141"/>
      <c r="CC28" s="62">
        <f t="shared" si="18"/>
        <v>7</v>
      </c>
      <c r="CD28" s="62"/>
      <c r="CE28" s="123">
        <f>'PROY. INTER'!BY28</f>
        <v>0</v>
      </c>
      <c r="CF28" s="62">
        <f t="shared" si="19"/>
        <v>0</v>
      </c>
      <c r="CG28" s="62">
        <f t="shared" si="20"/>
        <v>0</v>
      </c>
      <c r="CH28" s="64">
        <f t="shared" si="21"/>
        <v>7</v>
      </c>
      <c r="CJ28" s="2"/>
      <c r="CL28" s="126">
        <v>17.0</v>
      </c>
      <c r="CM28" s="127" t="str">
        <f t="shared" ref="CM28:CN28" si="75">B28</f>
        <v/>
      </c>
      <c r="CN28" s="128" t="str">
        <f t="shared" si="75"/>
        <v>Moreira Villamar Darwin Matias</v>
      </c>
      <c r="CO28" s="129">
        <f t="shared" si="23"/>
        <v>9.72</v>
      </c>
      <c r="CP28" s="129">
        <f t="shared" si="24"/>
        <v>9.2</v>
      </c>
      <c r="CQ28" s="129">
        <f t="shared" si="25"/>
        <v>7</v>
      </c>
      <c r="CR28" s="130">
        <f t="shared" si="26"/>
        <v>8.64</v>
      </c>
      <c r="CS28" s="131" t="str">
        <f t="shared" si="27"/>
        <v>APROBADO</v>
      </c>
      <c r="CU28" s="2"/>
      <c r="CW28" s="132">
        <v>17.0</v>
      </c>
      <c r="CX28" s="133" t="str">
        <f t="shared" ref="CX28:CY28" si="76">B28</f>
        <v/>
      </c>
      <c r="CY28" s="134" t="str">
        <f t="shared" si="76"/>
        <v>Moreira Villamar Darwin Matias</v>
      </c>
      <c r="CZ28" s="135">
        <f t="shared" si="29"/>
        <v>8.64</v>
      </c>
      <c r="DA28" s="136"/>
      <c r="DB28" s="137">
        <f t="shared" si="30"/>
        <v>8.64</v>
      </c>
      <c r="DC28" s="138" t="str">
        <f t="shared" si="31"/>
        <v>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40"/>
      <c r="E29" s="140"/>
      <c r="F29" s="140"/>
      <c r="G29" s="140"/>
      <c r="H29" s="139">
        <v>8.0</v>
      </c>
      <c r="I29" s="139">
        <v>10.0</v>
      </c>
      <c r="J29" s="140"/>
      <c r="K29" s="140"/>
      <c r="L29" s="62"/>
      <c r="M29" s="62"/>
      <c r="N29" s="144">
        <v>10.0</v>
      </c>
      <c r="O29" s="143"/>
      <c r="P29" s="143"/>
      <c r="Q29" s="143"/>
      <c r="R29" s="143"/>
      <c r="S29" s="143"/>
      <c r="T29" s="141"/>
      <c r="U29" s="141"/>
      <c r="V29" s="62">
        <f t="shared" si="8"/>
        <v>6.531</v>
      </c>
      <c r="W29" s="121">
        <v>10.0</v>
      </c>
      <c r="X29" s="123">
        <f>'PROY. INTER'!W29</f>
        <v>9.2</v>
      </c>
      <c r="Y29" s="62">
        <f t="shared" si="9"/>
        <v>9.6</v>
      </c>
      <c r="Z29" s="62">
        <f t="shared" si="10"/>
        <v>2.88</v>
      </c>
      <c r="AA29" s="64">
        <f t="shared" si="11"/>
        <v>9.41</v>
      </c>
      <c r="AC29" s="2"/>
      <c r="AE29" s="56">
        <v>18.0</v>
      </c>
      <c r="AF29" s="65" t="str">
        <f t="shared" si="12"/>
        <v>Peña Macias Enrique Alexander</v>
      </c>
      <c r="AG29" s="140"/>
      <c r="AH29" s="140"/>
      <c r="AI29" s="140"/>
      <c r="AJ29" s="140"/>
      <c r="AK29" s="139">
        <v>9.0</v>
      </c>
      <c r="AL29" s="139">
        <v>10.0</v>
      </c>
      <c r="AM29" s="140"/>
      <c r="AN29" s="140"/>
      <c r="AO29" s="62"/>
      <c r="AP29" s="62"/>
      <c r="AQ29" s="144">
        <v>10.0</v>
      </c>
      <c r="AR29" s="143"/>
      <c r="AS29" s="143"/>
      <c r="AT29" s="143"/>
      <c r="AU29" s="143"/>
      <c r="AV29" s="143"/>
      <c r="AW29" s="141"/>
      <c r="AX29" s="141"/>
      <c r="AY29" s="62">
        <f t="shared" si="13"/>
        <v>6.762</v>
      </c>
      <c r="AZ29" s="121">
        <v>7.0</v>
      </c>
      <c r="BA29" s="123">
        <f>'PROY. INTER'!AX29</f>
        <v>10</v>
      </c>
      <c r="BB29" s="62">
        <f t="shared" si="14"/>
        <v>8.5</v>
      </c>
      <c r="BC29" s="62">
        <f t="shared" si="15"/>
        <v>2.55</v>
      </c>
      <c r="BD29" s="64">
        <f t="shared" si="16"/>
        <v>9.31</v>
      </c>
      <c r="BF29" s="2"/>
      <c r="BH29" s="56">
        <v>18.0</v>
      </c>
      <c r="BI29" s="124" t="str">
        <f t="shared" ref="BI29:BJ29" si="77">B29</f>
        <v/>
      </c>
      <c r="BJ29" s="125" t="str">
        <f t="shared" si="77"/>
        <v>Peña Macias Enrique Alexander</v>
      </c>
      <c r="BK29" s="140"/>
      <c r="BL29" s="139">
        <v>10.0</v>
      </c>
      <c r="BM29" s="140"/>
      <c r="BN29" s="140"/>
      <c r="BO29" s="139">
        <v>10.0</v>
      </c>
      <c r="BP29" s="139">
        <v>10.0</v>
      </c>
      <c r="BQ29" s="140"/>
      <c r="BR29" s="140"/>
      <c r="BS29" s="62"/>
      <c r="BT29" s="62"/>
      <c r="BU29" s="143"/>
      <c r="BV29" s="143"/>
      <c r="BW29" s="143"/>
      <c r="BX29" s="143"/>
      <c r="BY29" s="143"/>
      <c r="BZ29" s="143"/>
      <c r="CA29" s="141"/>
      <c r="CB29" s="141"/>
      <c r="CC29" s="62">
        <f t="shared" si="18"/>
        <v>7</v>
      </c>
      <c r="CD29" s="62"/>
      <c r="CE29" s="123">
        <f>'PROY. INTER'!BY29</f>
        <v>0</v>
      </c>
      <c r="CF29" s="62">
        <f t="shared" si="19"/>
        <v>0</v>
      </c>
      <c r="CG29" s="62">
        <f t="shared" si="20"/>
        <v>0</v>
      </c>
      <c r="CH29" s="64">
        <f t="shared" si="21"/>
        <v>7</v>
      </c>
      <c r="CJ29" s="2"/>
      <c r="CL29" s="126">
        <v>18.0</v>
      </c>
      <c r="CM29" s="127" t="str">
        <f t="shared" ref="CM29:CN29" si="78">B29</f>
        <v/>
      </c>
      <c r="CN29" s="128" t="str">
        <f t="shared" si="78"/>
        <v>Peña Macias Enrique Alexander</v>
      </c>
      <c r="CO29" s="129">
        <f t="shared" si="23"/>
        <v>9.41</v>
      </c>
      <c r="CP29" s="129">
        <f t="shared" si="24"/>
        <v>9.31</v>
      </c>
      <c r="CQ29" s="129">
        <f t="shared" si="25"/>
        <v>7</v>
      </c>
      <c r="CR29" s="130">
        <f t="shared" si="26"/>
        <v>8.57</v>
      </c>
      <c r="CS29" s="131" t="str">
        <f t="shared" si="27"/>
        <v>APROBADO</v>
      </c>
      <c r="CU29" s="2"/>
      <c r="CW29" s="132">
        <v>18.0</v>
      </c>
      <c r="CX29" s="133" t="str">
        <f t="shared" ref="CX29:CY29" si="79">B29</f>
        <v/>
      </c>
      <c r="CY29" s="134" t="str">
        <f t="shared" si="79"/>
        <v>Peña Macias Enrique Alexander</v>
      </c>
      <c r="CZ29" s="135">
        <f t="shared" si="29"/>
        <v>8.57</v>
      </c>
      <c r="DA29" s="136"/>
      <c r="DB29" s="137">
        <f t="shared" si="30"/>
        <v>8.57</v>
      </c>
      <c r="DC29" s="138" t="str">
        <f t="shared" si="31"/>
        <v>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40"/>
      <c r="E30" s="140"/>
      <c r="F30" s="140"/>
      <c r="G30" s="140"/>
      <c r="H30" s="139">
        <v>8.0</v>
      </c>
      <c r="I30" s="139">
        <v>10.0</v>
      </c>
      <c r="J30" s="140"/>
      <c r="K30" s="140"/>
      <c r="L30" s="62"/>
      <c r="M30" s="62"/>
      <c r="N30" s="144">
        <v>10.0</v>
      </c>
      <c r="O30" s="143"/>
      <c r="P30" s="143"/>
      <c r="Q30" s="143"/>
      <c r="R30" s="143"/>
      <c r="S30" s="143"/>
      <c r="T30" s="141"/>
      <c r="U30" s="141"/>
      <c r="V30" s="62">
        <f t="shared" si="8"/>
        <v>6.531</v>
      </c>
      <c r="W30" s="121">
        <v>10.0</v>
      </c>
      <c r="X30" s="123">
        <f>'PROY. INTER'!W30</f>
        <v>9.47</v>
      </c>
      <c r="Y30" s="62">
        <f t="shared" si="9"/>
        <v>9.735</v>
      </c>
      <c r="Z30" s="62">
        <f t="shared" si="10"/>
        <v>2.9205</v>
      </c>
      <c r="AA30" s="64">
        <f t="shared" si="11"/>
        <v>9.45</v>
      </c>
      <c r="AC30" s="2"/>
      <c r="AE30" s="56">
        <v>19.0</v>
      </c>
      <c r="AF30" s="65" t="str">
        <f t="shared" si="12"/>
        <v>Roman Arreaga Stefani Asley</v>
      </c>
      <c r="AG30" s="140"/>
      <c r="AH30" s="140"/>
      <c r="AI30" s="140"/>
      <c r="AJ30" s="140"/>
      <c r="AK30" s="139">
        <v>10.0</v>
      </c>
      <c r="AL30" s="139">
        <v>7.0</v>
      </c>
      <c r="AM30" s="140"/>
      <c r="AN30" s="140"/>
      <c r="AO30" s="62"/>
      <c r="AP30" s="62"/>
      <c r="AQ30" s="144">
        <v>10.0</v>
      </c>
      <c r="AR30" s="143"/>
      <c r="AS30" s="143"/>
      <c r="AT30" s="143"/>
      <c r="AU30" s="143"/>
      <c r="AV30" s="143"/>
      <c r="AW30" s="141"/>
      <c r="AX30" s="141"/>
      <c r="AY30" s="62">
        <f t="shared" si="13"/>
        <v>6.3</v>
      </c>
      <c r="AZ30" s="121">
        <v>8.0</v>
      </c>
      <c r="BA30" s="123">
        <f>'PROY. INTER'!AX30</f>
        <v>10</v>
      </c>
      <c r="BB30" s="62">
        <f t="shared" si="14"/>
        <v>9</v>
      </c>
      <c r="BC30" s="62">
        <f t="shared" si="15"/>
        <v>2.7</v>
      </c>
      <c r="BD30" s="64">
        <f t="shared" si="16"/>
        <v>9</v>
      </c>
      <c r="BF30" s="2"/>
      <c r="BH30" s="56">
        <v>19.0</v>
      </c>
      <c r="BI30" s="124" t="str">
        <f t="shared" ref="BI30:BJ30" si="80">B30</f>
        <v/>
      </c>
      <c r="BJ30" s="240" t="str">
        <f t="shared" si="80"/>
        <v>Roman Arreaga Stefani Asley</v>
      </c>
      <c r="BK30" s="140"/>
      <c r="BL30" s="139">
        <v>7.0</v>
      </c>
      <c r="BM30" s="140"/>
      <c r="BN30" s="140"/>
      <c r="BO30" s="139">
        <v>7.0</v>
      </c>
      <c r="BP30" s="139">
        <v>7.0</v>
      </c>
      <c r="BQ30" s="140"/>
      <c r="BR30" s="140"/>
      <c r="BS30" s="62"/>
      <c r="BT30" s="62"/>
      <c r="BU30" s="143"/>
      <c r="BV30" s="143"/>
      <c r="BW30" s="143"/>
      <c r="BX30" s="143"/>
      <c r="BY30" s="143"/>
      <c r="BZ30" s="143"/>
      <c r="CA30" s="141"/>
      <c r="CB30" s="141"/>
      <c r="CC30" s="62">
        <f t="shared" si="18"/>
        <v>4.9</v>
      </c>
      <c r="CD30" s="62"/>
      <c r="CE30" s="123">
        <f>'PROY. INTER'!BY30</f>
        <v>0</v>
      </c>
      <c r="CF30" s="62">
        <f t="shared" si="19"/>
        <v>0</v>
      </c>
      <c r="CG30" s="62">
        <f t="shared" si="20"/>
        <v>0</v>
      </c>
      <c r="CH30" s="64">
        <f t="shared" si="21"/>
        <v>4.9</v>
      </c>
      <c r="CJ30" s="2"/>
      <c r="CL30" s="126">
        <v>19.0</v>
      </c>
      <c r="CM30" s="127" t="str">
        <f t="shared" ref="CM30:CN30" si="81">B30</f>
        <v/>
      </c>
      <c r="CN30" s="128" t="str">
        <f t="shared" si="81"/>
        <v>Roman Arreaga Stefani Asley</v>
      </c>
      <c r="CO30" s="129">
        <f t="shared" si="23"/>
        <v>9.45</v>
      </c>
      <c r="CP30" s="129">
        <f t="shared" si="24"/>
        <v>9</v>
      </c>
      <c r="CQ30" s="129">
        <f t="shared" si="25"/>
        <v>4.9</v>
      </c>
      <c r="CR30" s="130">
        <f t="shared" si="26"/>
        <v>7.78</v>
      </c>
      <c r="CS30" s="131" t="str">
        <f t="shared" si="27"/>
        <v>APROBADO</v>
      </c>
      <c r="CU30" s="2"/>
      <c r="CW30" s="132">
        <v>19.0</v>
      </c>
      <c r="CX30" s="133" t="str">
        <f t="shared" ref="CX30:CY30" si="82">B30</f>
        <v/>
      </c>
      <c r="CY30" s="134" t="str">
        <f t="shared" si="82"/>
        <v>Roman Arreaga Stefani Asley</v>
      </c>
      <c r="CZ30" s="135">
        <f t="shared" si="29"/>
        <v>7.78</v>
      </c>
      <c r="DA30" s="136"/>
      <c r="DB30" s="137">
        <f t="shared" si="30"/>
        <v>7.78</v>
      </c>
      <c r="DC30" s="138" t="str">
        <f t="shared" si="31"/>
        <v>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40"/>
      <c r="E31" s="140"/>
      <c r="F31" s="140"/>
      <c r="G31" s="140"/>
      <c r="H31" s="139">
        <v>8.0</v>
      </c>
      <c r="I31" s="139">
        <v>10.0</v>
      </c>
      <c r="J31" s="140"/>
      <c r="K31" s="140"/>
      <c r="L31" s="62"/>
      <c r="M31" s="62"/>
      <c r="N31" s="144">
        <v>10.0</v>
      </c>
      <c r="O31" s="143"/>
      <c r="P31" s="143"/>
      <c r="Q31" s="143"/>
      <c r="R31" s="143"/>
      <c r="S31" s="143"/>
      <c r="T31" s="141"/>
      <c r="U31" s="141"/>
      <c r="V31" s="62">
        <f t="shared" si="8"/>
        <v>6.531</v>
      </c>
      <c r="W31" s="121">
        <v>10.0</v>
      </c>
      <c r="X31" s="123">
        <f>'PROY. INTER'!W31</f>
        <v>10</v>
      </c>
      <c r="Y31" s="62">
        <f t="shared" si="9"/>
        <v>10</v>
      </c>
      <c r="Z31" s="62">
        <f t="shared" si="10"/>
        <v>3</v>
      </c>
      <c r="AA31" s="64">
        <f t="shared" si="11"/>
        <v>9.53</v>
      </c>
      <c r="AC31" s="2"/>
      <c r="AE31" s="56">
        <v>20.0</v>
      </c>
      <c r="AF31" s="65" t="str">
        <f t="shared" si="12"/>
        <v>Sánchez Ponce Sandra Stefania</v>
      </c>
      <c r="AG31" s="140"/>
      <c r="AH31" s="140"/>
      <c r="AI31" s="140"/>
      <c r="AJ31" s="140"/>
      <c r="AK31" s="139">
        <v>10.0</v>
      </c>
      <c r="AL31" s="139">
        <v>10.0</v>
      </c>
      <c r="AM31" s="140"/>
      <c r="AN31" s="140"/>
      <c r="AO31" s="62"/>
      <c r="AP31" s="62"/>
      <c r="AQ31" s="144">
        <v>10.0</v>
      </c>
      <c r="AR31" s="143"/>
      <c r="AS31" s="143"/>
      <c r="AT31" s="143"/>
      <c r="AU31" s="143"/>
      <c r="AV31" s="143"/>
      <c r="AW31" s="141"/>
      <c r="AX31" s="141"/>
      <c r="AY31" s="62">
        <f t="shared" si="13"/>
        <v>7</v>
      </c>
      <c r="AZ31" s="121">
        <v>9.0</v>
      </c>
      <c r="BA31" s="123">
        <f>'PROY. INTER'!AX31</f>
        <v>10</v>
      </c>
      <c r="BB31" s="62">
        <f t="shared" si="14"/>
        <v>9.5</v>
      </c>
      <c r="BC31" s="62">
        <f t="shared" si="15"/>
        <v>2.85</v>
      </c>
      <c r="BD31" s="64">
        <f t="shared" si="16"/>
        <v>9.85</v>
      </c>
      <c r="BF31" s="2"/>
      <c r="BH31" s="56">
        <v>20.0</v>
      </c>
      <c r="BI31" s="124" t="str">
        <f t="shared" ref="BI31:BJ31" si="83">B31</f>
        <v/>
      </c>
      <c r="BJ31" s="125" t="str">
        <f t="shared" si="83"/>
        <v>Sánchez Ponce Sandra Stefania</v>
      </c>
      <c r="BK31" s="140"/>
      <c r="BL31" s="139">
        <v>10.0</v>
      </c>
      <c r="BM31" s="140"/>
      <c r="BN31" s="140"/>
      <c r="BO31" s="139">
        <v>10.0</v>
      </c>
      <c r="BP31" s="139">
        <v>10.0</v>
      </c>
      <c r="BQ31" s="140"/>
      <c r="BR31" s="140"/>
      <c r="BS31" s="62"/>
      <c r="BT31" s="62"/>
      <c r="BU31" s="143"/>
      <c r="BV31" s="143"/>
      <c r="BW31" s="143"/>
      <c r="BX31" s="143"/>
      <c r="BY31" s="143"/>
      <c r="BZ31" s="143"/>
      <c r="CA31" s="141"/>
      <c r="CB31" s="141"/>
      <c r="CC31" s="62">
        <f t="shared" si="18"/>
        <v>7</v>
      </c>
      <c r="CD31" s="62"/>
      <c r="CE31" s="123">
        <f>'PROY. INTER'!BY31</f>
        <v>0</v>
      </c>
      <c r="CF31" s="62">
        <f t="shared" si="19"/>
        <v>0</v>
      </c>
      <c r="CG31" s="62">
        <f t="shared" si="20"/>
        <v>0</v>
      </c>
      <c r="CH31" s="64">
        <f t="shared" si="21"/>
        <v>7</v>
      </c>
      <c r="CJ31" s="2"/>
      <c r="CL31" s="126">
        <v>20.0</v>
      </c>
      <c r="CM31" s="127" t="str">
        <f t="shared" ref="CM31:CN31" si="84">B31</f>
        <v/>
      </c>
      <c r="CN31" s="128" t="str">
        <f t="shared" si="84"/>
        <v>Sánchez Ponce Sandra Stefania</v>
      </c>
      <c r="CO31" s="129">
        <f t="shared" si="23"/>
        <v>9.53</v>
      </c>
      <c r="CP31" s="129">
        <f t="shared" si="24"/>
        <v>9.85</v>
      </c>
      <c r="CQ31" s="129">
        <f t="shared" si="25"/>
        <v>7</v>
      </c>
      <c r="CR31" s="130">
        <f t="shared" si="26"/>
        <v>8.79</v>
      </c>
      <c r="CS31" s="131" t="str">
        <f t="shared" si="27"/>
        <v>APROBADO</v>
      </c>
      <c r="CU31" s="2"/>
      <c r="CW31" s="132">
        <v>20.0</v>
      </c>
      <c r="CX31" s="133" t="str">
        <f t="shared" ref="CX31:CY31" si="85">B31</f>
        <v/>
      </c>
      <c r="CY31" s="134" t="str">
        <f t="shared" si="85"/>
        <v>Sánchez Ponce Sandra Stefania</v>
      </c>
      <c r="CZ31" s="135">
        <f t="shared" si="29"/>
        <v>8.79</v>
      </c>
      <c r="DA31" s="136"/>
      <c r="DB31" s="137">
        <f t="shared" si="30"/>
        <v>8.79</v>
      </c>
      <c r="DC31" s="138" t="str">
        <f t="shared" si="31"/>
        <v>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40"/>
      <c r="E32" s="140"/>
      <c r="F32" s="140"/>
      <c r="G32" s="140"/>
      <c r="H32" s="139">
        <v>5.0</v>
      </c>
      <c r="I32" s="139">
        <v>8.0</v>
      </c>
      <c r="J32" s="140"/>
      <c r="K32" s="140"/>
      <c r="L32" s="62"/>
      <c r="M32" s="62"/>
      <c r="N32" s="144">
        <v>5.0</v>
      </c>
      <c r="O32" s="143"/>
      <c r="P32" s="143"/>
      <c r="Q32" s="143"/>
      <c r="R32" s="143"/>
      <c r="S32" s="143"/>
      <c r="T32" s="141"/>
      <c r="U32" s="141"/>
      <c r="V32" s="62">
        <f t="shared" si="8"/>
        <v>4.2</v>
      </c>
      <c r="W32" s="121">
        <v>10.0</v>
      </c>
      <c r="X32" s="123">
        <f>'PROY. INTER'!W32</f>
        <v>6.47</v>
      </c>
      <c r="Y32" s="62">
        <f t="shared" si="9"/>
        <v>8.235</v>
      </c>
      <c r="Z32" s="62">
        <f t="shared" si="10"/>
        <v>2.4705</v>
      </c>
      <c r="AA32" s="64">
        <f t="shared" si="11"/>
        <v>6.67</v>
      </c>
      <c r="AC32" s="2"/>
      <c r="AE32" s="56">
        <v>21.0</v>
      </c>
      <c r="AF32" s="65" t="str">
        <f t="shared" si="12"/>
        <v>Torres Vera Anderson</v>
      </c>
      <c r="AG32" s="140"/>
      <c r="AH32" s="140"/>
      <c r="AI32" s="140"/>
      <c r="AJ32" s="140"/>
      <c r="AK32" s="139">
        <v>7.0</v>
      </c>
      <c r="AL32" s="139">
        <v>7.0</v>
      </c>
      <c r="AM32" s="140"/>
      <c r="AN32" s="140"/>
      <c r="AO32" s="62"/>
      <c r="AP32" s="62"/>
      <c r="AQ32" s="144">
        <v>7.0</v>
      </c>
      <c r="AR32" s="143"/>
      <c r="AS32" s="143"/>
      <c r="AT32" s="143"/>
      <c r="AU32" s="143"/>
      <c r="AV32" s="143"/>
      <c r="AW32" s="141"/>
      <c r="AX32" s="141"/>
      <c r="AY32" s="62">
        <f t="shared" si="13"/>
        <v>4.9</v>
      </c>
      <c r="AZ32" s="121">
        <v>7.0</v>
      </c>
      <c r="BA32" s="123">
        <f>'PROY. INTER'!AX32</f>
        <v>10</v>
      </c>
      <c r="BB32" s="62">
        <f t="shared" si="14"/>
        <v>8.5</v>
      </c>
      <c r="BC32" s="62">
        <f t="shared" si="15"/>
        <v>2.55</v>
      </c>
      <c r="BD32" s="242">
        <f t="shared" si="16"/>
        <v>7.45</v>
      </c>
      <c r="BF32" s="2"/>
      <c r="BH32" s="56">
        <v>21.0</v>
      </c>
      <c r="BI32" s="124" t="str">
        <f t="shared" ref="BI32:BJ32" si="86">B32</f>
        <v/>
      </c>
      <c r="BJ32" s="241" t="str">
        <f t="shared" si="86"/>
        <v>Torres Vera Anderson</v>
      </c>
      <c r="BK32" s="140"/>
      <c r="BL32" s="140"/>
      <c r="BM32" s="140"/>
      <c r="BN32" s="140"/>
      <c r="BO32" s="140"/>
      <c r="BP32" s="140"/>
      <c r="BQ32" s="140"/>
      <c r="BR32" s="140"/>
      <c r="BS32" s="62"/>
      <c r="BT32" s="62"/>
      <c r="BU32" s="143"/>
      <c r="BV32" s="143"/>
      <c r="BW32" s="143"/>
      <c r="BX32" s="143"/>
      <c r="BY32" s="143"/>
      <c r="BZ32" s="143"/>
      <c r="CA32" s="141"/>
      <c r="CB32" s="141"/>
      <c r="CC32" s="62">
        <f t="shared" si="18"/>
        <v>0</v>
      </c>
      <c r="CD32" s="62"/>
      <c r="CE32" s="123">
        <f>'PROY. INTER'!BY32</f>
        <v>0</v>
      </c>
      <c r="CF32" s="62">
        <f t="shared" si="19"/>
        <v>0</v>
      </c>
      <c r="CG32" s="62">
        <f t="shared" si="20"/>
        <v>0</v>
      </c>
      <c r="CH32" s="64">
        <f t="shared" si="21"/>
        <v>0</v>
      </c>
      <c r="CJ32" s="2"/>
      <c r="CL32" s="126">
        <v>21.0</v>
      </c>
      <c r="CM32" s="127" t="str">
        <f t="shared" ref="CM32:CN32" si="87">B32</f>
        <v/>
      </c>
      <c r="CN32" s="128" t="str">
        <f t="shared" si="87"/>
        <v>Torres Vera Anderson</v>
      </c>
      <c r="CO32" s="129">
        <f t="shared" si="23"/>
        <v>6.67</v>
      </c>
      <c r="CP32" s="129">
        <f t="shared" si="24"/>
        <v>7.45</v>
      </c>
      <c r="CQ32" s="129">
        <f t="shared" si="25"/>
        <v>0</v>
      </c>
      <c r="CR32" s="130">
        <f t="shared" si="26"/>
        <v>4.7</v>
      </c>
      <c r="CS32" s="131" t="str">
        <f t="shared" si="27"/>
        <v>REPROBADO</v>
      </c>
      <c r="CU32" s="2"/>
      <c r="CW32" s="132">
        <v>21.0</v>
      </c>
      <c r="CX32" s="133" t="str">
        <f t="shared" ref="CX32:CY32" si="88">B32</f>
        <v/>
      </c>
      <c r="CY32" s="134" t="str">
        <f t="shared" si="88"/>
        <v>Torres Vera Anderson</v>
      </c>
      <c r="CZ32" s="135">
        <f t="shared" si="29"/>
        <v>4.7</v>
      </c>
      <c r="DA32" s="136"/>
      <c r="DB32" s="137">
        <f t="shared" si="30"/>
        <v>4.7</v>
      </c>
      <c r="DC32" s="138" t="str">
        <f t="shared" si="31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40"/>
      <c r="E33" s="140"/>
      <c r="F33" s="140"/>
      <c r="G33" s="140"/>
      <c r="H33" s="139">
        <v>7.0</v>
      </c>
      <c r="I33" s="139">
        <v>7.0</v>
      </c>
      <c r="J33" s="140"/>
      <c r="K33" s="140"/>
      <c r="L33" s="62"/>
      <c r="M33" s="62"/>
      <c r="N33" s="144">
        <v>10.0</v>
      </c>
      <c r="O33" s="143"/>
      <c r="P33" s="143"/>
      <c r="Q33" s="143"/>
      <c r="R33" s="143"/>
      <c r="S33" s="143"/>
      <c r="T33" s="141"/>
      <c r="U33" s="141"/>
      <c r="V33" s="62">
        <f t="shared" si="8"/>
        <v>5.6</v>
      </c>
      <c r="W33" s="121">
        <v>10.0</v>
      </c>
      <c r="X33" s="123">
        <f>'PROY. INTER'!W33</f>
        <v>9.2</v>
      </c>
      <c r="Y33" s="62">
        <f t="shared" si="9"/>
        <v>9.6</v>
      </c>
      <c r="Z33" s="62">
        <f t="shared" si="10"/>
        <v>2.88</v>
      </c>
      <c r="AA33" s="64">
        <f t="shared" si="11"/>
        <v>8.48</v>
      </c>
      <c r="AC33" s="2"/>
      <c r="AE33" s="56">
        <v>22.0</v>
      </c>
      <c r="AF33" s="65" t="str">
        <f t="shared" si="12"/>
        <v>Valero Pefiafiel Carlos José</v>
      </c>
      <c r="AG33" s="140"/>
      <c r="AH33" s="140"/>
      <c r="AI33" s="140"/>
      <c r="AJ33" s="140"/>
      <c r="AK33" s="139">
        <v>7.0</v>
      </c>
      <c r="AL33" s="139">
        <v>7.0</v>
      </c>
      <c r="AM33" s="140"/>
      <c r="AN33" s="140"/>
      <c r="AO33" s="62"/>
      <c r="AP33" s="62"/>
      <c r="AQ33" s="144">
        <v>7.0</v>
      </c>
      <c r="AR33" s="143"/>
      <c r="AS33" s="143"/>
      <c r="AT33" s="143"/>
      <c r="AU33" s="143"/>
      <c r="AV33" s="143"/>
      <c r="AW33" s="141"/>
      <c r="AX33" s="141"/>
      <c r="AY33" s="62">
        <f t="shared" si="13"/>
        <v>4.9</v>
      </c>
      <c r="AZ33" s="121">
        <v>7.0</v>
      </c>
      <c r="BA33" s="123">
        <f>'PROY. INTER'!AX33</f>
        <v>10</v>
      </c>
      <c r="BB33" s="62">
        <f t="shared" si="14"/>
        <v>8.5</v>
      </c>
      <c r="BC33" s="62">
        <f t="shared" si="15"/>
        <v>2.55</v>
      </c>
      <c r="BD33" s="64">
        <f t="shared" si="16"/>
        <v>7.45</v>
      </c>
      <c r="BF33" s="2"/>
      <c r="BH33" s="56">
        <v>22.0</v>
      </c>
      <c r="BI33" s="124" t="str">
        <f t="shared" ref="BI33:BJ33" si="89">B33</f>
        <v/>
      </c>
      <c r="BJ33" s="240" t="str">
        <f t="shared" si="89"/>
        <v>Valero Pefiafiel Carlos José</v>
      </c>
      <c r="BK33" s="140"/>
      <c r="BL33" s="139">
        <v>7.0</v>
      </c>
      <c r="BM33" s="140"/>
      <c r="BN33" s="140"/>
      <c r="BO33" s="139">
        <v>7.0</v>
      </c>
      <c r="BP33" s="139">
        <v>7.0</v>
      </c>
      <c r="BQ33" s="140"/>
      <c r="BR33" s="140"/>
      <c r="BS33" s="62"/>
      <c r="BT33" s="62"/>
      <c r="BU33" s="143"/>
      <c r="BV33" s="143"/>
      <c r="BW33" s="143"/>
      <c r="BX33" s="143"/>
      <c r="BY33" s="143"/>
      <c r="BZ33" s="143"/>
      <c r="CA33" s="141"/>
      <c r="CB33" s="141"/>
      <c r="CC33" s="62">
        <f t="shared" si="18"/>
        <v>4.9</v>
      </c>
      <c r="CD33" s="62"/>
      <c r="CE33" s="123">
        <f>'PROY. INTER'!BY33</f>
        <v>0</v>
      </c>
      <c r="CF33" s="62">
        <f t="shared" si="19"/>
        <v>0</v>
      </c>
      <c r="CG33" s="62">
        <f t="shared" si="20"/>
        <v>0</v>
      </c>
      <c r="CH33" s="64">
        <f t="shared" si="21"/>
        <v>4.9</v>
      </c>
      <c r="CJ33" s="2"/>
      <c r="CL33" s="126">
        <v>22.0</v>
      </c>
      <c r="CM33" s="127" t="str">
        <f t="shared" ref="CM33:CN33" si="90">B33</f>
        <v/>
      </c>
      <c r="CN33" s="128" t="str">
        <f t="shared" si="90"/>
        <v>Valero Pefiafiel Carlos José</v>
      </c>
      <c r="CO33" s="129">
        <f t="shared" si="23"/>
        <v>8.48</v>
      </c>
      <c r="CP33" s="129">
        <f t="shared" si="24"/>
        <v>7.45</v>
      </c>
      <c r="CQ33" s="129">
        <f t="shared" si="25"/>
        <v>4.9</v>
      </c>
      <c r="CR33" s="130">
        <f t="shared" si="26"/>
        <v>6.94</v>
      </c>
      <c r="CS33" s="131" t="str">
        <f t="shared" si="27"/>
        <v>SUPLETORIO</v>
      </c>
      <c r="CU33" s="2"/>
      <c r="CW33" s="132">
        <v>22.0</v>
      </c>
      <c r="CX33" s="133" t="str">
        <f t="shared" ref="CX33:CY33" si="91">B33</f>
        <v/>
      </c>
      <c r="CY33" s="134" t="str">
        <f t="shared" si="91"/>
        <v>Valero Pefiafiel Carlos José</v>
      </c>
      <c r="CZ33" s="135">
        <f t="shared" si="29"/>
        <v>6.94</v>
      </c>
      <c r="DA33" s="136"/>
      <c r="DB33" s="137">
        <f t="shared" si="30"/>
        <v>6.94</v>
      </c>
      <c r="DC33" s="138" t="str">
        <f t="shared" si="31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40"/>
      <c r="E34" s="140"/>
      <c r="F34" s="140"/>
      <c r="G34" s="140"/>
      <c r="H34" s="139">
        <v>7.0</v>
      </c>
      <c r="I34" s="139">
        <v>7.0</v>
      </c>
      <c r="J34" s="140"/>
      <c r="K34" s="140"/>
      <c r="L34" s="62"/>
      <c r="M34" s="62"/>
      <c r="N34" s="144">
        <v>10.0</v>
      </c>
      <c r="O34" s="143"/>
      <c r="P34" s="143"/>
      <c r="Q34" s="143"/>
      <c r="R34" s="143"/>
      <c r="S34" s="143"/>
      <c r="T34" s="141"/>
      <c r="U34" s="141"/>
      <c r="V34" s="62">
        <f t="shared" si="8"/>
        <v>5.6</v>
      </c>
      <c r="W34" s="121">
        <v>10.0</v>
      </c>
      <c r="X34" s="123">
        <f>'PROY. INTER'!W34</f>
        <v>7.33</v>
      </c>
      <c r="Y34" s="62">
        <f t="shared" si="9"/>
        <v>8.665</v>
      </c>
      <c r="Z34" s="62">
        <f t="shared" si="10"/>
        <v>2.5995</v>
      </c>
      <c r="AA34" s="64">
        <f t="shared" si="11"/>
        <v>8.19</v>
      </c>
      <c r="AC34" s="2"/>
      <c r="AE34" s="56">
        <v>23.0</v>
      </c>
      <c r="AF34" s="65" t="str">
        <f t="shared" si="12"/>
        <v>Veliz chicaiza Alex isaac</v>
      </c>
      <c r="AG34" s="140"/>
      <c r="AH34" s="140"/>
      <c r="AI34" s="140"/>
      <c r="AJ34" s="140"/>
      <c r="AK34" s="139">
        <v>7.0</v>
      </c>
      <c r="AL34" s="139">
        <v>7.0</v>
      </c>
      <c r="AM34" s="140"/>
      <c r="AN34" s="140"/>
      <c r="AO34" s="62"/>
      <c r="AP34" s="62"/>
      <c r="AQ34" s="144">
        <v>7.0</v>
      </c>
      <c r="AR34" s="143"/>
      <c r="AS34" s="143"/>
      <c r="AT34" s="143"/>
      <c r="AU34" s="143"/>
      <c r="AV34" s="143"/>
      <c r="AW34" s="141"/>
      <c r="AX34" s="141"/>
      <c r="AY34" s="62">
        <f t="shared" si="13"/>
        <v>4.9</v>
      </c>
      <c r="AZ34" s="121">
        <v>7.0</v>
      </c>
      <c r="BA34" s="123">
        <f>'PROY. INTER'!AX34</f>
        <v>10</v>
      </c>
      <c r="BB34" s="62">
        <f t="shared" si="14"/>
        <v>8.5</v>
      </c>
      <c r="BC34" s="62">
        <f t="shared" si="15"/>
        <v>2.55</v>
      </c>
      <c r="BD34" s="64">
        <f t="shared" si="16"/>
        <v>7.45</v>
      </c>
      <c r="BF34" s="2"/>
      <c r="BH34" s="56">
        <v>23.0</v>
      </c>
      <c r="BI34" s="124" t="str">
        <f t="shared" ref="BI34:BJ34" si="92">B34</f>
        <v/>
      </c>
      <c r="BJ34" s="240" t="str">
        <f t="shared" si="92"/>
        <v>Veliz chicaiza Alex isaac</v>
      </c>
      <c r="BK34" s="140"/>
      <c r="BL34" s="139">
        <v>7.0</v>
      </c>
      <c r="BM34" s="140"/>
      <c r="BN34" s="140"/>
      <c r="BO34" s="139">
        <v>7.0</v>
      </c>
      <c r="BP34" s="139">
        <v>7.0</v>
      </c>
      <c r="BQ34" s="140"/>
      <c r="BR34" s="140"/>
      <c r="BS34" s="62"/>
      <c r="BT34" s="62"/>
      <c r="BU34" s="143"/>
      <c r="BV34" s="143"/>
      <c r="BW34" s="143"/>
      <c r="BX34" s="143"/>
      <c r="BY34" s="143"/>
      <c r="BZ34" s="143"/>
      <c r="CA34" s="141"/>
      <c r="CB34" s="141"/>
      <c r="CC34" s="62">
        <f t="shared" si="18"/>
        <v>4.9</v>
      </c>
      <c r="CD34" s="62"/>
      <c r="CE34" s="123">
        <f>'PROY. INTER'!BY34</f>
        <v>0</v>
      </c>
      <c r="CF34" s="62">
        <f t="shared" si="19"/>
        <v>0</v>
      </c>
      <c r="CG34" s="62">
        <f t="shared" si="20"/>
        <v>0</v>
      </c>
      <c r="CH34" s="64">
        <f t="shared" si="21"/>
        <v>4.9</v>
      </c>
      <c r="CJ34" s="2"/>
      <c r="CL34" s="126">
        <v>23.0</v>
      </c>
      <c r="CM34" s="127" t="str">
        <f t="shared" ref="CM34:CN34" si="93">B34</f>
        <v/>
      </c>
      <c r="CN34" s="128" t="str">
        <f t="shared" si="93"/>
        <v>Veliz chicaiza Alex isaac</v>
      </c>
      <c r="CO34" s="129">
        <f t="shared" si="23"/>
        <v>8.19</v>
      </c>
      <c r="CP34" s="129">
        <f t="shared" si="24"/>
        <v>7.45</v>
      </c>
      <c r="CQ34" s="129">
        <f t="shared" si="25"/>
        <v>4.9</v>
      </c>
      <c r="CR34" s="130">
        <f t="shared" si="26"/>
        <v>6.84</v>
      </c>
      <c r="CS34" s="131" t="str">
        <f t="shared" si="27"/>
        <v>SUPLETORIO</v>
      </c>
      <c r="CU34" s="2"/>
      <c r="CW34" s="132">
        <v>23.0</v>
      </c>
      <c r="CX34" s="133" t="str">
        <f t="shared" ref="CX34:CY34" si="94">B34</f>
        <v/>
      </c>
      <c r="CY34" s="134" t="str">
        <f t="shared" si="94"/>
        <v>Veliz chicaiza Alex isaac</v>
      </c>
      <c r="CZ34" s="135">
        <f t="shared" si="29"/>
        <v>6.84</v>
      </c>
      <c r="DA34" s="136"/>
      <c r="DB34" s="137">
        <f t="shared" si="30"/>
        <v>6.84</v>
      </c>
      <c r="DC34" s="138" t="str">
        <f t="shared" si="31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40"/>
      <c r="E35" s="140"/>
      <c r="F35" s="140"/>
      <c r="G35" s="140"/>
      <c r="H35" s="139">
        <v>7.0</v>
      </c>
      <c r="I35" s="139">
        <v>10.0</v>
      </c>
      <c r="J35" s="140"/>
      <c r="K35" s="140"/>
      <c r="L35" s="62"/>
      <c r="M35" s="62"/>
      <c r="N35" s="144">
        <v>10.0</v>
      </c>
      <c r="O35" s="143"/>
      <c r="P35" s="143"/>
      <c r="Q35" s="143"/>
      <c r="R35" s="143"/>
      <c r="S35" s="143"/>
      <c r="T35" s="141"/>
      <c r="U35" s="141"/>
      <c r="V35" s="62">
        <f t="shared" si="8"/>
        <v>6.3</v>
      </c>
      <c r="W35" s="121">
        <v>10.0</v>
      </c>
      <c r="X35" s="123">
        <f>'PROY. INTER'!W35</f>
        <v>9.73</v>
      </c>
      <c r="Y35" s="62">
        <f t="shared" si="9"/>
        <v>9.865</v>
      </c>
      <c r="Z35" s="62">
        <f t="shared" si="10"/>
        <v>2.9595</v>
      </c>
      <c r="AA35" s="64">
        <f t="shared" si="11"/>
        <v>9.25</v>
      </c>
      <c r="AC35" s="2"/>
      <c r="AE35" s="56">
        <v>24.0</v>
      </c>
      <c r="AF35" s="65" t="str">
        <f t="shared" si="12"/>
        <v>Zambrano Zhicay Victor Humberto</v>
      </c>
      <c r="AG35" s="140"/>
      <c r="AH35" s="140"/>
      <c r="AI35" s="140"/>
      <c r="AJ35" s="140"/>
      <c r="AK35" s="139">
        <v>7.0</v>
      </c>
      <c r="AL35" s="139">
        <v>10.0</v>
      </c>
      <c r="AM35" s="140"/>
      <c r="AN35" s="140"/>
      <c r="AO35" s="62"/>
      <c r="AP35" s="62"/>
      <c r="AQ35" s="144">
        <v>10.0</v>
      </c>
      <c r="AR35" s="143"/>
      <c r="AS35" s="143"/>
      <c r="AT35" s="143"/>
      <c r="AU35" s="143"/>
      <c r="AV35" s="143"/>
      <c r="AW35" s="141"/>
      <c r="AX35" s="141"/>
      <c r="AY35" s="62">
        <f t="shared" si="13"/>
        <v>6.3</v>
      </c>
      <c r="AZ35" s="121">
        <v>7.0</v>
      </c>
      <c r="BA35" s="123">
        <f>'PROY. INTER'!AX35</f>
        <v>10</v>
      </c>
      <c r="BB35" s="62">
        <f t="shared" si="14"/>
        <v>8.5</v>
      </c>
      <c r="BC35" s="62">
        <f t="shared" si="15"/>
        <v>2.55</v>
      </c>
      <c r="BD35" s="64">
        <f t="shared" si="16"/>
        <v>8.85</v>
      </c>
      <c r="BF35" s="2"/>
      <c r="BH35" s="56">
        <v>24.0</v>
      </c>
      <c r="BI35" s="124" t="str">
        <f t="shared" ref="BI35:BJ35" si="95">B35</f>
        <v/>
      </c>
      <c r="BJ35" s="125" t="str">
        <f t="shared" si="95"/>
        <v>Zambrano Zhicay Victor Humberto</v>
      </c>
      <c r="BK35" s="140"/>
      <c r="BL35" s="139">
        <v>10.0</v>
      </c>
      <c r="BM35" s="140"/>
      <c r="BN35" s="140"/>
      <c r="BO35" s="139">
        <v>10.0</v>
      </c>
      <c r="BP35" s="139">
        <v>10.0</v>
      </c>
      <c r="BQ35" s="140"/>
      <c r="BR35" s="140"/>
      <c r="BS35" s="62"/>
      <c r="BT35" s="62"/>
      <c r="BU35" s="143"/>
      <c r="BV35" s="143"/>
      <c r="BW35" s="143"/>
      <c r="BX35" s="143"/>
      <c r="BY35" s="143"/>
      <c r="BZ35" s="143"/>
      <c r="CA35" s="141"/>
      <c r="CB35" s="141"/>
      <c r="CC35" s="62">
        <f t="shared" si="18"/>
        <v>7</v>
      </c>
      <c r="CD35" s="62"/>
      <c r="CE35" s="123">
        <f>'PROY. INTER'!BY35</f>
        <v>0</v>
      </c>
      <c r="CF35" s="62">
        <f t="shared" si="19"/>
        <v>0</v>
      </c>
      <c r="CG35" s="62">
        <f t="shared" si="20"/>
        <v>0</v>
      </c>
      <c r="CH35" s="64">
        <f t="shared" si="21"/>
        <v>7</v>
      </c>
      <c r="CJ35" s="2"/>
      <c r="CL35" s="126">
        <v>24.0</v>
      </c>
      <c r="CM35" s="127" t="str">
        <f t="shared" ref="CM35:CN35" si="96">B35</f>
        <v/>
      </c>
      <c r="CN35" s="128" t="str">
        <f t="shared" si="96"/>
        <v>Zambrano Zhicay Victor Humberto</v>
      </c>
      <c r="CO35" s="129">
        <f t="shared" si="23"/>
        <v>9.25</v>
      </c>
      <c r="CP35" s="129">
        <f t="shared" si="24"/>
        <v>8.85</v>
      </c>
      <c r="CQ35" s="129">
        <f t="shared" si="25"/>
        <v>7</v>
      </c>
      <c r="CR35" s="130">
        <f t="shared" si="26"/>
        <v>8.36</v>
      </c>
      <c r="CS35" s="131" t="str">
        <f t="shared" si="27"/>
        <v>APROBADO</v>
      </c>
      <c r="CU35" s="2"/>
      <c r="CW35" s="132">
        <v>24.0</v>
      </c>
      <c r="CX35" s="133" t="str">
        <f t="shared" ref="CX35:CY35" si="97">B35</f>
        <v/>
      </c>
      <c r="CY35" s="134" t="str">
        <f t="shared" si="97"/>
        <v>Zambrano Zhicay Victor Humberto</v>
      </c>
      <c r="CZ35" s="135">
        <f t="shared" si="29"/>
        <v>8.36</v>
      </c>
      <c r="DA35" s="136"/>
      <c r="DB35" s="137">
        <f t="shared" si="30"/>
        <v>8.36</v>
      </c>
      <c r="DC35" s="138" t="str">
        <f t="shared" si="31"/>
        <v>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8"/>
        <v>0</v>
      </c>
      <c r="W36" s="62"/>
      <c r="X36" s="123">
        <f>'PROY. INTER'!W36</f>
        <v>0</v>
      </c>
      <c r="Y36" s="62">
        <f t="shared" si="9"/>
        <v>0</v>
      </c>
      <c r="Z36" s="62">
        <f t="shared" si="10"/>
        <v>0</v>
      </c>
      <c r="AA36" s="64">
        <f t="shared" si="11"/>
        <v>0</v>
      </c>
      <c r="AC36" s="2"/>
      <c r="AE36" s="56">
        <v>25.0</v>
      </c>
      <c r="AF36" s="65" t="str">
        <f t="shared" si="12"/>
        <v/>
      </c>
      <c r="AG36" s="140"/>
      <c r="AH36" s="140"/>
      <c r="AI36" s="140"/>
      <c r="AJ36" s="140"/>
      <c r="AK36" s="140"/>
      <c r="AL36" s="140"/>
      <c r="AM36" s="140"/>
      <c r="AN36" s="140"/>
      <c r="AO36" s="62"/>
      <c r="AP36" s="62"/>
      <c r="AQ36" s="143"/>
      <c r="AR36" s="143"/>
      <c r="AS36" s="143"/>
      <c r="AT36" s="143"/>
      <c r="AU36" s="143"/>
      <c r="AV36" s="143"/>
      <c r="AW36" s="141"/>
      <c r="AX36" s="141"/>
      <c r="AY36" s="62">
        <f t="shared" si="13"/>
        <v>0</v>
      </c>
      <c r="AZ36" s="62"/>
      <c r="BA36" s="123">
        <f>'PROY. INTER'!AX36</f>
        <v>0</v>
      </c>
      <c r="BB36" s="62">
        <f t="shared" si="14"/>
        <v>0</v>
      </c>
      <c r="BC36" s="62">
        <f t="shared" si="15"/>
        <v>0</v>
      </c>
      <c r="BD36" s="64">
        <f t="shared" si="16"/>
        <v>0</v>
      </c>
      <c r="BF36" s="2"/>
      <c r="BH36" s="56">
        <v>25.0</v>
      </c>
      <c r="BI36" s="124" t="str">
        <f t="shared" ref="BI36:BJ36" si="98">B36</f>
        <v/>
      </c>
      <c r="BJ36" s="125" t="str">
        <f t="shared" si="98"/>
        <v/>
      </c>
      <c r="BK36" s="140"/>
      <c r="BL36" s="140"/>
      <c r="BM36" s="140"/>
      <c r="BN36" s="140"/>
      <c r="BO36" s="140"/>
      <c r="BP36" s="140"/>
      <c r="BQ36" s="140"/>
      <c r="BR36" s="140"/>
      <c r="BS36" s="62"/>
      <c r="BT36" s="62"/>
      <c r="BU36" s="143"/>
      <c r="BV36" s="143"/>
      <c r="BW36" s="143"/>
      <c r="BX36" s="143"/>
      <c r="BY36" s="143"/>
      <c r="BZ36" s="143"/>
      <c r="CA36" s="141"/>
      <c r="CB36" s="141"/>
      <c r="CC36" s="62">
        <f t="shared" si="18"/>
        <v>0</v>
      </c>
      <c r="CD36" s="62"/>
      <c r="CE36" s="123">
        <f>'PROY. INTER'!BY36</f>
        <v>0</v>
      </c>
      <c r="CF36" s="62">
        <f t="shared" si="19"/>
        <v>0</v>
      </c>
      <c r="CG36" s="62">
        <f t="shared" si="20"/>
        <v>0</v>
      </c>
      <c r="CH36" s="64">
        <f t="shared" si="21"/>
        <v>0</v>
      </c>
      <c r="CJ36" s="2"/>
      <c r="CL36" s="126">
        <v>25.0</v>
      </c>
      <c r="CM36" s="127" t="str">
        <f t="shared" ref="CM36:CN36" si="99">B36</f>
        <v/>
      </c>
      <c r="CN36" s="128" t="str">
        <f t="shared" si="99"/>
        <v/>
      </c>
      <c r="CO36" s="129">
        <f t="shared" si="23"/>
        <v>0</v>
      </c>
      <c r="CP36" s="129">
        <f t="shared" si="24"/>
        <v>0</v>
      </c>
      <c r="CQ36" s="129">
        <f t="shared" si="25"/>
        <v>0</v>
      </c>
      <c r="CR36" s="130">
        <f t="shared" si="26"/>
        <v>0</v>
      </c>
      <c r="CS36" s="131" t="str">
        <f t="shared" si="27"/>
        <v>REPROBADO</v>
      </c>
      <c r="CU36" s="2"/>
      <c r="CW36" s="132">
        <v>25.0</v>
      </c>
      <c r="CX36" s="133" t="str">
        <f t="shared" ref="CX36:CY36" si="100">B36</f>
        <v/>
      </c>
      <c r="CY36" s="134" t="str">
        <f t="shared" si="100"/>
        <v/>
      </c>
      <c r="CZ36" s="135">
        <f t="shared" si="29"/>
        <v>0</v>
      </c>
      <c r="DA36" s="136"/>
      <c r="DB36" s="137">
        <f t="shared" si="30"/>
        <v>0</v>
      </c>
      <c r="DC36" s="138" t="str">
        <f t="shared" si="31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8"/>
        <v>0</v>
      </c>
      <c r="W37" s="62"/>
      <c r="X37" s="123">
        <f>'PROY. INTER'!W37</f>
        <v>0</v>
      </c>
      <c r="Y37" s="62">
        <f t="shared" si="9"/>
        <v>0</v>
      </c>
      <c r="Z37" s="62">
        <f t="shared" si="10"/>
        <v>0</v>
      </c>
      <c r="AA37" s="64">
        <f t="shared" si="11"/>
        <v>0</v>
      </c>
      <c r="AC37" s="2"/>
      <c r="AE37" s="56">
        <v>26.0</v>
      </c>
      <c r="AF37" s="65" t="str">
        <f t="shared" si="12"/>
        <v/>
      </c>
      <c r="AG37" s="140"/>
      <c r="AH37" s="140"/>
      <c r="AI37" s="140"/>
      <c r="AJ37" s="140"/>
      <c r="AK37" s="140"/>
      <c r="AL37" s="140"/>
      <c r="AM37" s="140"/>
      <c r="AN37" s="140"/>
      <c r="AO37" s="62"/>
      <c r="AP37" s="62"/>
      <c r="AQ37" s="143"/>
      <c r="AR37" s="143"/>
      <c r="AS37" s="143"/>
      <c r="AT37" s="143"/>
      <c r="AU37" s="143"/>
      <c r="AV37" s="143"/>
      <c r="AW37" s="141"/>
      <c r="AX37" s="141"/>
      <c r="AY37" s="62">
        <f t="shared" si="13"/>
        <v>0</v>
      </c>
      <c r="AZ37" s="62"/>
      <c r="BA37" s="123">
        <f>'PROY. INTER'!AX37</f>
        <v>0</v>
      </c>
      <c r="BB37" s="62">
        <f t="shared" si="14"/>
        <v>0</v>
      </c>
      <c r="BC37" s="62">
        <f t="shared" si="15"/>
        <v>0</v>
      </c>
      <c r="BD37" s="64">
        <f t="shared" si="16"/>
        <v>0</v>
      </c>
      <c r="BF37" s="2"/>
      <c r="BH37" s="56">
        <v>26.0</v>
      </c>
      <c r="BI37" s="124" t="str">
        <f t="shared" ref="BI37:BJ37" si="101">B37</f>
        <v/>
      </c>
      <c r="BJ37" s="125" t="str">
        <f t="shared" si="101"/>
        <v/>
      </c>
      <c r="BK37" s="140"/>
      <c r="BL37" s="140"/>
      <c r="BM37" s="140"/>
      <c r="BN37" s="140"/>
      <c r="BO37" s="140"/>
      <c r="BP37" s="140"/>
      <c r="BQ37" s="140"/>
      <c r="BR37" s="140"/>
      <c r="BS37" s="62"/>
      <c r="BT37" s="62"/>
      <c r="BU37" s="143"/>
      <c r="BV37" s="143"/>
      <c r="BW37" s="143"/>
      <c r="BX37" s="143"/>
      <c r="BY37" s="143"/>
      <c r="BZ37" s="143"/>
      <c r="CA37" s="141"/>
      <c r="CB37" s="141"/>
      <c r="CC37" s="62">
        <f t="shared" si="18"/>
        <v>0</v>
      </c>
      <c r="CD37" s="62"/>
      <c r="CE37" s="123">
        <f>'PROY. INTER'!BY37</f>
        <v>0</v>
      </c>
      <c r="CF37" s="62">
        <f t="shared" si="19"/>
        <v>0</v>
      </c>
      <c r="CG37" s="62">
        <f t="shared" si="20"/>
        <v>0</v>
      </c>
      <c r="CH37" s="64">
        <f t="shared" si="21"/>
        <v>0</v>
      </c>
      <c r="CJ37" s="2"/>
      <c r="CL37" s="126">
        <v>26.0</v>
      </c>
      <c r="CM37" s="127" t="str">
        <f t="shared" ref="CM37:CN37" si="102">B37</f>
        <v/>
      </c>
      <c r="CN37" s="128" t="str">
        <f t="shared" si="102"/>
        <v/>
      </c>
      <c r="CO37" s="129">
        <f t="shared" si="23"/>
        <v>0</v>
      </c>
      <c r="CP37" s="129">
        <f t="shared" si="24"/>
        <v>0</v>
      </c>
      <c r="CQ37" s="129">
        <f t="shared" si="25"/>
        <v>0</v>
      </c>
      <c r="CR37" s="130">
        <f t="shared" si="26"/>
        <v>0</v>
      </c>
      <c r="CS37" s="131" t="str">
        <f t="shared" si="27"/>
        <v>REPROBADO</v>
      </c>
      <c r="CU37" s="2"/>
      <c r="CW37" s="132">
        <v>26.0</v>
      </c>
      <c r="CX37" s="133" t="str">
        <f t="shared" ref="CX37:CY37" si="103">B37</f>
        <v/>
      </c>
      <c r="CY37" s="134" t="str">
        <f t="shared" si="103"/>
        <v/>
      </c>
      <c r="CZ37" s="135">
        <f t="shared" si="29"/>
        <v>0</v>
      </c>
      <c r="DA37" s="136"/>
      <c r="DB37" s="137">
        <f t="shared" si="30"/>
        <v>0</v>
      </c>
      <c r="DC37" s="138" t="str">
        <f t="shared" si="31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8"/>
        <v>0</v>
      </c>
      <c r="W38" s="62"/>
      <c r="X38" s="123">
        <f>'PROY. INTER'!W38</f>
        <v>0</v>
      </c>
      <c r="Y38" s="62">
        <f t="shared" si="9"/>
        <v>0</v>
      </c>
      <c r="Z38" s="62">
        <f t="shared" si="10"/>
        <v>0</v>
      </c>
      <c r="AA38" s="64">
        <f t="shared" si="11"/>
        <v>0</v>
      </c>
      <c r="AC38" s="2"/>
      <c r="AE38" s="56">
        <v>27.0</v>
      </c>
      <c r="AF38" s="65" t="str">
        <f t="shared" si="12"/>
        <v/>
      </c>
      <c r="AG38" s="140"/>
      <c r="AH38" s="140"/>
      <c r="AI38" s="140"/>
      <c r="AJ38" s="140"/>
      <c r="AK38" s="140"/>
      <c r="AL38" s="140"/>
      <c r="AM38" s="140"/>
      <c r="AN38" s="140"/>
      <c r="AO38" s="62"/>
      <c r="AP38" s="62"/>
      <c r="AQ38" s="143"/>
      <c r="AR38" s="143"/>
      <c r="AS38" s="143"/>
      <c r="AT38" s="143"/>
      <c r="AU38" s="143"/>
      <c r="AV38" s="143"/>
      <c r="AW38" s="141"/>
      <c r="AX38" s="141"/>
      <c r="AY38" s="62">
        <f t="shared" si="13"/>
        <v>0</v>
      </c>
      <c r="AZ38" s="62"/>
      <c r="BA38" s="123">
        <f>'PROY. INTER'!AX38</f>
        <v>0</v>
      </c>
      <c r="BB38" s="62">
        <f t="shared" si="14"/>
        <v>0</v>
      </c>
      <c r="BC38" s="62">
        <f t="shared" si="15"/>
        <v>0</v>
      </c>
      <c r="BD38" s="64">
        <f t="shared" si="16"/>
        <v>0</v>
      </c>
      <c r="BF38" s="2"/>
      <c r="BH38" s="56">
        <v>27.0</v>
      </c>
      <c r="BI38" s="124" t="str">
        <f t="shared" ref="BI38:BJ38" si="104">B38</f>
        <v/>
      </c>
      <c r="BJ38" s="125" t="str">
        <f t="shared" si="104"/>
        <v/>
      </c>
      <c r="BK38" s="140"/>
      <c r="BL38" s="140"/>
      <c r="BM38" s="140"/>
      <c r="BN38" s="140"/>
      <c r="BO38" s="140"/>
      <c r="BP38" s="140"/>
      <c r="BQ38" s="140"/>
      <c r="BR38" s="140"/>
      <c r="BS38" s="62"/>
      <c r="BT38" s="62"/>
      <c r="BU38" s="143"/>
      <c r="BV38" s="143"/>
      <c r="BW38" s="143"/>
      <c r="BX38" s="143"/>
      <c r="BY38" s="143"/>
      <c r="BZ38" s="143"/>
      <c r="CA38" s="141"/>
      <c r="CB38" s="141"/>
      <c r="CC38" s="62">
        <f t="shared" si="18"/>
        <v>0</v>
      </c>
      <c r="CD38" s="62"/>
      <c r="CE38" s="123">
        <f>'PROY. INTER'!BY38</f>
        <v>0</v>
      </c>
      <c r="CF38" s="62">
        <f t="shared" si="19"/>
        <v>0</v>
      </c>
      <c r="CG38" s="62">
        <f t="shared" si="20"/>
        <v>0</v>
      </c>
      <c r="CH38" s="64">
        <f t="shared" si="21"/>
        <v>0</v>
      </c>
      <c r="CJ38" s="2"/>
      <c r="CL38" s="126">
        <v>27.0</v>
      </c>
      <c r="CM38" s="127" t="str">
        <f t="shared" ref="CM38:CN38" si="105">B38</f>
        <v/>
      </c>
      <c r="CN38" s="128" t="str">
        <f t="shared" si="105"/>
        <v/>
      </c>
      <c r="CO38" s="129">
        <f t="shared" si="23"/>
        <v>0</v>
      </c>
      <c r="CP38" s="129">
        <f t="shared" si="24"/>
        <v>0</v>
      </c>
      <c r="CQ38" s="129">
        <f t="shared" si="25"/>
        <v>0</v>
      </c>
      <c r="CR38" s="130">
        <f t="shared" si="26"/>
        <v>0</v>
      </c>
      <c r="CS38" s="131" t="str">
        <f t="shared" si="27"/>
        <v>REPROBADO</v>
      </c>
      <c r="CU38" s="2"/>
      <c r="CW38" s="132">
        <v>27.0</v>
      </c>
      <c r="CX38" s="133" t="str">
        <f t="shared" ref="CX38:CY38" si="106">B38</f>
        <v/>
      </c>
      <c r="CY38" s="134" t="str">
        <f t="shared" si="106"/>
        <v/>
      </c>
      <c r="CZ38" s="135">
        <f t="shared" si="29"/>
        <v>0</v>
      </c>
      <c r="DA38" s="136"/>
      <c r="DB38" s="137">
        <f t="shared" si="30"/>
        <v>0</v>
      </c>
      <c r="DC38" s="138" t="str">
        <f t="shared" si="31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8"/>
        <v>0</v>
      </c>
      <c r="W39" s="62"/>
      <c r="X39" s="123">
        <f>'PROY. INTER'!W39</f>
        <v>0</v>
      </c>
      <c r="Y39" s="62">
        <f t="shared" si="9"/>
        <v>0</v>
      </c>
      <c r="Z39" s="62">
        <f t="shared" si="10"/>
        <v>0</v>
      </c>
      <c r="AA39" s="64">
        <f t="shared" si="11"/>
        <v>0</v>
      </c>
      <c r="AC39" s="2"/>
      <c r="AE39" s="56">
        <v>28.0</v>
      </c>
      <c r="AF39" s="65" t="str">
        <f t="shared" si="12"/>
        <v/>
      </c>
      <c r="AG39" s="140"/>
      <c r="AH39" s="140"/>
      <c r="AI39" s="140"/>
      <c r="AJ39" s="140"/>
      <c r="AK39" s="140"/>
      <c r="AL39" s="140"/>
      <c r="AM39" s="140"/>
      <c r="AN39" s="140"/>
      <c r="AO39" s="62"/>
      <c r="AP39" s="62"/>
      <c r="AQ39" s="143"/>
      <c r="AR39" s="143"/>
      <c r="AS39" s="143"/>
      <c r="AT39" s="143"/>
      <c r="AU39" s="143"/>
      <c r="AV39" s="143"/>
      <c r="AW39" s="141"/>
      <c r="AX39" s="141"/>
      <c r="AY39" s="62">
        <f t="shared" si="13"/>
        <v>0</v>
      </c>
      <c r="AZ39" s="62"/>
      <c r="BA39" s="123">
        <f>'PROY. INTER'!AX39</f>
        <v>0</v>
      </c>
      <c r="BB39" s="62">
        <f t="shared" si="14"/>
        <v>0</v>
      </c>
      <c r="BC39" s="62">
        <f t="shared" si="15"/>
        <v>0</v>
      </c>
      <c r="BD39" s="64">
        <f t="shared" si="16"/>
        <v>0</v>
      </c>
      <c r="BF39" s="2"/>
      <c r="BH39" s="56">
        <v>28.0</v>
      </c>
      <c r="BI39" s="124" t="str">
        <f t="shared" ref="BI39:BJ39" si="107">B39</f>
        <v/>
      </c>
      <c r="BJ39" s="125" t="str">
        <f t="shared" si="107"/>
        <v/>
      </c>
      <c r="BK39" s="140"/>
      <c r="BL39" s="140"/>
      <c r="BM39" s="140"/>
      <c r="BN39" s="140"/>
      <c r="BO39" s="140"/>
      <c r="BP39" s="140"/>
      <c r="BQ39" s="140"/>
      <c r="BR39" s="140"/>
      <c r="BS39" s="62"/>
      <c r="BT39" s="62"/>
      <c r="BU39" s="143"/>
      <c r="BV39" s="143"/>
      <c r="BW39" s="143"/>
      <c r="BX39" s="143"/>
      <c r="BY39" s="143"/>
      <c r="BZ39" s="143"/>
      <c r="CA39" s="141"/>
      <c r="CB39" s="141"/>
      <c r="CC39" s="62">
        <f t="shared" si="18"/>
        <v>0</v>
      </c>
      <c r="CD39" s="62"/>
      <c r="CE39" s="123">
        <f>'PROY. INTER'!BY39</f>
        <v>0</v>
      </c>
      <c r="CF39" s="62">
        <f t="shared" si="19"/>
        <v>0</v>
      </c>
      <c r="CG39" s="62">
        <f t="shared" si="20"/>
        <v>0</v>
      </c>
      <c r="CH39" s="64">
        <f t="shared" si="21"/>
        <v>0</v>
      </c>
      <c r="CJ39" s="2"/>
      <c r="CL39" s="126">
        <v>28.0</v>
      </c>
      <c r="CM39" s="127" t="str">
        <f t="shared" ref="CM39:CN39" si="108">B39</f>
        <v/>
      </c>
      <c r="CN39" s="128" t="str">
        <f t="shared" si="108"/>
        <v/>
      </c>
      <c r="CO39" s="129">
        <f t="shared" si="23"/>
        <v>0</v>
      </c>
      <c r="CP39" s="129">
        <f t="shared" si="24"/>
        <v>0</v>
      </c>
      <c r="CQ39" s="129">
        <f t="shared" si="25"/>
        <v>0</v>
      </c>
      <c r="CR39" s="130">
        <f t="shared" si="26"/>
        <v>0</v>
      </c>
      <c r="CS39" s="131" t="str">
        <f t="shared" si="27"/>
        <v>REPROBADO</v>
      </c>
      <c r="CU39" s="2"/>
      <c r="CW39" s="132">
        <v>28.0</v>
      </c>
      <c r="CX39" s="133" t="str">
        <f t="shared" ref="CX39:CY39" si="109">B39</f>
        <v/>
      </c>
      <c r="CY39" s="134" t="str">
        <f t="shared" si="109"/>
        <v/>
      </c>
      <c r="CZ39" s="135">
        <f t="shared" si="29"/>
        <v>0</v>
      </c>
      <c r="DA39" s="136"/>
      <c r="DB39" s="137">
        <f t="shared" si="30"/>
        <v>0</v>
      </c>
      <c r="DC39" s="138" t="str">
        <f t="shared" si="31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8"/>
        <v>0</v>
      </c>
      <c r="W40" s="62"/>
      <c r="X40" s="123">
        <f>'PROY. INTER'!W40</f>
        <v>0</v>
      </c>
      <c r="Y40" s="62">
        <f t="shared" si="9"/>
        <v>0</v>
      </c>
      <c r="Z40" s="62">
        <f t="shared" si="10"/>
        <v>0</v>
      </c>
      <c r="AA40" s="64">
        <f t="shared" si="11"/>
        <v>0</v>
      </c>
      <c r="AC40" s="2"/>
      <c r="AE40" s="56">
        <v>29.0</v>
      </c>
      <c r="AF40" s="65" t="str">
        <f t="shared" si="12"/>
        <v/>
      </c>
      <c r="AG40" s="140"/>
      <c r="AH40" s="140"/>
      <c r="AI40" s="140"/>
      <c r="AJ40" s="140"/>
      <c r="AK40" s="140"/>
      <c r="AL40" s="140"/>
      <c r="AM40" s="140"/>
      <c r="AN40" s="140"/>
      <c r="AO40" s="62"/>
      <c r="AP40" s="62"/>
      <c r="AQ40" s="143"/>
      <c r="AR40" s="143"/>
      <c r="AS40" s="143"/>
      <c r="AT40" s="143"/>
      <c r="AU40" s="143"/>
      <c r="AV40" s="143"/>
      <c r="AW40" s="141"/>
      <c r="AX40" s="141"/>
      <c r="AY40" s="62">
        <f t="shared" si="13"/>
        <v>0</v>
      </c>
      <c r="AZ40" s="62"/>
      <c r="BA40" s="123">
        <f>'PROY. INTER'!AX40</f>
        <v>0</v>
      </c>
      <c r="BB40" s="62">
        <f t="shared" si="14"/>
        <v>0</v>
      </c>
      <c r="BC40" s="62">
        <f t="shared" si="15"/>
        <v>0</v>
      </c>
      <c r="BD40" s="64">
        <f t="shared" si="16"/>
        <v>0</v>
      </c>
      <c r="BF40" s="2"/>
      <c r="BH40" s="56">
        <v>29.0</v>
      </c>
      <c r="BI40" s="124" t="str">
        <f t="shared" ref="BI40:BJ40" si="110">B40</f>
        <v/>
      </c>
      <c r="BJ40" s="125" t="str">
        <f t="shared" si="110"/>
        <v/>
      </c>
      <c r="BK40" s="140"/>
      <c r="BL40" s="140"/>
      <c r="BM40" s="140"/>
      <c r="BN40" s="140"/>
      <c r="BO40" s="140"/>
      <c r="BP40" s="140"/>
      <c r="BQ40" s="140"/>
      <c r="BR40" s="140"/>
      <c r="BS40" s="62"/>
      <c r="BT40" s="62"/>
      <c r="BU40" s="143"/>
      <c r="BV40" s="143"/>
      <c r="BW40" s="143"/>
      <c r="BX40" s="143"/>
      <c r="BY40" s="143"/>
      <c r="BZ40" s="143"/>
      <c r="CA40" s="141"/>
      <c r="CB40" s="141"/>
      <c r="CC40" s="62">
        <f t="shared" si="18"/>
        <v>0</v>
      </c>
      <c r="CD40" s="62"/>
      <c r="CE40" s="123">
        <f>'PROY. INTER'!BY40</f>
        <v>0</v>
      </c>
      <c r="CF40" s="62">
        <f t="shared" si="19"/>
        <v>0</v>
      </c>
      <c r="CG40" s="62">
        <f t="shared" si="20"/>
        <v>0</v>
      </c>
      <c r="CH40" s="64">
        <f t="shared" si="21"/>
        <v>0</v>
      </c>
      <c r="CJ40" s="2"/>
      <c r="CL40" s="126">
        <v>29.0</v>
      </c>
      <c r="CM40" s="127" t="str">
        <f t="shared" ref="CM40:CN40" si="111">B40</f>
        <v/>
      </c>
      <c r="CN40" s="128" t="str">
        <f t="shared" si="111"/>
        <v/>
      </c>
      <c r="CO40" s="129">
        <f t="shared" si="23"/>
        <v>0</v>
      </c>
      <c r="CP40" s="129">
        <f t="shared" si="24"/>
        <v>0</v>
      </c>
      <c r="CQ40" s="129">
        <f t="shared" si="25"/>
        <v>0</v>
      </c>
      <c r="CR40" s="130">
        <f t="shared" si="26"/>
        <v>0</v>
      </c>
      <c r="CS40" s="131" t="str">
        <f t="shared" si="27"/>
        <v>REPROBADO</v>
      </c>
      <c r="CU40" s="2"/>
      <c r="CW40" s="132">
        <v>29.0</v>
      </c>
      <c r="CX40" s="133" t="str">
        <f t="shared" ref="CX40:CY40" si="112">B40</f>
        <v/>
      </c>
      <c r="CY40" s="134" t="str">
        <f t="shared" si="112"/>
        <v/>
      </c>
      <c r="CZ40" s="135">
        <f t="shared" si="29"/>
        <v>0</v>
      </c>
      <c r="DA40" s="136"/>
      <c r="DB40" s="137">
        <f t="shared" si="30"/>
        <v>0</v>
      </c>
      <c r="DC40" s="138" t="str">
        <f t="shared" si="31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8"/>
        <v>0</v>
      </c>
      <c r="W41" s="62"/>
      <c r="X41" s="123">
        <f>'PROY. INTER'!W41</f>
        <v>0</v>
      </c>
      <c r="Y41" s="62">
        <f t="shared" si="9"/>
        <v>0</v>
      </c>
      <c r="Z41" s="62">
        <f t="shared" si="10"/>
        <v>0</v>
      </c>
      <c r="AA41" s="64">
        <f t="shared" si="11"/>
        <v>0</v>
      </c>
      <c r="AC41" s="2"/>
      <c r="AE41" s="56">
        <v>30.0</v>
      </c>
      <c r="AF41" s="65" t="str">
        <f t="shared" si="12"/>
        <v/>
      </c>
      <c r="AG41" s="140"/>
      <c r="AH41" s="140"/>
      <c r="AI41" s="140"/>
      <c r="AJ41" s="140"/>
      <c r="AK41" s="140"/>
      <c r="AL41" s="140"/>
      <c r="AM41" s="140"/>
      <c r="AN41" s="140"/>
      <c r="AO41" s="62"/>
      <c r="AP41" s="62"/>
      <c r="AQ41" s="143"/>
      <c r="AR41" s="143"/>
      <c r="AS41" s="143"/>
      <c r="AT41" s="143"/>
      <c r="AU41" s="143"/>
      <c r="AV41" s="143"/>
      <c r="AW41" s="141"/>
      <c r="AX41" s="141"/>
      <c r="AY41" s="62">
        <f t="shared" si="13"/>
        <v>0</v>
      </c>
      <c r="AZ41" s="62"/>
      <c r="BA41" s="123">
        <f>'PROY. INTER'!AX41</f>
        <v>0</v>
      </c>
      <c r="BB41" s="62">
        <f t="shared" si="14"/>
        <v>0</v>
      </c>
      <c r="BC41" s="62">
        <f t="shared" si="15"/>
        <v>0</v>
      </c>
      <c r="BD41" s="64">
        <f t="shared" si="16"/>
        <v>0</v>
      </c>
      <c r="BF41" s="2"/>
      <c r="BH41" s="56">
        <v>30.0</v>
      </c>
      <c r="BI41" s="124" t="str">
        <f t="shared" ref="BI41:BJ41" si="113">B41</f>
        <v/>
      </c>
      <c r="BJ41" s="125" t="str">
        <f t="shared" si="113"/>
        <v/>
      </c>
      <c r="BK41" s="140"/>
      <c r="BL41" s="140"/>
      <c r="BM41" s="140"/>
      <c r="BN41" s="140"/>
      <c r="BO41" s="140"/>
      <c r="BP41" s="140"/>
      <c r="BQ41" s="140"/>
      <c r="BR41" s="140"/>
      <c r="BS41" s="62"/>
      <c r="BT41" s="62"/>
      <c r="BU41" s="143"/>
      <c r="BV41" s="143"/>
      <c r="BW41" s="143"/>
      <c r="BX41" s="143"/>
      <c r="BY41" s="143"/>
      <c r="BZ41" s="143"/>
      <c r="CA41" s="141"/>
      <c r="CB41" s="141"/>
      <c r="CC41" s="62">
        <f t="shared" si="18"/>
        <v>0</v>
      </c>
      <c r="CD41" s="62"/>
      <c r="CE41" s="123">
        <f>'PROY. INTER'!BY41</f>
        <v>0</v>
      </c>
      <c r="CF41" s="62">
        <f t="shared" si="19"/>
        <v>0</v>
      </c>
      <c r="CG41" s="62">
        <f t="shared" si="20"/>
        <v>0</v>
      </c>
      <c r="CH41" s="64">
        <f t="shared" si="21"/>
        <v>0</v>
      </c>
      <c r="CJ41" s="2"/>
      <c r="CL41" s="126">
        <v>30.0</v>
      </c>
      <c r="CM41" s="127" t="str">
        <f t="shared" ref="CM41:CN41" si="114">B41</f>
        <v/>
      </c>
      <c r="CN41" s="128" t="str">
        <f t="shared" si="114"/>
        <v/>
      </c>
      <c r="CO41" s="129">
        <f t="shared" si="23"/>
        <v>0</v>
      </c>
      <c r="CP41" s="129">
        <f t="shared" si="24"/>
        <v>0</v>
      </c>
      <c r="CQ41" s="129">
        <f t="shared" si="25"/>
        <v>0</v>
      </c>
      <c r="CR41" s="130">
        <f t="shared" si="26"/>
        <v>0</v>
      </c>
      <c r="CS41" s="131" t="str">
        <f t="shared" si="27"/>
        <v>REPROBADO</v>
      </c>
      <c r="CU41" s="2"/>
      <c r="CW41" s="132">
        <v>30.0</v>
      </c>
      <c r="CX41" s="133" t="str">
        <f t="shared" ref="CX41:CY41" si="115">B41</f>
        <v/>
      </c>
      <c r="CY41" s="134" t="str">
        <f t="shared" si="115"/>
        <v/>
      </c>
      <c r="CZ41" s="135">
        <f t="shared" si="29"/>
        <v>0</v>
      </c>
      <c r="DA41" s="136"/>
      <c r="DB41" s="137">
        <f t="shared" si="30"/>
        <v>0</v>
      </c>
      <c r="DC41" s="138" t="str">
        <f t="shared" si="31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8"/>
        <v>0</v>
      </c>
      <c r="W42" s="62"/>
      <c r="X42" s="123">
        <f>'PROY. INTER'!W42</f>
        <v>0</v>
      </c>
      <c r="Y42" s="62">
        <f t="shared" si="9"/>
        <v>0</v>
      </c>
      <c r="Z42" s="62">
        <f t="shared" si="10"/>
        <v>0</v>
      </c>
      <c r="AA42" s="64">
        <f t="shared" si="11"/>
        <v>0</v>
      </c>
      <c r="AC42" s="2"/>
      <c r="AE42" s="56">
        <v>31.0</v>
      </c>
      <c r="AF42" s="125" t="str">
        <f t="shared" si="12"/>
        <v/>
      </c>
      <c r="AG42" s="140"/>
      <c r="AH42" s="140"/>
      <c r="AI42" s="140"/>
      <c r="AJ42" s="140"/>
      <c r="AK42" s="140"/>
      <c r="AL42" s="140"/>
      <c r="AM42" s="140"/>
      <c r="AN42" s="140"/>
      <c r="AO42" s="62"/>
      <c r="AP42" s="62"/>
      <c r="AQ42" s="143"/>
      <c r="AR42" s="143"/>
      <c r="AS42" s="143"/>
      <c r="AT42" s="143"/>
      <c r="AU42" s="143"/>
      <c r="AV42" s="143"/>
      <c r="AW42" s="141"/>
      <c r="AX42" s="141"/>
      <c r="AY42" s="62">
        <f t="shared" si="13"/>
        <v>0</v>
      </c>
      <c r="AZ42" s="62"/>
      <c r="BA42" s="123">
        <f>'PROY. INTER'!AX42</f>
        <v>0</v>
      </c>
      <c r="BB42" s="62">
        <f t="shared" si="14"/>
        <v>0</v>
      </c>
      <c r="BC42" s="62">
        <f t="shared" si="15"/>
        <v>0</v>
      </c>
      <c r="BD42" s="64">
        <f t="shared" si="16"/>
        <v>0</v>
      </c>
      <c r="BF42" s="2"/>
      <c r="BH42" s="56">
        <v>31.0</v>
      </c>
      <c r="BI42" s="124" t="str">
        <f t="shared" ref="BI42:BJ42" si="116">B42</f>
        <v/>
      </c>
      <c r="BJ42" s="125" t="str">
        <f t="shared" si="116"/>
        <v/>
      </c>
      <c r="BK42" s="140"/>
      <c r="BL42" s="140"/>
      <c r="BM42" s="140"/>
      <c r="BN42" s="140"/>
      <c r="BO42" s="140"/>
      <c r="BP42" s="140"/>
      <c r="BQ42" s="140"/>
      <c r="BR42" s="140"/>
      <c r="BS42" s="62"/>
      <c r="BT42" s="62"/>
      <c r="BU42" s="143"/>
      <c r="BV42" s="143"/>
      <c r="BW42" s="143"/>
      <c r="BX42" s="143"/>
      <c r="BY42" s="143"/>
      <c r="BZ42" s="143"/>
      <c r="CA42" s="141"/>
      <c r="CB42" s="141"/>
      <c r="CC42" s="62">
        <f t="shared" si="18"/>
        <v>0</v>
      </c>
      <c r="CD42" s="62"/>
      <c r="CE42" s="123">
        <f>'PROY. INTER'!BY42</f>
        <v>0</v>
      </c>
      <c r="CF42" s="62">
        <f t="shared" si="19"/>
        <v>0</v>
      </c>
      <c r="CG42" s="62">
        <f t="shared" si="20"/>
        <v>0</v>
      </c>
      <c r="CH42" s="64">
        <f t="shared" si="21"/>
        <v>0</v>
      </c>
      <c r="CJ42" s="2"/>
      <c r="CL42" s="126">
        <v>31.0</v>
      </c>
      <c r="CM42" s="127" t="str">
        <f t="shared" ref="CM42:CN42" si="117">B42</f>
        <v/>
      </c>
      <c r="CN42" s="128" t="str">
        <f t="shared" si="117"/>
        <v/>
      </c>
      <c r="CO42" s="129">
        <f t="shared" si="23"/>
        <v>0</v>
      </c>
      <c r="CP42" s="129">
        <f t="shared" si="24"/>
        <v>0</v>
      </c>
      <c r="CQ42" s="129">
        <f t="shared" si="25"/>
        <v>0</v>
      </c>
      <c r="CR42" s="130">
        <f t="shared" si="26"/>
        <v>0</v>
      </c>
      <c r="CS42" s="131" t="str">
        <f t="shared" si="27"/>
        <v>REPROBADO</v>
      </c>
      <c r="CU42" s="2"/>
      <c r="CW42" s="132">
        <v>31.0</v>
      </c>
      <c r="CX42" s="133" t="str">
        <f t="shared" ref="CX42:CY42" si="118">B42</f>
        <v/>
      </c>
      <c r="CY42" s="134" t="str">
        <f t="shared" si="118"/>
        <v/>
      </c>
      <c r="CZ42" s="135">
        <f t="shared" si="29"/>
        <v>0</v>
      </c>
      <c r="DA42" s="136"/>
      <c r="DB42" s="137">
        <f t="shared" si="30"/>
        <v>0</v>
      </c>
      <c r="DC42" s="138" t="str">
        <f t="shared" si="31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8"/>
        <v>0</v>
      </c>
      <c r="W43" s="62"/>
      <c r="X43" s="123">
        <f>'PROY. INTER'!W43</f>
        <v>0</v>
      </c>
      <c r="Y43" s="62">
        <f t="shared" si="9"/>
        <v>0</v>
      </c>
      <c r="Z43" s="62">
        <f t="shared" si="10"/>
        <v>0</v>
      </c>
      <c r="AA43" s="64">
        <f t="shared" si="11"/>
        <v>0</v>
      </c>
      <c r="AC43" s="2"/>
      <c r="AE43" s="56">
        <v>32.0</v>
      </c>
      <c r="AF43" s="125" t="str">
        <f t="shared" si="12"/>
        <v/>
      </c>
      <c r="AG43" s="140"/>
      <c r="AH43" s="140"/>
      <c r="AI43" s="140"/>
      <c r="AJ43" s="140"/>
      <c r="AK43" s="140"/>
      <c r="AL43" s="140"/>
      <c r="AM43" s="140"/>
      <c r="AN43" s="140"/>
      <c r="AO43" s="62"/>
      <c r="AP43" s="62"/>
      <c r="AQ43" s="143"/>
      <c r="AR43" s="143"/>
      <c r="AS43" s="143"/>
      <c r="AT43" s="143"/>
      <c r="AU43" s="143"/>
      <c r="AV43" s="143"/>
      <c r="AW43" s="141"/>
      <c r="AX43" s="141"/>
      <c r="AY43" s="62">
        <f t="shared" si="13"/>
        <v>0</v>
      </c>
      <c r="AZ43" s="62"/>
      <c r="BA43" s="123">
        <f>'PROY. INTER'!AX43</f>
        <v>0</v>
      </c>
      <c r="BB43" s="62">
        <f t="shared" si="14"/>
        <v>0</v>
      </c>
      <c r="BC43" s="62">
        <f t="shared" si="15"/>
        <v>0</v>
      </c>
      <c r="BD43" s="64">
        <f t="shared" si="16"/>
        <v>0</v>
      </c>
      <c r="BF43" s="2"/>
      <c r="BH43" s="56">
        <v>32.0</v>
      </c>
      <c r="BI43" s="124" t="str">
        <f t="shared" ref="BI43:BJ43" si="119">B43</f>
        <v/>
      </c>
      <c r="BJ43" s="125" t="str">
        <f t="shared" si="119"/>
        <v/>
      </c>
      <c r="BK43" s="140"/>
      <c r="BL43" s="140"/>
      <c r="BM43" s="140"/>
      <c r="BN43" s="140"/>
      <c r="BO43" s="140"/>
      <c r="BP43" s="140"/>
      <c r="BQ43" s="140"/>
      <c r="BR43" s="140"/>
      <c r="BS43" s="62"/>
      <c r="BT43" s="62"/>
      <c r="BU43" s="143"/>
      <c r="BV43" s="143"/>
      <c r="BW43" s="143"/>
      <c r="BX43" s="143"/>
      <c r="BY43" s="143"/>
      <c r="BZ43" s="143"/>
      <c r="CA43" s="141"/>
      <c r="CB43" s="141"/>
      <c r="CC43" s="62">
        <f t="shared" si="18"/>
        <v>0</v>
      </c>
      <c r="CD43" s="62"/>
      <c r="CE43" s="123">
        <f>'PROY. INTER'!BY43</f>
        <v>0</v>
      </c>
      <c r="CF43" s="62">
        <f t="shared" si="19"/>
        <v>0</v>
      </c>
      <c r="CG43" s="62">
        <f t="shared" si="20"/>
        <v>0</v>
      </c>
      <c r="CH43" s="64">
        <f t="shared" si="21"/>
        <v>0</v>
      </c>
      <c r="CJ43" s="2"/>
      <c r="CL43" s="126">
        <v>32.0</v>
      </c>
      <c r="CM43" s="127" t="str">
        <f t="shared" ref="CM43:CN43" si="120">B43</f>
        <v/>
      </c>
      <c r="CN43" s="128" t="str">
        <f t="shared" si="120"/>
        <v/>
      </c>
      <c r="CO43" s="129">
        <f t="shared" si="23"/>
        <v>0</v>
      </c>
      <c r="CP43" s="129">
        <f t="shared" si="24"/>
        <v>0</v>
      </c>
      <c r="CQ43" s="129">
        <f t="shared" si="25"/>
        <v>0</v>
      </c>
      <c r="CR43" s="130">
        <f t="shared" si="26"/>
        <v>0</v>
      </c>
      <c r="CS43" s="131" t="str">
        <f t="shared" si="27"/>
        <v>REPROBADO</v>
      </c>
      <c r="CU43" s="2"/>
      <c r="CW43" s="132">
        <v>32.0</v>
      </c>
      <c r="CX43" s="133" t="str">
        <f t="shared" ref="CX43:CY43" si="121">B43</f>
        <v/>
      </c>
      <c r="CY43" s="134" t="str">
        <f t="shared" si="121"/>
        <v/>
      </c>
      <c r="CZ43" s="135">
        <f t="shared" si="29"/>
        <v>0</v>
      </c>
      <c r="DA43" s="136"/>
      <c r="DB43" s="137">
        <f t="shared" si="30"/>
        <v>0</v>
      </c>
      <c r="DC43" s="138" t="str">
        <f t="shared" si="31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8"/>
        <v>0</v>
      </c>
      <c r="W44" s="62"/>
      <c r="X44" s="123">
        <f>'PROY. INTER'!W44</f>
        <v>0</v>
      </c>
      <c r="Y44" s="62">
        <f t="shared" si="9"/>
        <v>0</v>
      </c>
      <c r="Z44" s="62">
        <f t="shared" si="10"/>
        <v>0</v>
      </c>
      <c r="AA44" s="64">
        <f t="shared" si="11"/>
        <v>0</v>
      </c>
      <c r="AC44" s="2"/>
      <c r="AE44" s="56">
        <v>33.0</v>
      </c>
      <c r="AF44" s="125" t="str">
        <f t="shared" si="12"/>
        <v/>
      </c>
      <c r="AG44" s="140"/>
      <c r="AH44" s="140"/>
      <c r="AI44" s="140"/>
      <c r="AJ44" s="140"/>
      <c r="AK44" s="140"/>
      <c r="AL44" s="140"/>
      <c r="AM44" s="140"/>
      <c r="AN44" s="140"/>
      <c r="AO44" s="62"/>
      <c r="AP44" s="62"/>
      <c r="AQ44" s="143"/>
      <c r="AR44" s="143"/>
      <c r="AS44" s="143"/>
      <c r="AT44" s="143"/>
      <c r="AU44" s="143"/>
      <c r="AV44" s="143"/>
      <c r="AW44" s="141"/>
      <c r="AX44" s="141"/>
      <c r="AY44" s="62">
        <f t="shared" si="13"/>
        <v>0</v>
      </c>
      <c r="AZ44" s="62"/>
      <c r="BA44" s="123">
        <f>'PROY. INTER'!AX44</f>
        <v>0</v>
      </c>
      <c r="BB44" s="62">
        <f t="shared" si="14"/>
        <v>0</v>
      </c>
      <c r="BC44" s="62">
        <f t="shared" si="15"/>
        <v>0</v>
      </c>
      <c r="BD44" s="64">
        <f t="shared" si="16"/>
        <v>0</v>
      </c>
      <c r="BF44" s="2"/>
      <c r="BH44" s="56">
        <v>33.0</v>
      </c>
      <c r="BI44" s="124" t="str">
        <f t="shared" ref="BI44:BJ44" si="122">B44</f>
        <v/>
      </c>
      <c r="BJ44" s="125" t="str">
        <f t="shared" si="122"/>
        <v/>
      </c>
      <c r="BK44" s="140"/>
      <c r="BL44" s="140"/>
      <c r="BM44" s="140"/>
      <c r="BN44" s="140"/>
      <c r="BO44" s="140"/>
      <c r="BP44" s="140"/>
      <c r="BQ44" s="140"/>
      <c r="BR44" s="140"/>
      <c r="BS44" s="62"/>
      <c r="BT44" s="62"/>
      <c r="BU44" s="143"/>
      <c r="BV44" s="143"/>
      <c r="BW44" s="143"/>
      <c r="BX44" s="143"/>
      <c r="BY44" s="143"/>
      <c r="BZ44" s="143"/>
      <c r="CA44" s="141"/>
      <c r="CB44" s="141"/>
      <c r="CC44" s="62">
        <f t="shared" si="18"/>
        <v>0</v>
      </c>
      <c r="CD44" s="62"/>
      <c r="CE44" s="123">
        <f>'PROY. INTER'!BY44</f>
        <v>0</v>
      </c>
      <c r="CF44" s="62">
        <f t="shared" si="19"/>
        <v>0</v>
      </c>
      <c r="CG44" s="62">
        <f t="shared" si="20"/>
        <v>0</v>
      </c>
      <c r="CH44" s="64">
        <f t="shared" si="21"/>
        <v>0</v>
      </c>
      <c r="CJ44" s="2"/>
      <c r="CL44" s="126">
        <v>33.0</v>
      </c>
      <c r="CM44" s="127" t="str">
        <f t="shared" ref="CM44:CN44" si="123">B44</f>
        <v/>
      </c>
      <c r="CN44" s="128" t="str">
        <f t="shared" si="123"/>
        <v/>
      </c>
      <c r="CO44" s="129">
        <f t="shared" si="23"/>
        <v>0</v>
      </c>
      <c r="CP44" s="129">
        <f t="shared" si="24"/>
        <v>0</v>
      </c>
      <c r="CQ44" s="129">
        <f t="shared" si="25"/>
        <v>0</v>
      </c>
      <c r="CR44" s="130">
        <f t="shared" si="26"/>
        <v>0</v>
      </c>
      <c r="CS44" s="131" t="str">
        <f t="shared" si="27"/>
        <v>REPROBADO</v>
      </c>
      <c r="CU44" s="2"/>
      <c r="CW44" s="132">
        <v>33.0</v>
      </c>
      <c r="CX44" s="133" t="str">
        <f t="shared" ref="CX44:CY44" si="124">B44</f>
        <v/>
      </c>
      <c r="CY44" s="134" t="str">
        <f t="shared" si="124"/>
        <v/>
      </c>
      <c r="CZ44" s="135">
        <f t="shared" si="29"/>
        <v>0</v>
      </c>
      <c r="DA44" s="136"/>
      <c r="DB44" s="137">
        <f t="shared" si="30"/>
        <v>0</v>
      </c>
      <c r="DC44" s="138" t="str">
        <f t="shared" si="31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8"/>
        <v>0</v>
      </c>
      <c r="W45" s="62"/>
      <c r="X45" s="123">
        <f>'PROY. INTER'!W45</f>
        <v>0</v>
      </c>
      <c r="Y45" s="62">
        <f t="shared" si="9"/>
        <v>0</v>
      </c>
      <c r="Z45" s="62">
        <f t="shared" si="10"/>
        <v>0</v>
      </c>
      <c r="AA45" s="64">
        <f t="shared" si="11"/>
        <v>0</v>
      </c>
      <c r="AC45" s="2"/>
      <c r="AE45" s="56">
        <v>34.0</v>
      </c>
      <c r="AF45" s="125" t="str">
        <f t="shared" si="12"/>
        <v/>
      </c>
      <c r="AG45" s="140"/>
      <c r="AH45" s="140"/>
      <c r="AI45" s="140"/>
      <c r="AJ45" s="140"/>
      <c r="AK45" s="140"/>
      <c r="AL45" s="140"/>
      <c r="AM45" s="140"/>
      <c r="AN45" s="140"/>
      <c r="AO45" s="62"/>
      <c r="AP45" s="62"/>
      <c r="AQ45" s="143"/>
      <c r="AR45" s="143"/>
      <c r="AS45" s="143"/>
      <c r="AT45" s="143"/>
      <c r="AU45" s="143"/>
      <c r="AV45" s="143"/>
      <c r="AW45" s="141"/>
      <c r="AX45" s="141"/>
      <c r="AY45" s="62">
        <f t="shared" si="13"/>
        <v>0</v>
      </c>
      <c r="AZ45" s="62"/>
      <c r="BA45" s="123">
        <f>'PROY. INTER'!AX45</f>
        <v>0</v>
      </c>
      <c r="BB45" s="62">
        <f t="shared" si="14"/>
        <v>0</v>
      </c>
      <c r="BC45" s="62">
        <f t="shared" si="15"/>
        <v>0</v>
      </c>
      <c r="BD45" s="64">
        <f t="shared" si="16"/>
        <v>0</v>
      </c>
      <c r="BF45" s="2"/>
      <c r="BH45" s="56">
        <v>34.0</v>
      </c>
      <c r="BI45" s="124" t="str">
        <f t="shared" ref="BI45:BJ45" si="125">B45</f>
        <v/>
      </c>
      <c r="BJ45" s="125" t="str">
        <f t="shared" si="125"/>
        <v/>
      </c>
      <c r="BK45" s="140"/>
      <c r="BL45" s="140"/>
      <c r="BM45" s="140"/>
      <c r="BN45" s="140"/>
      <c r="BO45" s="140"/>
      <c r="BP45" s="140"/>
      <c r="BQ45" s="140"/>
      <c r="BR45" s="140"/>
      <c r="BS45" s="62"/>
      <c r="BT45" s="62"/>
      <c r="BU45" s="143"/>
      <c r="BV45" s="143"/>
      <c r="BW45" s="143"/>
      <c r="BX45" s="143"/>
      <c r="BY45" s="143"/>
      <c r="BZ45" s="143"/>
      <c r="CA45" s="141"/>
      <c r="CB45" s="141"/>
      <c r="CC45" s="62">
        <f t="shared" si="18"/>
        <v>0</v>
      </c>
      <c r="CD45" s="62"/>
      <c r="CE45" s="123">
        <f>'PROY. INTER'!BY45</f>
        <v>0</v>
      </c>
      <c r="CF45" s="62">
        <f t="shared" si="19"/>
        <v>0</v>
      </c>
      <c r="CG45" s="62">
        <f t="shared" si="20"/>
        <v>0</v>
      </c>
      <c r="CH45" s="64">
        <f t="shared" si="21"/>
        <v>0</v>
      </c>
      <c r="CJ45" s="2"/>
      <c r="CL45" s="126">
        <v>34.0</v>
      </c>
      <c r="CM45" s="127" t="str">
        <f t="shared" ref="CM45:CN45" si="126">B45</f>
        <v/>
      </c>
      <c r="CN45" s="128" t="str">
        <f t="shared" si="126"/>
        <v/>
      </c>
      <c r="CO45" s="129">
        <f t="shared" si="23"/>
        <v>0</v>
      </c>
      <c r="CP45" s="129">
        <f t="shared" si="24"/>
        <v>0</v>
      </c>
      <c r="CQ45" s="129">
        <f t="shared" si="25"/>
        <v>0</v>
      </c>
      <c r="CR45" s="130">
        <f t="shared" si="26"/>
        <v>0</v>
      </c>
      <c r="CS45" s="131" t="str">
        <f t="shared" si="27"/>
        <v>REPROBADO</v>
      </c>
      <c r="CU45" s="2"/>
      <c r="CW45" s="132">
        <v>34.0</v>
      </c>
      <c r="CX45" s="133" t="str">
        <f t="shared" ref="CX45:CY45" si="127">B45</f>
        <v/>
      </c>
      <c r="CY45" s="134" t="str">
        <f t="shared" si="127"/>
        <v/>
      </c>
      <c r="CZ45" s="135">
        <f t="shared" si="29"/>
        <v>0</v>
      </c>
      <c r="DA45" s="136"/>
      <c r="DB45" s="137">
        <f t="shared" si="30"/>
        <v>0</v>
      </c>
      <c r="DC45" s="138" t="str">
        <f t="shared" si="31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8"/>
        <v>0</v>
      </c>
      <c r="W46" s="62"/>
      <c r="X46" s="123">
        <f>'PROY. INTER'!W46</f>
        <v>0</v>
      </c>
      <c r="Y46" s="62">
        <f t="shared" si="9"/>
        <v>0</v>
      </c>
      <c r="Z46" s="62">
        <f t="shared" si="10"/>
        <v>0</v>
      </c>
      <c r="AA46" s="64">
        <f t="shared" si="11"/>
        <v>0</v>
      </c>
      <c r="AC46" s="2"/>
      <c r="AE46" s="56">
        <v>35.0</v>
      </c>
      <c r="AF46" s="125" t="str">
        <f t="shared" si="12"/>
        <v/>
      </c>
      <c r="AG46" s="140"/>
      <c r="AH46" s="140"/>
      <c r="AI46" s="140"/>
      <c r="AJ46" s="140"/>
      <c r="AK46" s="140"/>
      <c r="AL46" s="140"/>
      <c r="AM46" s="140"/>
      <c r="AN46" s="140"/>
      <c r="AO46" s="62"/>
      <c r="AP46" s="62"/>
      <c r="AQ46" s="143"/>
      <c r="AR46" s="143"/>
      <c r="AS46" s="143"/>
      <c r="AT46" s="143"/>
      <c r="AU46" s="143"/>
      <c r="AV46" s="143"/>
      <c r="AW46" s="141"/>
      <c r="AX46" s="141"/>
      <c r="AY46" s="62">
        <f t="shared" si="13"/>
        <v>0</v>
      </c>
      <c r="AZ46" s="62"/>
      <c r="BA46" s="123">
        <f>'PROY. INTER'!AX46</f>
        <v>0</v>
      </c>
      <c r="BB46" s="62">
        <f t="shared" si="14"/>
        <v>0</v>
      </c>
      <c r="BC46" s="62">
        <f t="shared" si="15"/>
        <v>0</v>
      </c>
      <c r="BD46" s="64">
        <f t="shared" si="16"/>
        <v>0</v>
      </c>
      <c r="BF46" s="2"/>
      <c r="BH46" s="56">
        <v>35.0</v>
      </c>
      <c r="BI46" s="124" t="str">
        <f t="shared" ref="BI46:BJ46" si="128">B46</f>
        <v/>
      </c>
      <c r="BJ46" s="125" t="str">
        <f t="shared" si="128"/>
        <v/>
      </c>
      <c r="BK46" s="140"/>
      <c r="BL46" s="140"/>
      <c r="BM46" s="140"/>
      <c r="BN46" s="140"/>
      <c r="BO46" s="140"/>
      <c r="BP46" s="140"/>
      <c r="BQ46" s="140"/>
      <c r="BR46" s="140"/>
      <c r="BS46" s="62"/>
      <c r="BT46" s="62"/>
      <c r="BU46" s="143"/>
      <c r="BV46" s="143"/>
      <c r="BW46" s="143"/>
      <c r="BX46" s="143"/>
      <c r="BY46" s="143"/>
      <c r="BZ46" s="143"/>
      <c r="CA46" s="141"/>
      <c r="CB46" s="141"/>
      <c r="CC46" s="62">
        <f t="shared" si="18"/>
        <v>0</v>
      </c>
      <c r="CD46" s="62"/>
      <c r="CE46" s="123">
        <f>'PROY. INTER'!BY46</f>
        <v>0</v>
      </c>
      <c r="CF46" s="62">
        <f t="shared" si="19"/>
        <v>0</v>
      </c>
      <c r="CG46" s="62">
        <f t="shared" si="20"/>
        <v>0</v>
      </c>
      <c r="CH46" s="64">
        <f t="shared" si="21"/>
        <v>0</v>
      </c>
      <c r="CJ46" s="2"/>
      <c r="CL46" s="126">
        <v>35.0</v>
      </c>
      <c r="CM46" s="127" t="str">
        <f t="shared" ref="CM46:CN46" si="129">B46</f>
        <v/>
      </c>
      <c r="CN46" s="128" t="str">
        <f t="shared" si="129"/>
        <v/>
      </c>
      <c r="CO46" s="129">
        <f t="shared" si="23"/>
        <v>0</v>
      </c>
      <c r="CP46" s="129">
        <f t="shared" si="24"/>
        <v>0</v>
      </c>
      <c r="CQ46" s="129">
        <f t="shared" si="25"/>
        <v>0</v>
      </c>
      <c r="CR46" s="130">
        <f t="shared" si="26"/>
        <v>0</v>
      </c>
      <c r="CS46" s="131" t="str">
        <f t="shared" si="27"/>
        <v>REPROBADO</v>
      </c>
      <c r="CU46" s="2"/>
      <c r="CW46" s="132">
        <v>35.0</v>
      </c>
      <c r="CX46" s="133" t="str">
        <f t="shared" ref="CX46:CY46" si="130">B46</f>
        <v/>
      </c>
      <c r="CY46" s="134" t="str">
        <f t="shared" si="130"/>
        <v/>
      </c>
      <c r="CZ46" s="135">
        <f t="shared" si="29"/>
        <v>0</v>
      </c>
      <c r="DA46" s="136"/>
      <c r="DB46" s="137">
        <f t="shared" si="30"/>
        <v>0</v>
      </c>
      <c r="DC46" s="138" t="str">
        <f t="shared" si="31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8"/>
        <v>0</v>
      </c>
      <c r="W47" s="62"/>
      <c r="X47" s="123">
        <f>'PROY. INTER'!W47</f>
        <v>0</v>
      </c>
      <c r="Y47" s="62">
        <f t="shared" si="9"/>
        <v>0</v>
      </c>
      <c r="Z47" s="62">
        <f t="shared" si="10"/>
        <v>0</v>
      </c>
      <c r="AA47" s="64">
        <f t="shared" si="11"/>
        <v>0</v>
      </c>
      <c r="AC47" s="2"/>
      <c r="AE47" s="56">
        <v>36.0</v>
      </c>
      <c r="AF47" s="125" t="str">
        <f t="shared" si="12"/>
        <v/>
      </c>
      <c r="AG47" s="140"/>
      <c r="AH47" s="140"/>
      <c r="AI47" s="140"/>
      <c r="AJ47" s="140"/>
      <c r="AK47" s="140"/>
      <c r="AL47" s="140"/>
      <c r="AM47" s="140"/>
      <c r="AN47" s="140"/>
      <c r="AO47" s="62"/>
      <c r="AP47" s="62"/>
      <c r="AQ47" s="143"/>
      <c r="AR47" s="143"/>
      <c r="AS47" s="143"/>
      <c r="AT47" s="143"/>
      <c r="AU47" s="143"/>
      <c r="AV47" s="143"/>
      <c r="AW47" s="141"/>
      <c r="AX47" s="141"/>
      <c r="AY47" s="62">
        <f t="shared" si="13"/>
        <v>0</v>
      </c>
      <c r="AZ47" s="62"/>
      <c r="BA47" s="123">
        <f>'PROY. INTER'!AX47</f>
        <v>0</v>
      </c>
      <c r="BB47" s="62">
        <f t="shared" si="14"/>
        <v>0</v>
      </c>
      <c r="BC47" s="62">
        <f t="shared" si="15"/>
        <v>0</v>
      </c>
      <c r="BD47" s="64">
        <f t="shared" si="16"/>
        <v>0</v>
      </c>
      <c r="BF47" s="2"/>
      <c r="BH47" s="56">
        <v>36.0</v>
      </c>
      <c r="BI47" s="124" t="str">
        <f t="shared" ref="BI47:BJ47" si="131">B47</f>
        <v/>
      </c>
      <c r="BJ47" s="125" t="str">
        <f t="shared" si="131"/>
        <v/>
      </c>
      <c r="BK47" s="140"/>
      <c r="BL47" s="140"/>
      <c r="BM47" s="140"/>
      <c r="BN47" s="140"/>
      <c r="BO47" s="140"/>
      <c r="BP47" s="140"/>
      <c r="BQ47" s="140"/>
      <c r="BR47" s="140"/>
      <c r="BS47" s="62"/>
      <c r="BT47" s="62"/>
      <c r="BU47" s="143"/>
      <c r="BV47" s="143"/>
      <c r="BW47" s="143"/>
      <c r="BX47" s="143"/>
      <c r="BY47" s="143"/>
      <c r="BZ47" s="143"/>
      <c r="CA47" s="141"/>
      <c r="CB47" s="141"/>
      <c r="CC47" s="62">
        <f t="shared" si="18"/>
        <v>0</v>
      </c>
      <c r="CD47" s="62"/>
      <c r="CE47" s="123">
        <f>'PROY. INTER'!BY47</f>
        <v>0</v>
      </c>
      <c r="CF47" s="62">
        <f t="shared" si="19"/>
        <v>0</v>
      </c>
      <c r="CG47" s="62">
        <f t="shared" si="20"/>
        <v>0</v>
      </c>
      <c r="CH47" s="64">
        <f t="shared" si="21"/>
        <v>0</v>
      </c>
      <c r="CJ47" s="2"/>
      <c r="CL47" s="126">
        <v>36.0</v>
      </c>
      <c r="CM47" s="127" t="str">
        <f t="shared" ref="CM47:CN47" si="132">B47</f>
        <v/>
      </c>
      <c r="CN47" s="128" t="str">
        <f t="shared" si="132"/>
        <v/>
      </c>
      <c r="CO47" s="129">
        <f t="shared" si="23"/>
        <v>0</v>
      </c>
      <c r="CP47" s="129">
        <f t="shared" si="24"/>
        <v>0</v>
      </c>
      <c r="CQ47" s="129">
        <f t="shared" si="25"/>
        <v>0</v>
      </c>
      <c r="CR47" s="130">
        <f t="shared" si="26"/>
        <v>0</v>
      </c>
      <c r="CS47" s="131" t="str">
        <f t="shared" si="27"/>
        <v>REPROBADO</v>
      </c>
      <c r="CU47" s="2"/>
      <c r="CW47" s="132">
        <v>36.0</v>
      </c>
      <c r="CX47" s="133" t="str">
        <f t="shared" ref="CX47:CY47" si="133">B47</f>
        <v/>
      </c>
      <c r="CY47" s="134" t="str">
        <f t="shared" si="133"/>
        <v/>
      </c>
      <c r="CZ47" s="135">
        <f t="shared" si="29"/>
        <v>0</v>
      </c>
      <c r="DA47" s="136"/>
      <c r="DB47" s="137">
        <f t="shared" si="30"/>
        <v>0</v>
      </c>
      <c r="DC47" s="138" t="str">
        <f t="shared" si="31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8"/>
        <v>0</v>
      </c>
      <c r="W48" s="62"/>
      <c r="X48" s="123">
        <f>'PROY. INTER'!W48</f>
        <v>0</v>
      </c>
      <c r="Y48" s="62">
        <f t="shared" si="9"/>
        <v>0</v>
      </c>
      <c r="Z48" s="62">
        <f t="shared" si="10"/>
        <v>0</v>
      </c>
      <c r="AA48" s="64">
        <f t="shared" si="11"/>
        <v>0</v>
      </c>
      <c r="AC48" s="2"/>
      <c r="AE48" s="56">
        <v>37.0</v>
      </c>
      <c r="AF48" s="125" t="str">
        <f t="shared" si="12"/>
        <v/>
      </c>
      <c r="AG48" s="140"/>
      <c r="AH48" s="140"/>
      <c r="AI48" s="140"/>
      <c r="AJ48" s="140"/>
      <c r="AK48" s="140"/>
      <c r="AL48" s="140"/>
      <c r="AM48" s="140"/>
      <c r="AN48" s="140"/>
      <c r="AO48" s="62"/>
      <c r="AP48" s="62"/>
      <c r="AQ48" s="143"/>
      <c r="AR48" s="143"/>
      <c r="AS48" s="143"/>
      <c r="AT48" s="143"/>
      <c r="AU48" s="143"/>
      <c r="AV48" s="143"/>
      <c r="AW48" s="141"/>
      <c r="AX48" s="141"/>
      <c r="AY48" s="62">
        <f t="shared" si="13"/>
        <v>0</v>
      </c>
      <c r="AZ48" s="62"/>
      <c r="BA48" s="123">
        <f>'PROY. INTER'!AX48</f>
        <v>0</v>
      </c>
      <c r="BB48" s="62">
        <f t="shared" si="14"/>
        <v>0</v>
      </c>
      <c r="BC48" s="62">
        <f t="shared" si="15"/>
        <v>0</v>
      </c>
      <c r="BD48" s="64">
        <f t="shared" si="16"/>
        <v>0</v>
      </c>
      <c r="BF48" s="2"/>
      <c r="BH48" s="56">
        <v>37.0</v>
      </c>
      <c r="BI48" s="124" t="str">
        <f t="shared" ref="BI48:BJ48" si="134">B48</f>
        <v/>
      </c>
      <c r="BJ48" s="125" t="str">
        <f t="shared" si="134"/>
        <v/>
      </c>
      <c r="BK48" s="140"/>
      <c r="BL48" s="140"/>
      <c r="BM48" s="140"/>
      <c r="BN48" s="140"/>
      <c r="BO48" s="140"/>
      <c r="BP48" s="140"/>
      <c r="BQ48" s="140"/>
      <c r="BR48" s="140"/>
      <c r="BS48" s="62"/>
      <c r="BT48" s="62"/>
      <c r="BU48" s="143"/>
      <c r="BV48" s="143"/>
      <c r="BW48" s="143"/>
      <c r="BX48" s="143"/>
      <c r="BY48" s="143"/>
      <c r="BZ48" s="143"/>
      <c r="CA48" s="141"/>
      <c r="CB48" s="141"/>
      <c r="CC48" s="62">
        <f t="shared" si="18"/>
        <v>0</v>
      </c>
      <c r="CD48" s="62"/>
      <c r="CE48" s="123">
        <f>'PROY. INTER'!BY48</f>
        <v>0</v>
      </c>
      <c r="CF48" s="62">
        <f t="shared" si="19"/>
        <v>0</v>
      </c>
      <c r="CG48" s="62">
        <f t="shared" si="20"/>
        <v>0</v>
      </c>
      <c r="CH48" s="64">
        <f t="shared" si="21"/>
        <v>0</v>
      </c>
      <c r="CJ48" s="2"/>
      <c r="CL48" s="126">
        <v>37.0</v>
      </c>
      <c r="CM48" s="127" t="str">
        <f t="shared" ref="CM48:CN48" si="135">B48</f>
        <v/>
      </c>
      <c r="CN48" s="128" t="str">
        <f t="shared" si="135"/>
        <v/>
      </c>
      <c r="CO48" s="129">
        <f t="shared" si="23"/>
        <v>0</v>
      </c>
      <c r="CP48" s="129">
        <f t="shared" si="24"/>
        <v>0</v>
      </c>
      <c r="CQ48" s="129">
        <f t="shared" si="25"/>
        <v>0</v>
      </c>
      <c r="CR48" s="130">
        <f t="shared" si="26"/>
        <v>0</v>
      </c>
      <c r="CS48" s="131" t="str">
        <f t="shared" si="27"/>
        <v>REPROBADO</v>
      </c>
      <c r="CU48" s="2"/>
      <c r="CW48" s="132">
        <v>37.0</v>
      </c>
      <c r="CX48" s="133" t="str">
        <f t="shared" ref="CX48:CY48" si="136">B48</f>
        <v/>
      </c>
      <c r="CY48" s="134" t="str">
        <f t="shared" si="136"/>
        <v/>
      </c>
      <c r="CZ48" s="135">
        <f t="shared" si="29"/>
        <v>0</v>
      </c>
      <c r="DA48" s="136"/>
      <c r="DB48" s="137">
        <f t="shared" si="30"/>
        <v>0</v>
      </c>
      <c r="DC48" s="138" t="str">
        <f t="shared" si="31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8"/>
        <v>0</v>
      </c>
      <c r="W49" s="62"/>
      <c r="X49" s="123">
        <f>'PROY. INTER'!W49</f>
        <v>0</v>
      </c>
      <c r="Y49" s="62">
        <f t="shared" si="9"/>
        <v>0</v>
      </c>
      <c r="Z49" s="62">
        <f t="shared" si="10"/>
        <v>0</v>
      </c>
      <c r="AA49" s="64">
        <f t="shared" si="11"/>
        <v>0</v>
      </c>
      <c r="AC49" s="2"/>
      <c r="AE49" s="56">
        <v>38.0</v>
      </c>
      <c r="AF49" s="125" t="str">
        <f t="shared" si="12"/>
        <v/>
      </c>
      <c r="AG49" s="140"/>
      <c r="AH49" s="140"/>
      <c r="AI49" s="140"/>
      <c r="AJ49" s="140"/>
      <c r="AK49" s="140"/>
      <c r="AL49" s="140"/>
      <c r="AM49" s="140"/>
      <c r="AN49" s="140"/>
      <c r="AO49" s="62"/>
      <c r="AP49" s="62"/>
      <c r="AQ49" s="143"/>
      <c r="AR49" s="143"/>
      <c r="AS49" s="143"/>
      <c r="AT49" s="143"/>
      <c r="AU49" s="143"/>
      <c r="AV49" s="143"/>
      <c r="AW49" s="141"/>
      <c r="AX49" s="141"/>
      <c r="AY49" s="62">
        <f t="shared" si="13"/>
        <v>0</v>
      </c>
      <c r="AZ49" s="62"/>
      <c r="BA49" s="123">
        <f>'PROY. INTER'!AX49</f>
        <v>0</v>
      </c>
      <c r="BB49" s="62">
        <f t="shared" si="14"/>
        <v>0</v>
      </c>
      <c r="BC49" s="62">
        <f t="shared" si="15"/>
        <v>0</v>
      </c>
      <c r="BD49" s="64">
        <f t="shared" si="16"/>
        <v>0</v>
      </c>
      <c r="BF49" s="2"/>
      <c r="BH49" s="56">
        <v>38.0</v>
      </c>
      <c r="BI49" s="124" t="str">
        <f t="shared" ref="BI49:BJ49" si="137">B49</f>
        <v/>
      </c>
      <c r="BJ49" s="125" t="str">
        <f t="shared" si="137"/>
        <v/>
      </c>
      <c r="BK49" s="140"/>
      <c r="BL49" s="140"/>
      <c r="BM49" s="140"/>
      <c r="BN49" s="140"/>
      <c r="BO49" s="140"/>
      <c r="BP49" s="140"/>
      <c r="BQ49" s="140"/>
      <c r="BR49" s="140"/>
      <c r="BS49" s="62"/>
      <c r="BT49" s="62"/>
      <c r="BU49" s="143"/>
      <c r="BV49" s="143"/>
      <c r="BW49" s="143"/>
      <c r="BX49" s="143"/>
      <c r="BY49" s="143"/>
      <c r="BZ49" s="143"/>
      <c r="CA49" s="141"/>
      <c r="CB49" s="141"/>
      <c r="CC49" s="62">
        <f t="shared" si="18"/>
        <v>0</v>
      </c>
      <c r="CD49" s="62"/>
      <c r="CE49" s="123">
        <f>'PROY. INTER'!BY49</f>
        <v>0</v>
      </c>
      <c r="CF49" s="62">
        <f t="shared" si="19"/>
        <v>0</v>
      </c>
      <c r="CG49" s="62">
        <f t="shared" si="20"/>
        <v>0</v>
      </c>
      <c r="CH49" s="64">
        <f t="shared" si="21"/>
        <v>0</v>
      </c>
      <c r="CJ49" s="2"/>
      <c r="CL49" s="126">
        <v>38.0</v>
      </c>
      <c r="CM49" s="127" t="str">
        <f t="shared" ref="CM49:CN49" si="138">B49</f>
        <v/>
      </c>
      <c r="CN49" s="128" t="str">
        <f t="shared" si="138"/>
        <v/>
      </c>
      <c r="CO49" s="129">
        <f t="shared" si="23"/>
        <v>0</v>
      </c>
      <c r="CP49" s="129">
        <f t="shared" si="24"/>
        <v>0</v>
      </c>
      <c r="CQ49" s="129">
        <f t="shared" si="25"/>
        <v>0</v>
      </c>
      <c r="CR49" s="130">
        <f t="shared" si="26"/>
        <v>0</v>
      </c>
      <c r="CS49" s="131" t="str">
        <f t="shared" si="27"/>
        <v>REPROBADO</v>
      </c>
      <c r="CU49" s="2"/>
      <c r="CW49" s="132">
        <v>38.0</v>
      </c>
      <c r="CX49" s="133" t="str">
        <f t="shared" ref="CX49:CY49" si="139">B49</f>
        <v/>
      </c>
      <c r="CY49" s="134" t="str">
        <f t="shared" si="139"/>
        <v/>
      </c>
      <c r="CZ49" s="135">
        <f t="shared" si="29"/>
        <v>0</v>
      </c>
      <c r="DA49" s="136"/>
      <c r="DB49" s="137">
        <f t="shared" si="30"/>
        <v>0</v>
      </c>
      <c r="DC49" s="138" t="str">
        <f t="shared" si="31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8"/>
        <v>0</v>
      </c>
      <c r="W50" s="62"/>
      <c r="X50" s="123">
        <f>'PROY. INTER'!W50</f>
        <v>0</v>
      </c>
      <c r="Y50" s="62">
        <f t="shared" si="9"/>
        <v>0</v>
      </c>
      <c r="Z50" s="62">
        <f t="shared" si="10"/>
        <v>0</v>
      </c>
      <c r="AA50" s="64">
        <f t="shared" si="11"/>
        <v>0</v>
      </c>
      <c r="AC50" s="2"/>
      <c r="AE50" s="56">
        <v>39.0</v>
      </c>
      <c r="AF50" s="125" t="str">
        <f t="shared" si="12"/>
        <v/>
      </c>
      <c r="AG50" s="140"/>
      <c r="AH50" s="140"/>
      <c r="AI50" s="140"/>
      <c r="AJ50" s="140"/>
      <c r="AK50" s="140"/>
      <c r="AL50" s="140"/>
      <c r="AM50" s="140"/>
      <c r="AN50" s="140"/>
      <c r="AO50" s="62"/>
      <c r="AP50" s="62"/>
      <c r="AQ50" s="143"/>
      <c r="AR50" s="143"/>
      <c r="AS50" s="143"/>
      <c r="AT50" s="143"/>
      <c r="AU50" s="143"/>
      <c r="AV50" s="143"/>
      <c r="AW50" s="141"/>
      <c r="AX50" s="141"/>
      <c r="AY50" s="62">
        <f t="shared" si="13"/>
        <v>0</v>
      </c>
      <c r="AZ50" s="62"/>
      <c r="BA50" s="123">
        <f>'PROY. INTER'!AX50</f>
        <v>0</v>
      </c>
      <c r="BB50" s="62">
        <f t="shared" si="14"/>
        <v>0</v>
      </c>
      <c r="BC50" s="62">
        <f t="shared" si="15"/>
        <v>0</v>
      </c>
      <c r="BD50" s="64">
        <f t="shared" si="16"/>
        <v>0</v>
      </c>
      <c r="BF50" s="2"/>
      <c r="BH50" s="56">
        <v>39.0</v>
      </c>
      <c r="BI50" s="124" t="str">
        <f t="shared" ref="BI50:BJ50" si="140">B50</f>
        <v/>
      </c>
      <c r="BJ50" s="125" t="str">
        <f t="shared" si="140"/>
        <v/>
      </c>
      <c r="BK50" s="140"/>
      <c r="BL50" s="140"/>
      <c r="BM50" s="140"/>
      <c r="BN50" s="140"/>
      <c r="BO50" s="140"/>
      <c r="BP50" s="140"/>
      <c r="BQ50" s="140"/>
      <c r="BR50" s="140"/>
      <c r="BS50" s="62"/>
      <c r="BT50" s="62"/>
      <c r="BU50" s="143"/>
      <c r="BV50" s="143"/>
      <c r="BW50" s="143"/>
      <c r="BX50" s="143"/>
      <c r="BY50" s="143"/>
      <c r="BZ50" s="143"/>
      <c r="CA50" s="141"/>
      <c r="CB50" s="141"/>
      <c r="CC50" s="62">
        <f t="shared" si="18"/>
        <v>0</v>
      </c>
      <c r="CD50" s="62"/>
      <c r="CE50" s="123">
        <f>'PROY. INTER'!BY50</f>
        <v>0</v>
      </c>
      <c r="CF50" s="62">
        <f t="shared" si="19"/>
        <v>0</v>
      </c>
      <c r="CG50" s="62">
        <f t="shared" si="20"/>
        <v>0</v>
      </c>
      <c r="CH50" s="64">
        <f t="shared" si="21"/>
        <v>0</v>
      </c>
      <c r="CJ50" s="2"/>
      <c r="CL50" s="126">
        <v>39.0</v>
      </c>
      <c r="CM50" s="127" t="str">
        <f t="shared" ref="CM50:CN50" si="141">B50</f>
        <v/>
      </c>
      <c r="CN50" s="128" t="str">
        <f t="shared" si="141"/>
        <v/>
      </c>
      <c r="CO50" s="129">
        <f t="shared" si="23"/>
        <v>0</v>
      </c>
      <c r="CP50" s="129">
        <f t="shared" si="24"/>
        <v>0</v>
      </c>
      <c r="CQ50" s="129">
        <f t="shared" si="25"/>
        <v>0</v>
      </c>
      <c r="CR50" s="130">
        <f t="shared" si="26"/>
        <v>0</v>
      </c>
      <c r="CS50" s="131" t="str">
        <f t="shared" si="27"/>
        <v>REPROBADO</v>
      </c>
      <c r="CU50" s="2"/>
      <c r="CW50" s="132">
        <v>39.0</v>
      </c>
      <c r="CX50" s="133" t="str">
        <f t="shared" ref="CX50:CY50" si="142">B50</f>
        <v/>
      </c>
      <c r="CY50" s="134" t="str">
        <f t="shared" si="142"/>
        <v/>
      </c>
      <c r="CZ50" s="135">
        <f t="shared" si="29"/>
        <v>0</v>
      </c>
      <c r="DA50" s="136"/>
      <c r="DB50" s="137">
        <f t="shared" si="30"/>
        <v>0</v>
      </c>
      <c r="DC50" s="138" t="str">
        <f t="shared" si="31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8"/>
        <v>0</v>
      </c>
      <c r="W51" s="62"/>
      <c r="X51" s="123">
        <f>'PROY. INTER'!W56</f>
        <v>0</v>
      </c>
      <c r="Y51" s="62">
        <f t="shared" si="9"/>
        <v>0</v>
      </c>
      <c r="Z51" s="62">
        <f t="shared" si="10"/>
        <v>0</v>
      </c>
      <c r="AA51" s="64">
        <f t="shared" si="11"/>
        <v>0</v>
      </c>
      <c r="AC51" s="2"/>
      <c r="AE51" s="56">
        <v>40.0</v>
      </c>
      <c r="AF51" s="125" t="str">
        <f t="shared" si="12"/>
        <v/>
      </c>
      <c r="AG51" s="140"/>
      <c r="AH51" s="140"/>
      <c r="AI51" s="140"/>
      <c r="AJ51" s="140"/>
      <c r="AK51" s="140"/>
      <c r="AL51" s="140"/>
      <c r="AM51" s="140"/>
      <c r="AN51" s="140"/>
      <c r="AO51" s="62"/>
      <c r="AP51" s="62"/>
      <c r="AQ51" s="143"/>
      <c r="AR51" s="143"/>
      <c r="AS51" s="143"/>
      <c r="AT51" s="143"/>
      <c r="AU51" s="143"/>
      <c r="AV51" s="143"/>
      <c r="AW51" s="141"/>
      <c r="AX51" s="141"/>
      <c r="AY51" s="62">
        <f t="shared" si="13"/>
        <v>0</v>
      </c>
      <c r="AZ51" s="62"/>
      <c r="BA51" s="123">
        <f>'PROY. INTER'!AX56</f>
        <v>0</v>
      </c>
      <c r="BB51" s="62">
        <f t="shared" si="14"/>
        <v>0</v>
      </c>
      <c r="BC51" s="62">
        <f t="shared" si="15"/>
        <v>0</v>
      </c>
      <c r="BD51" s="64">
        <f t="shared" si="16"/>
        <v>0</v>
      </c>
      <c r="BF51" s="2"/>
      <c r="BH51" s="56">
        <v>40.0</v>
      </c>
      <c r="BI51" s="124" t="str">
        <f t="shared" ref="BI51:BJ51" si="143">B51</f>
        <v/>
      </c>
      <c r="BJ51" s="125" t="str">
        <f t="shared" si="143"/>
        <v/>
      </c>
      <c r="BK51" s="140"/>
      <c r="BL51" s="140"/>
      <c r="BM51" s="140"/>
      <c r="BN51" s="140"/>
      <c r="BO51" s="140"/>
      <c r="BP51" s="140"/>
      <c r="BQ51" s="140"/>
      <c r="BR51" s="140"/>
      <c r="BS51" s="62"/>
      <c r="BT51" s="62"/>
      <c r="BU51" s="143"/>
      <c r="BV51" s="143"/>
      <c r="BW51" s="143"/>
      <c r="BX51" s="143"/>
      <c r="BY51" s="143"/>
      <c r="BZ51" s="143"/>
      <c r="CA51" s="141"/>
      <c r="CB51" s="141"/>
      <c r="CC51" s="62">
        <f t="shared" si="18"/>
        <v>0</v>
      </c>
      <c r="CD51" s="62"/>
      <c r="CE51" s="123">
        <f>'PROY. INTER'!BY56</f>
        <v>0</v>
      </c>
      <c r="CF51" s="62">
        <f t="shared" si="19"/>
        <v>0</v>
      </c>
      <c r="CG51" s="62">
        <f t="shared" si="20"/>
        <v>0</v>
      </c>
      <c r="CH51" s="64">
        <f t="shared" si="21"/>
        <v>0</v>
      </c>
      <c r="CJ51" s="2"/>
      <c r="CL51" s="126">
        <v>40.0</v>
      </c>
      <c r="CM51" s="127" t="str">
        <f t="shared" ref="CM51:CN51" si="144">B51</f>
        <v/>
      </c>
      <c r="CN51" s="128" t="str">
        <f t="shared" si="144"/>
        <v/>
      </c>
      <c r="CO51" s="129">
        <f t="shared" si="23"/>
        <v>0</v>
      </c>
      <c r="CP51" s="129">
        <f t="shared" si="24"/>
        <v>0</v>
      </c>
      <c r="CQ51" s="129">
        <f t="shared" si="25"/>
        <v>0</v>
      </c>
      <c r="CR51" s="130">
        <f t="shared" si="26"/>
        <v>0</v>
      </c>
      <c r="CS51" s="131" t="str">
        <f t="shared" si="27"/>
        <v>REPROBADO</v>
      </c>
      <c r="CU51" s="2"/>
      <c r="CW51" s="132">
        <v>40.0</v>
      </c>
      <c r="CX51" s="133" t="str">
        <f t="shared" ref="CX51:CY51" si="145">B51</f>
        <v/>
      </c>
      <c r="CY51" s="134" t="str">
        <f t="shared" si="145"/>
        <v/>
      </c>
      <c r="CZ51" s="135">
        <f t="shared" si="29"/>
        <v>0</v>
      </c>
      <c r="DA51" s="136"/>
      <c r="DB51" s="137">
        <f t="shared" si="30"/>
        <v>0</v>
      </c>
      <c r="DC51" s="138" t="str">
        <f t="shared" si="31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8"/>
        <v>0</v>
      </c>
      <c r="W52" s="62"/>
      <c r="X52" s="123">
        <f>'PROY. INTER'!W57</f>
        <v>0</v>
      </c>
      <c r="Y52" s="62">
        <f t="shared" si="9"/>
        <v>0</v>
      </c>
      <c r="Z52" s="62">
        <f t="shared" si="10"/>
        <v>0</v>
      </c>
      <c r="AA52" s="64">
        <f t="shared" si="11"/>
        <v>0</v>
      </c>
      <c r="AC52" s="2"/>
      <c r="AE52" s="56">
        <v>41.0</v>
      </c>
      <c r="AF52" s="125" t="str">
        <f t="shared" si="12"/>
        <v/>
      </c>
      <c r="AG52" s="140"/>
      <c r="AH52" s="140"/>
      <c r="AI52" s="140"/>
      <c r="AJ52" s="140"/>
      <c r="AK52" s="140"/>
      <c r="AL52" s="140"/>
      <c r="AM52" s="140"/>
      <c r="AN52" s="140"/>
      <c r="AO52" s="62"/>
      <c r="AP52" s="62"/>
      <c r="AQ52" s="143"/>
      <c r="AR52" s="143"/>
      <c r="AS52" s="143"/>
      <c r="AT52" s="143"/>
      <c r="AU52" s="143"/>
      <c r="AV52" s="143"/>
      <c r="AW52" s="141"/>
      <c r="AX52" s="141"/>
      <c r="AY52" s="62">
        <f t="shared" si="13"/>
        <v>0</v>
      </c>
      <c r="AZ52" s="62"/>
      <c r="BA52" s="123">
        <f>'PROY. INTER'!AX57</f>
        <v>0</v>
      </c>
      <c r="BB52" s="62">
        <f t="shared" si="14"/>
        <v>0</v>
      </c>
      <c r="BC52" s="62">
        <f t="shared" si="15"/>
        <v>0</v>
      </c>
      <c r="BD52" s="64">
        <f t="shared" si="16"/>
        <v>0</v>
      </c>
      <c r="BF52" s="2"/>
      <c r="BH52" s="56">
        <v>41.0</v>
      </c>
      <c r="BI52" s="124" t="str">
        <f t="shared" ref="BI52:BJ52" si="146">B52</f>
        <v/>
      </c>
      <c r="BJ52" s="125" t="str">
        <f t="shared" si="146"/>
        <v/>
      </c>
      <c r="BK52" s="140"/>
      <c r="BL52" s="140"/>
      <c r="BM52" s="140"/>
      <c r="BN52" s="140"/>
      <c r="BO52" s="140"/>
      <c r="BP52" s="140"/>
      <c r="BQ52" s="140"/>
      <c r="BR52" s="140"/>
      <c r="BS52" s="62"/>
      <c r="BT52" s="62"/>
      <c r="BU52" s="143"/>
      <c r="BV52" s="143"/>
      <c r="BW52" s="143"/>
      <c r="BX52" s="143"/>
      <c r="BY52" s="143"/>
      <c r="BZ52" s="143"/>
      <c r="CA52" s="141"/>
      <c r="CB52" s="141"/>
      <c r="CC52" s="62">
        <f t="shared" si="18"/>
        <v>0</v>
      </c>
      <c r="CD52" s="62"/>
      <c r="CE52" s="123">
        <f>'PROY. INTER'!BY57</f>
        <v>0</v>
      </c>
      <c r="CF52" s="62">
        <f t="shared" si="19"/>
        <v>0</v>
      </c>
      <c r="CG52" s="62">
        <f t="shared" si="20"/>
        <v>0</v>
      </c>
      <c r="CH52" s="64">
        <f t="shared" si="21"/>
        <v>0</v>
      </c>
      <c r="CJ52" s="2"/>
      <c r="CL52" s="126">
        <v>41.0</v>
      </c>
      <c r="CM52" s="127" t="str">
        <f t="shared" ref="CM52:CN52" si="147">B52</f>
        <v/>
      </c>
      <c r="CN52" s="128" t="str">
        <f t="shared" si="147"/>
        <v/>
      </c>
      <c r="CO52" s="129">
        <f t="shared" si="23"/>
        <v>0</v>
      </c>
      <c r="CP52" s="129">
        <f t="shared" si="24"/>
        <v>0</v>
      </c>
      <c r="CQ52" s="129">
        <f t="shared" si="25"/>
        <v>0</v>
      </c>
      <c r="CR52" s="130">
        <f t="shared" si="26"/>
        <v>0</v>
      </c>
      <c r="CS52" s="131" t="str">
        <f t="shared" si="27"/>
        <v>REPROBADO</v>
      </c>
      <c r="CU52" s="2"/>
      <c r="CW52" s="132">
        <v>41.0</v>
      </c>
      <c r="CX52" s="133" t="str">
        <f t="shared" ref="CX52:CY52" si="148">B52</f>
        <v/>
      </c>
      <c r="CY52" s="134" t="str">
        <f t="shared" si="148"/>
        <v/>
      </c>
      <c r="CZ52" s="135">
        <f t="shared" si="29"/>
        <v>0</v>
      </c>
      <c r="DA52" s="136"/>
      <c r="DB52" s="137">
        <f t="shared" si="30"/>
        <v>0</v>
      </c>
      <c r="DC52" s="138" t="str">
        <f t="shared" si="31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8"/>
        <v>0</v>
      </c>
      <c r="W53" s="62"/>
      <c r="X53" s="123">
        <f>'PROY. INTER'!W58</f>
        <v>0</v>
      </c>
      <c r="Y53" s="62">
        <f t="shared" si="9"/>
        <v>0</v>
      </c>
      <c r="Z53" s="62">
        <f t="shared" si="10"/>
        <v>0</v>
      </c>
      <c r="AA53" s="64">
        <f t="shared" si="11"/>
        <v>0</v>
      </c>
      <c r="AC53" s="2"/>
      <c r="AE53" s="56">
        <v>42.0</v>
      </c>
      <c r="AF53" s="125" t="str">
        <f t="shared" si="12"/>
        <v/>
      </c>
      <c r="AG53" s="140"/>
      <c r="AH53" s="140"/>
      <c r="AI53" s="140"/>
      <c r="AJ53" s="140"/>
      <c r="AK53" s="140"/>
      <c r="AL53" s="140"/>
      <c r="AM53" s="140"/>
      <c r="AN53" s="140"/>
      <c r="AO53" s="62"/>
      <c r="AP53" s="62"/>
      <c r="AQ53" s="143"/>
      <c r="AR53" s="143"/>
      <c r="AS53" s="143"/>
      <c r="AT53" s="143"/>
      <c r="AU53" s="143"/>
      <c r="AV53" s="143"/>
      <c r="AW53" s="141"/>
      <c r="AX53" s="141"/>
      <c r="AY53" s="62">
        <f t="shared" si="13"/>
        <v>0</v>
      </c>
      <c r="AZ53" s="62"/>
      <c r="BA53" s="123">
        <f>'PROY. INTER'!AX58</f>
        <v>0</v>
      </c>
      <c r="BB53" s="62">
        <f t="shared" si="14"/>
        <v>0</v>
      </c>
      <c r="BC53" s="62">
        <f t="shared" si="15"/>
        <v>0</v>
      </c>
      <c r="BD53" s="64">
        <f t="shared" si="16"/>
        <v>0</v>
      </c>
      <c r="BF53" s="2"/>
      <c r="BH53" s="56">
        <v>42.0</v>
      </c>
      <c r="BI53" s="124" t="str">
        <f t="shared" ref="BI53:BJ53" si="149">B53</f>
        <v/>
      </c>
      <c r="BJ53" s="125" t="str">
        <f t="shared" si="149"/>
        <v/>
      </c>
      <c r="BK53" s="140"/>
      <c r="BL53" s="140"/>
      <c r="BM53" s="140"/>
      <c r="BN53" s="140"/>
      <c r="BO53" s="140"/>
      <c r="BP53" s="140"/>
      <c r="BQ53" s="140"/>
      <c r="BR53" s="140"/>
      <c r="BS53" s="62"/>
      <c r="BT53" s="62"/>
      <c r="BU53" s="143"/>
      <c r="BV53" s="143"/>
      <c r="BW53" s="143"/>
      <c r="BX53" s="143"/>
      <c r="BY53" s="143"/>
      <c r="BZ53" s="143"/>
      <c r="CA53" s="141"/>
      <c r="CB53" s="141"/>
      <c r="CC53" s="62">
        <f t="shared" si="18"/>
        <v>0</v>
      </c>
      <c r="CD53" s="62"/>
      <c r="CE53" s="123">
        <f>'PROY. INTER'!BY58</f>
        <v>0</v>
      </c>
      <c r="CF53" s="62">
        <f t="shared" si="19"/>
        <v>0</v>
      </c>
      <c r="CG53" s="62">
        <f t="shared" si="20"/>
        <v>0</v>
      </c>
      <c r="CH53" s="64">
        <f t="shared" si="21"/>
        <v>0</v>
      </c>
      <c r="CJ53" s="2"/>
      <c r="CL53" s="126">
        <v>42.0</v>
      </c>
      <c r="CM53" s="127" t="str">
        <f t="shared" ref="CM53:CN53" si="150">B53</f>
        <v/>
      </c>
      <c r="CN53" s="128" t="str">
        <f t="shared" si="150"/>
        <v/>
      </c>
      <c r="CO53" s="129">
        <f t="shared" si="23"/>
        <v>0</v>
      </c>
      <c r="CP53" s="129">
        <f t="shared" si="24"/>
        <v>0</v>
      </c>
      <c r="CQ53" s="129">
        <f t="shared" si="25"/>
        <v>0</v>
      </c>
      <c r="CR53" s="130">
        <f t="shared" si="26"/>
        <v>0</v>
      </c>
      <c r="CS53" s="131" t="str">
        <f t="shared" si="27"/>
        <v>REPROBADO</v>
      </c>
      <c r="CU53" s="2"/>
      <c r="CW53" s="132">
        <v>42.0</v>
      </c>
      <c r="CX53" s="133" t="str">
        <f t="shared" ref="CX53:CY53" si="151">B53</f>
        <v/>
      </c>
      <c r="CY53" s="134" t="str">
        <f t="shared" si="151"/>
        <v/>
      </c>
      <c r="CZ53" s="135">
        <f t="shared" si="29"/>
        <v>0</v>
      </c>
      <c r="DA53" s="136"/>
      <c r="DB53" s="137">
        <f t="shared" si="30"/>
        <v>0</v>
      </c>
      <c r="DC53" s="138" t="str">
        <f t="shared" si="31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8"/>
        <v>0</v>
      </c>
      <c r="W54" s="62"/>
      <c r="X54" s="123">
        <f>'PROY. INTER'!W60</f>
        <v>0</v>
      </c>
      <c r="Y54" s="62">
        <f t="shared" si="9"/>
        <v>0</v>
      </c>
      <c r="Z54" s="62">
        <f t="shared" si="10"/>
        <v>0</v>
      </c>
      <c r="AA54" s="64">
        <f t="shared" si="11"/>
        <v>0</v>
      </c>
      <c r="AC54" s="2"/>
      <c r="AE54" s="56">
        <v>43.0</v>
      </c>
      <c r="AF54" s="125" t="str">
        <f t="shared" si="12"/>
        <v/>
      </c>
      <c r="AG54" s="140"/>
      <c r="AH54" s="140"/>
      <c r="AI54" s="140"/>
      <c r="AJ54" s="140"/>
      <c r="AK54" s="140"/>
      <c r="AL54" s="140"/>
      <c r="AM54" s="140"/>
      <c r="AN54" s="140"/>
      <c r="AO54" s="62"/>
      <c r="AP54" s="62"/>
      <c r="AQ54" s="143"/>
      <c r="AR54" s="143"/>
      <c r="AS54" s="143"/>
      <c r="AT54" s="143"/>
      <c r="AU54" s="143"/>
      <c r="AV54" s="143"/>
      <c r="AW54" s="141"/>
      <c r="AX54" s="141"/>
      <c r="AY54" s="62">
        <f t="shared" si="13"/>
        <v>0</v>
      </c>
      <c r="AZ54" s="62"/>
      <c r="BA54" s="123">
        <f>'PROY. INTER'!AX60</f>
        <v>0</v>
      </c>
      <c r="BB54" s="62">
        <f t="shared" si="14"/>
        <v>0</v>
      </c>
      <c r="BC54" s="62">
        <f t="shared" si="15"/>
        <v>0</v>
      </c>
      <c r="BD54" s="64">
        <f t="shared" si="16"/>
        <v>0</v>
      </c>
      <c r="BF54" s="2"/>
      <c r="BH54" s="56">
        <v>43.0</v>
      </c>
      <c r="BI54" s="124" t="str">
        <f t="shared" ref="BI54:BJ54" si="152">B54</f>
        <v/>
      </c>
      <c r="BJ54" s="125" t="str">
        <f t="shared" si="152"/>
        <v/>
      </c>
      <c r="BK54" s="140"/>
      <c r="BL54" s="140"/>
      <c r="BM54" s="140"/>
      <c r="BN54" s="140"/>
      <c r="BO54" s="140"/>
      <c r="BP54" s="140"/>
      <c r="BQ54" s="140"/>
      <c r="BR54" s="140"/>
      <c r="BS54" s="62"/>
      <c r="BT54" s="62"/>
      <c r="BU54" s="143"/>
      <c r="BV54" s="143"/>
      <c r="BW54" s="143"/>
      <c r="BX54" s="143"/>
      <c r="BY54" s="143"/>
      <c r="BZ54" s="143"/>
      <c r="CA54" s="141"/>
      <c r="CB54" s="141"/>
      <c r="CC54" s="62">
        <f t="shared" si="18"/>
        <v>0</v>
      </c>
      <c r="CD54" s="62"/>
      <c r="CE54" s="123">
        <f>'PROY. INTER'!BY60</f>
        <v>0</v>
      </c>
      <c r="CF54" s="62">
        <f t="shared" si="19"/>
        <v>0</v>
      </c>
      <c r="CG54" s="62">
        <f t="shared" si="20"/>
        <v>0</v>
      </c>
      <c r="CH54" s="64">
        <f t="shared" si="21"/>
        <v>0</v>
      </c>
      <c r="CJ54" s="2"/>
      <c r="CL54" s="126">
        <v>43.0</v>
      </c>
      <c r="CM54" s="127" t="str">
        <f t="shared" ref="CM54:CN54" si="153">B54</f>
        <v/>
      </c>
      <c r="CN54" s="128" t="str">
        <f t="shared" si="153"/>
        <v/>
      </c>
      <c r="CO54" s="129">
        <f t="shared" si="23"/>
        <v>0</v>
      </c>
      <c r="CP54" s="129">
        <f t="shared" si="24"/>
        <v>0</v>
      </c>
      <c r="CQ54" s="129">
        <f t="shared" si="25"/>
        <v>0</v>
      </c>
      <c r="CR54" s="130">
        <f t="shared" si="26"/>
        <v>0</v>
      </c>
      <c r="CS54" s="131" t="str">
        <f t="shared" si="27"/>
        <v>REPROBADO</v>
      </c>
      <c r="CU54" s="2"/>
      <c r="CW54" s="132">
        <v>43.0</v>
      </c>
      <c r="CX54" s="133" t="str">
        <f t="shared" ref="CX54:CY54" si="154">B54</f>
        <v/>
      </c>
      <c r="CY54" s="134" t="str">
        <f t="shared" si="154"/>
        <v/>
      </c>
      <c r="CZ54" s="135">
        <f t="shared" si="29"/>
        <v>0</v>
      </c>
      <c r="DA54" s="136"/>
      <c r="DB54" s="137">
        <f t="shared" si="30"/>
        <v>0</v>
      </c>
      <c r="DC54" s="138" t="str">
        <f t="shared" si="31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8"/>
        <v>0</v>
      </c>
      <c r="W55" s="62"/>
      <c r="X55" s="123">
        <f>'PROY. INTER'!W61</f>
        <v>0</v>
      </c>
      <c r="Y55" s="62">
        <f t="shared" si="9"/>
        <v>0</v>
      </c>
      <c r="Z55" s="62">
        <f t="shared" si="10"/>
        <v>0</v>
      </c>
      <c r="AA55" s="64">
        <f t="shared" si="11"/>
        <v>0</v>
      </c>
      <c r="AC55" s="2"/>
      <c r="AE55" s="56">
        <v>44.0</v>
      </c>
      <c r="AF55" s="125" t="str">
        <f t="shared" si="12"/>
        <v/>
      </c>
      <c r="AG55" s="140"/>
      <c r="AH55" s="140"/>
      <c r="AI55" s="140"/>
      <c r="AJ55" s="140"/>
      <c r="AK55" s="140"/>
      <c r="AL55" s="140"/>
      <c r="AM55" s="140"/>
      <c r="AN55" s="140"/>
      <c r="AO55" s="62"/>
      <c r="AP55" s="62"/>
      <c r="AQ55" s="143"/>
      <c r="AR55" s="143"/>
      <c r="AS55" s="143"/>
      <c r="AT55" s="143"/>
      <c r="AU55" s="143"/>
      <c r="AV55" s="143"/>
      <c r="AW55" s="141"/>
      <c r="AX55" s="141"/>
      <c r="AY55" s="62">
        <f t="shared" si="13"/>
        <v>0</v>
      </c>
      <c r="AZ55" s="62"/>
      <c r="BA55" s="123">
        <f>'PROY. INTER'!AX61</f>
        <v>0</v>
      </c>
      <c r="BB55" s="62">
        <f t="shared" si="14"/>
        <v>0</v>
      </c>
      <c r="BC55" s="62">
        <f t="shared" si="15"/>
        <v>0</v>
      </c>
      <c r="BD55" s="64">
        <f t="shared" si="16"/>
        <v>0</v>
      </c>
      <c r="BF55" s="2"/>
      <c r="BH55" s="56">
        <v>44.0</v>
      </c>
      <c r="BI55" s="124" t="str">
        <f t="shared" ref="BI55:BJ55" si="155">B55</f>
        <v/>
      </c>
      <c r="BJ55" s="125" t="str">
        <f t="shared" si="155"/>
        <v/>
      </c>
      <c r="BK55" s="140"/>
      <c r="BL55" s="140"/>
      <c r="BM55" s="140"/>
      <c r="BN55" s="140"/>
      <c r="BO55" s="140"/>
      <c r="BP55" s="140"/>
      <c r="BQ55" s="140"/>
      <c r="BR55" s="140"/>
      <c r="BS55" s="62"/>
      <c r="BT55" s="62"/>
      <c r="BU55" s="143"/>
      <c r="BV55" s="143"/>
      <c r="BW55" s="143"/>
      <c r="BX55" s="143"/>
      <c r="BY55" s="143"/>
      <c r="BZ55" s="143"/>
      <c r="CA55" s="141"/>
      <c r="CB55" s="141"/>
      <c r="CC55" s="62">
        <f t="shared" si="18"/>
        <v>0</v>
      </c>
      <c r="CD55" s="62"/>
      <c r="CE55" s="123">
        <f>'PROY. INTER'!BY61</f>
        <v>0</v>
      </c>
      <c r="CF55" s="62">
        <f t="shared" si="19"/>
        <v>0</v>
      </c>
      <c r="CG55" s="62">
        <f t="shared" si="20"/>
        <v>0</v>
      </c>
      <c r="CH55" s="64">
        <f t="shared" si="21"/>
        <v>0</v>
      </c>
      <c r="CJ55" s="2"/>
      <c r="CL55" s="126">
        <v>44.0</v>
      </c>
      <c r="CM55" s="127" t="str">
        <f t="shared" ref="CM55:CN55" si="156">B55</f>
        <v/>
      </c>
      <c r="CN55" s="128" t="str">
        <f t="shared" si="156"/>
        <v/>
      </c>
      <c r="CO55" s="129">
        <f t="shared" si="23"/>
        <v>0</v>
      </c>
      <c r="CP55" s="129">
        <f t="shared" si="24"/>
        <v>0</v>
      </c>
      <c r="CQ55" s="129">
        <f t="shared" si="25"/>
        <v>0</v>
      </c>
      <c r="CR55" s="130">
        <f t="shared" si="26"/>
        <v>0</v>
      </c>
      <c r="CS55" s="131" t="str">
        <f t="shared" si="27"/>
        <v>REPROBADO</v>
      </c>
      <c r="CU55" s="2"/>
      <c r="CW55" s="132">
        <v>44.0</v>
      </c>
      <c r="CX55" s="133" t="str">
        <f t="shared" ref="CX55:CY55" si="157">B55</f>
        <v/>
      </c>
      <c r="CY55" s="134" t="str">
        <f t="shared" si="157"/>
        <v/>
      </c>
      <c r="CZ55" s="135">
        <f t="shared" si="29"/>
        <v>0</v>
      </c>
      <c r="DA55" s="136"/>
      <c r="DB55" s="137">
        <f t="shared" si="30"/>
        <v>0</v>
      </c>
      <c r="DC55" s="138" t="str">
        <f t="shared" si="31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8"/>
        <v>0</v>
      </c>
      <c r="W56" s="62"/>
      <c r="X56" s="123" t="str">
        <f>'PROY. INTER'!W62</f>
        <v/>
      </c>
      <c r="Y56" s="62" t="str">
        <f t="shared" si="9"/>
        <v>#DIV/0!</v>
      </c>
      <c r="Z56" s="62" t="str">
        <f t="shared" si="10"/>
        <v>#DIV/0!</v>
      </c>
      <c r="AA56" s="64" t="str">
        <f t="shared" si="11"/>
        <v/>
      </c>
      <c r="AC56" s="2"/>
      <c r="AE56" s="56">
        <v>45.0</v>
      </c>
      <c r="AF56" s="125" t="str">
        <f t="shared" si="12"/>
        <v/>
      </c>
      <c r="AG56" s="140"/>
      <c r="AH56" s="140"/>
      <c r="AI56" s="140"/>
      <c r="AJ56" s="140"/>
      <c r="AK56" s="140"/>
      <c r="AL56" s="140"/>
      <c r="AM56" s="140"/>
      <c r="AN56" s="140"/>
      <c r="AO56" s="62"/>
      <c r="AP56" s="62"/>
      <c r="AQ56" s="143"/>
      <c r="AR56" s="143"/>
      <c r="AS56" s="143"/>
      <c r="AT56" s="143"/>
      <c r="AU56" s="143"/>
      <c r="AV56" s="143"/>
      <c r="AW56" s="141"/>
      <c r="AX56" s="141"/>
      <c r="AY56" s="62">
        <f t="shared" si="13"/>
        <v>0</v>
      </c>
      <c r="AZ56" s="62"/>
      <c r="BA56" s="123" t="str">
        <f>'PROY. INTER'!AX62</f>
        <v/>
      </c>
      <c r="BB56" s="62" t="str">
        <f t="shared" si="14"/>
        <v>#DIV/0!</v>
      </c>
      <c r="BC56" s="62" t="str">
        <f t="shared" si="15"/>
        <v>#DIV/0!</v>
      </c>
      <c r="BD56" s="64" t="str">
        <f t="shared" si="16"/>
        <v/>
      </c>
      <c r="BF56" s="2"/>
      <c r="BH56" s="56">
        <v>45.0</v>
      </c>
      <c r="BI56" s="124" t="str">
        <f t="shared" ref="BI56:BJ56" si="158">B56</f>
        <v/>
      </c>
      <c r="BJ56" s="125" t="str">
        <f t="shared" si="158"/>
        <v/>
      </c>
      <c r="BK56" s="140"/>
      <c r="BL56" s="140"/>
      <c r="BM56" s="140"/>
      <c r="BN56" s="140"/>
      <c r="BO56" s="140"/>
      <c r="BP56" s="140"/>
      <c r="BQ56" s="140"/>
      <c r="BR56" s="140"/>
      <c r="BS56" s="62"/>
      <c r="BT56" s="62"/>
      <c r="BU56" s="143"/>
      <c r="BV56" s="143"/>
      <c r="BW56" s="143"/>
      <c r="BX56" s="143"/>
      <c r="BY56" s="143"/>
      <c r="BZ56" s="143"/>
      <c r="CA56" s="141"/>
      <c r="CB56" s="141"/>
      <c r="CC56" s="62">
        <f t="shared" si="18"/>
        <v>0</v>
      </c>
      <c r="CD56" s="62"/>
      <c r="CE56" s="123" t="str">
        <f>'PROY. INTER'!BY62</f>
        <v/>
      </c>
      <c r="CF56" s="62" t="str">
        <f t="shared" si="19"/>
        <v>#DIV/0!</v>
      </c>
      <c r="CG56" s="62" t="str">
        <f t="shared" si="20"/>
        <v>#DIV/0!</v>
      </c>
      <c r="CH56" s="64" t="str">
        <f t="shared" si="21"/>
        <v/>
      </c>
      <c r="CJ56" s="2"/>
      <c r="CL56" s="126">
        <v>45.0</v>
      </c>
      <c r="CM56" s="127" t="str">
        <f t="shared" ref="CM56:CN56" si="159">B56</f>
        <v/>
      </c>
      <c r="CN56" s="128" t="str">
        <f t="shared" si="159"/>
        <v/>
      </c>
      <c r="CO56" s="129" t="str">
        <f t="shared" si="23"/>
        <v/>
      </c>
      <c r="CP56" s="129" t="str">
        <f t="shared" si="24"/>
        <v/>
      </c>
      <c r="CQ56" s="129" t="str">
        <f t="shared" si="25"/>
        <v/>
      </c>
      <c r="CR56" s="130">
        <f t="shared" si="26"/>
        <v>0</v>
      </c>
      <c r="CS56" s="131" t="str">
        <f t="shared" si="27"/>
        <v>REPROBADO</v>
      </c>
      <c r="CU56" s="2"/>
      <c r="CW56" s="132">
        <v>45.0</v>
      </c>
      <c r="CX56" s="133" t="str">
        <f t="shared" ref="CX56:CY56" si="160">B56</f>
        <v/>
      </c>
      <c r="CY56" s="134" t="str">
        <f t="shared" si="160"/>
        <v/>
      </c>
      <c r="CZ56" s="135">
        <f t="shared" si="29"/>
        <v>0</v>
      </c>
      <c r="DA56" s="136"/>
      <c r="DB56" s="137">
        <f t="shared" si="30"/>
        <v>0</v>
      </c>
      <c r="DC56" s="138" t="str">
        <f t="shared" si="31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8"/>
        <v>0</v>
      </c>
      <c r="W57" s="62"/>
      <c r="X57" s="123" t="str">
        <f>'PROY. INTER'!W63</f>
        <v/>
      </c>
      <c r="Y57" s="62" t="str">
        <f t="shared" si="9"/>
        <v>#DIV/0!</v>
      </c>
      <c r="Z57" s="62" t="str">
        <f t="shared" si="10"/>
        <v>#DIV/0!</v>
      </c>
      <c r="AA57" s="64" t="str">
        <f t="shared" si="11"/>
        <v/>
      </c>
      <c r="AC57" s="2"/>
      <c r="AE57" s="56">
        <v>46.0</v>
      </c>
      <c r="AF57" s="125" t="str">
        <f t="shared" si="12"/>
        <v/>
      </c>
      <c r="AG57" s="140"/>
      <c r="AH57" s="140"/>
      <c r="AI57" s="140"/>
      <c r="AJ57" s="140"/>
      <c r="AK57" s="140"/>
      <c r="AL57" s="140"/>
      <c r="AM57" s="140"/>
      <c r="AN57" s="140"/>
      <c r="AO57" s="62"/>
      <c r="AP57" s="62"/>
      <c r="AQ57" s="143"/>
      <c r="AR57" s="143"/>
      <c r="AS57" s="143"/>
      <c r="AT57" s="143"/>
      <c r="AU57" s="143"/>
      <c r="AV57" s="143"/>
      <c r="AW57" s="141"/>
      <c r="AX57" s="141"/>
      <c r="AY57" s="62">
        <f t="shared" si="13"/>
        <v>0</v>
      </c>
      <c r="AZ57" s="62"/>
      <c r="BA57" s="123" t="str">
        <f>'PROY. INTER'!AX63</f>
        <v/>
      </c>
      <c r="BB57" s="62" t="str">
        <f t="shared" si="14"/>
        <v>#DIV/0!</v>
      </c>
      <c r="BC57" s="62" t="str">
        <f t="shared" si="15"/>
        <v>#DIV/0!</v>
      </c>
      <c r="BD57" s="64" t="str">
        <f t="shared" si="16"/>
        <v/>
      </c>
      <c r="BF57" s="2"/>
      <c r="BH57" s="56">
        <v>46.0</v>
      </c>
      <c r="BI57" s="124" t="str">
        <f t="shared" ref="BI57:BJ57" si="161">B57</f>
        <v/>
      </c>
      <c r="BJ57" s="125" t="str">
        <f t="shared" si="161"/>
        <v/>
      </c>
      <c r="BK57" s="140"/>
      <c r="BL57" s="140"/>
      <c r="BM57" s="140"/>
      <c r="BN57" s="140"/>
      <c r="BO57" s="140"/>
      <c r="BP57" s="140"/>
      <c r="BQ57" s="140"/>
      <c r="BR57" s="140"/>
      <c r="BS57" s="62"/>
      <c r="BT57" s="62"/>
      <c r="BU57" s="143"/>
      <c r="BV57" s="143"/>
      <c r="BW57" s="143"/>
      <c r="BX57" s="143"/>
      <c r="BY57" s="143"/>
      <c r="BZ57" s="143"/>
      <c r="CA57" s="141"/>
      <c r="CB57" s="141"/>
      <c r="CC57" s="62">
        <f t="shared" si="18"/>
        <v>0</v>
      </c>
      <c r="CD57" s="62"/>
      <c r="CE57" s="123" t="str">
        <f>'PROY. INTER'!BY63</f>
        <v/>
      </c>
      <c r="CF57" s="62" t="str">
        <f t="shared" si="19"/>
        <v>#DIV/0!</v>
      </c>
      <c r="CG57" s="62" t="str">
        <f t="shared" si="20"/>
        <v>#DIV/0!</v>
      </c>
      <c r="CH57" s="64" t="str">
        <f t="shared" si="21"/>
        <v/>
      </c>
      <c r="CJ57" s="2"/>
      <c r="CL57" s="126">
        <v>46.0</v>
      </c>
      <c r="CM57" s="127" t="str">
        <f t="shared" ref="CM57:CN57" si="162">B57</f>
        <v/>
      </c>
      <c r="CN57" s="128" t="str">
        <f t="shared" si="162"/>
        <v/>
      </c>
      <c r="CO57" s="129" t="str">
        <f t="shared" si="23"/>
        <v/>
      </c>
      <c r="CP57" s="129" t="str">
        <f t="shared" si="24"/>
        <v/>
      </c>
      <c r="CQ57" s="129" t="str">
        <f t="shared" si="25"/>
        <v/>
      </c>
      <c r="CR57" s="130">
        <f t="shared" si="26"/>
        <v>0</v>
      </c>
      <c r="CS57" s="131" t="str">
        <f t="shared" si="27"/>
        <v>REPROBADO</v>
      </c>
      <c r="CU57" s="2"/>
      <c r="CW57" s="132">
        <v>46.0</v>
      </c>
      <c r="CX57" s="133" t="str">
        <f t="shared" ref="CX57:CY57" si="163">B57</f>
        <v/>
      </c>
      <c r="CY57" s="134" t="str">
        <f t="shared" si="163"/>
        <v/>
      </c>
      <c r="CZ57" s="135">
        <f t="shared" si="29"/>
        <v>0</v>
      </c>
      <c r="DA57" s="136"/>
      <c r="DB57" s="137">
        <f t="shared" si="30"/>
        <v>0</v>
      </c>
      <c r="DC57" s="138" t="str">
        <f t="shared" si="31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8"/>
        <v>0</v>
      </c>
      <c r="W58" s="62"/>
      <c r="X58" s="123" t="str">
        <f>'PROY. INTER'!W64</f>
        <v/>
      </c>
      <c r="Y58" s="62" t="str">
        <f t="shared" si="9"/>
        <v>#DIV/0!</v>
      </c>
      <c r="Z58" s="62" t="str">
        <f t="shared" si="10"/>
        <v>#DIV/0!</v>
      </c>
      <c r="AA58" s="64" t="str">
        <f t="shared" si="11"/>
        <v/>
      </c>
      <c r="AC58" s="2"/>
      <c r="AE58" s="56">
        <v>47.0</v>
      </c>
      <c r="AF58" s="125" t="str">
        <f t="shared" si="12"/>
        <v/>
      </c>
      <c r="AG58" s="140"/>
      <c r="AH58" s="140"/>
      <c r="AI58" s="140"/>
      <c r="AJ58" s="140"/>
      <c r="AK58" s="140"/>
      <c r="AL58" s="140"/>
      <c r="AM58" s="140"/>
      <c r="AN58" s="140"/>
      <c r="AO58" s="62"/>
      <c r="AP58" s="62"/>
      <c r="AQ58" s="143"/>
      <c r="AR58" s="143"/>
      <c r="AS58" s="143"/>
      <c r="AT58" s="143"/>
      <c r="AU58" s="143"/>
      <c r="AV58" s="143"/>
      <c r="AW58" s="141"/>
      <c r="AX58" s="141"/>
      <c r="AY58" s="62">
        <f t="shared" si="13"/>
        <v>0</v>
      </c>
      <c r="AZ58" s="62"/>
      <c r="BA58" s="123" t="str">
        <f>'PROY. INTER'!AX64</f>
        <v/>
      </c>
      <c r="BB58" s="62" t="str">
        <f t="shared" si="14"/>
        <v>#DIV/0!</v>
      </c>
      <c r="BC58" s="62" t="str">
        <f t="shared" si="15"/>
        <v>#DIV/0!</v>
      </c>
      <c r="BD58" s="64" t="str">
        <f t="shared" si="16"/>
        <v/>
      </c>
      <c r="BF58" s="2"/>
      <c r="BH58" s="56">
        <v>47.0</v>
      </c>
      <c r="BI58" s="124" t="str">
        <f t="shared" ref="BI58:BJ58" si="164">B58</f>
        <v/>
      </c>
      <c r="BJ58" s="125" t="str">
        <f t="shared" si="164"/>
        <v/>
      </c>
      <c r="BK58" s="140"/>
      <c r="BL58" s="140"/>
      <c r="BM58" s="140"/>
      <c r="BN58" s="140"/>
      <c r="BO58" s="140"/>
      <c r="BP58" s="140"/>
      <c r="BQ58" s="140"/>
      <c r="BR58" s="140"/>
      <c r="BS58" s="62"/>
      <c r="BT58" s="62"/>
      <c r="BU58" s="143"/>
      <c r="BV58" s="143"/>
      <c r="BW58" s="143"/>
      <c r="BX58" s="143"/>
      <c r="BY58" s="143"/>
      <c r="BZ58" s="143"/>
      <c r="CA58" s="141"/>
      <c r="CB58" s="141"/>
      <c r="CC58" s="62">
        <f t="shared" si="18"/>
        <v>0</v>
      </c>
      <c r="CD58" s="62"/>
      <c r="CE58" s="123" t="str">
        <f>'PROY. INTER'!BY64</f>
        <v/>
      </c>
      <c r="CF58" s="62" t="str">
        <f t="shared" si="19"/>
        <v>#DIV/0!</v>
      </c>
      <c r="CG58" s="62" t="str">
        <f t="shared" si="20"/>
        <v>#DIV/0!</v>
      </c>
      <c r="CH58" s="64" t="str">
        <f t="shared" si="21"/>
        <v/>
      </c>
      <c r="CJ58" s="2"/>
      <c r="CL58" s="126">
        <v>47.0</v>
      </c>
      <c r="CM58" s="127" t="str">
        <f t="shared" ref="CM58:CN58" si="165">B58</f>
        <v/>
      </c>
      <c r="CN58" s="128" t="str">
        <f t="shared" si="165"/>
        <v/>
      </c>
      <c r="CO58" s="129" t="str">
        <f t="shared" si="23"/>
        <v/>
      </c>
      <c r="CP58" s="129" t="str">
        <f t="shared" si="24"/>
        <v/>
      </c>
      <c r="CQ58" s="129" t="str">
        <f t="shared" si="25"/>
        <v/>
      </c>
      <c r="CR58" s="130">
        <f t="shared" si="26"/>
        <v>0</v>
      </c>
      <c r="CS58" s="131" t="str">
        <f t="shared" si="27"/>
        <v>REPROBADO</v>
      </c>
      <c r="CU58" s="2"/>
      <c r="CW58" s="132">
        <v>47.0</v>
      </c>
      <c r="CX58" s="133" t="str">
        <f t="shared" ref="CX58:CY58" si="166">B58</f>
        <v/>
      </c>
      <c r="CY58" s="134" t="str">
        <f t="shared" si="166"/>
        <v/>
      </c>
      <c r="CZ58" s="135">
        <f t="shared" si="29"/>
        <v>0</v>
      </c>
      <c r="DA58" s="136"/>
      <c r="DB58" s="137">
        <f t="shared" si="30"/>
        <v>0</v>
      </c>
      <c r="DC58" s="138" t="str">
        <f t="shared" si="31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8"/>
        <v>0</v>
      </c>
      <c r="W59" s="62"/>
      <c r="X59" s="123" t="str">
        <f>'PROY. INTER'!W65</f>
        <v/>
      </c>
      <c r="Y59" s="62" t="str">
        <f t="shared" si="9"/>
        <v>#DIV/0!</v>
      </c>
      <c r="Z59" s="62" t="str">
        <f t="shared" si="10"/>
        <v>#DIV/0!</v>
      </c>
      <c r="AA59" s="64" t="str">
        <f t="shared" si="11"/>
        <v/>
      </c>
      <c r="AC59" s="2"/>
      <c r="AE59" s="56">
        <v>48.0</v>
      </c>
      <c r="AF59" s="125" t="str">
        <f t="shared" si="12"/>
        <v/>
      </c>
      <c r="AG59" s="140"/>
      <c r="AH59" s="140"/>
      <c r="AI59" s="140"/>
      <c r="AJ59" s="140"/>
      <c r="AK59" s="140"/>
      <c r="AL59" s="140"/>
      <c r="AM59" s="140"/>
      <c r="AN59" s="140"/>
      <c r="AO59" s="62"/>
      <c r="AP59" s="62"/>
      <c r="AQ59" s="143"/>
      <c r="AR59" s="143"/>
      <c r="AS59" s="143"/>
      <c r="AT59" s="143"/>
      <c r="AU59" s="143"/>
      <c r="AV59" s="143"/>
      <c r="AW59" s="141"/>
      <c r="AX59" s="141"/>
      <c r="AY59" s="62">
        <f t="shared" si="13"/>
        <v>0</v>
      </c>
      <c r="AZ59" s="62"/>
      <c r="BA59" s="123" t="str">
        <f>'PROY. INTER'!AX65</f>
        <v/>
      </c>
      <c r="BB59" s="62" t="str">
        <f t="shared" si="14"/>
        <v>#DIV/0!</v>
      </c>
      <c r="BC59" s="62" t="str">
        <f t="shared" si="15"/>
        <v>#DIV/0!</v>
      </c>
      <c r="BD59" s="64" t="str">
        <f t="shared" si="16"/>
        <v/>
      </c>
      <c r="BF59" s="2"/>
      <c r="BH59" s="56">
        <v>48.0</v>
      </c>
      <c r="BI59" s="124" t="str">
        <f t="shared" ref="BI59:BJ59" si="167">B59</f>
        <v/>
      </c>
      <c r="BJ59" s="125" t="str">
        <f t="shared" si="167"/>
        <v/>
      </c>
      <c r="BK59" s="140"/>
      <c r="BL59" s="140"/>
      <c r="BM59" s="140"/>
      <c r="BN59" s="140"/>
      <c r="BO59" s="140"/>
      <c r="BP59" s="140"/>
      <c r="BQ59" s="140"/>
      <c r="BR59" s="140"/>
      <c r="BS59" s="62"/>
      <c r="BT59" s="62"/>
      <c r="BU59" s="143"/>
      <c r="BV59" s="143"/>
      <c r="BW59" s="143"/>
      <c r="BX59" s="143"/>
      <c r="BY59" s="143"/>
      <c r="BZ59" s="143"/>
      <c r="CA59" s="141"/>
      <c r="CB59" s="141"/>
      <c r="CC59" s="62">
        <f t="shared" si="18"/>
        <v>0</v>
      </c>
      <c r="CD59" s="62"/>
      <c r="CE59" s="123" t="str">
        <f>'PROY. INTER'!BY65</f>
        <v/>
      </c>
      <c r="CF59" s="62" t="str">
        <f t="shared" si="19"/>
        <v>#DIV/0!</v>
      </c>
      <c r="CG59" s="62" t="str">
        <f t="shared" si="20"/>
        <v>#DIV/0!</v>
      </c>
      <c r="CH59" s="64" t="str">
        <f t="shared" si="21"/>
        <v/>
      </c>
      <c r="CJ59" s="2"/>
      <c r="CL59" s="126">
        <v>48.0</v>
      </c>
      <c r="CM59" s="127" t="str">
        <f t="shared" ref="CM59:CN59" si="168">B59</f>
        <v/>
      </c>
      <c r="CN59" s="128" t="str">
        <f t="shared" si="168"/>
        <v/>
      </c>
      <c r="CO59" s="129" t="str">
        <f t="shared" si="23"/>
        <v/>
      </c>
      <c r="CP59" s="129" t="str">
        <f t="shared" si="24"/>
        <v/>
      </c>
      <c r="CQ59" s="129" t="str">
        <f t="shared" si="25"/>
        <v/>
      </c>
      <c r="CR59" s="130">
        <f t="shared" si="26"/>
        <v>0</v>
      </c>
      <c r="CS59" s="131" t="str">
        <f t="shared" si="27"/>
        <v>REPROBADO</v>
      </c>
      <c r="CU59" s="2"/>
      <c r="CW59" s="132">
        <v>48.0</v>
      </c>
      <c r="CX59" s="133" t="str">
        <f t="shared" ref="CX59:CY59" si="169">B59</f>
        <v/>
      </c>
      <c r="CY59" s="134" t="str">
        <f t="shared" si="169"/>
        <v/>
      </c>
      <c r="CZ59" s="135">
        <f t="shared" si="29"/>
        <v>0</v>
      </c>
      <c r="DA59" s="136"/>
      <c r="DB59" s="137">
        <f t="shared" si="30"/>
        <v>0</v>
      </c>
      <c r="DC59" s="138" t="str">
        <f t="shared" si="31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8"/>
        <v>0</v>
      </c>
      <c r="W60" s="62"/>
      <c r="X60" s="123" t="str">
        <f>'PROY. INTER'!W66</f>
        <v/>
      </c>
      <c r="Y60" s="62" t="str">
        <f t="shared" si="9"/>
        <v>#DIV/0!</v>
      </c>
      <c r="Z60" s="62" t="str">
        <f t="shared" si="10"/>
        <v>#DIV/0!</v>
      </c>
      <c r="AA60" s="64" t="str">
        <f t="shared" si="11"/>
        <v/>
      </c>
      <c r="AC60" s="2"/>
      <c r="AE60" s="56">
        <v>49.0</v>
      </c>
      <c r="AF60" s="125" t="str">
        <f t="shared" si="12"/>
        <v/>
      </c>
      <c r="AG60" s="140"/>
      <c r="AH60" s="140"/>
      <c r="AI60" s="140"/>
      <c r="AJ60" s="140"/>
      <c r="AK60" s="140"/>
      <c r="AL60" s="140"/>
      <c r="AM60" s="140"/>
      <c r="AN60" s="140"/>
      <c r="AO60" s="62"/>
      <c r="AP60" s="62"/>
      <c r="AQ60" s="143"/>
      <c r="AR60" s="143"/>
      <c r="AS60" s="143"/>
      <c r="AT60" s="143"/>
      <c r="AU60" s="143"/>
      <c r="AV60" s="143"/>
      <c r="AW60" s="141"/>
      <c r="AX60" s="141"/>
      <c r="AY60" s="62">
        <f t="shared" si="13"/>
        <v>0</v>
      </c>
      <c r="AZ60" s="62"/>
      <c r="BA60" s="123" t="str">
        <f>'PROY. INTER'!AX66</f>
        <v/>
      </c>
      <c r="BB60" s="62" t="str">
        <f t="shared" si="14"/>
        <v>#DIV/0!</v>
      </c>
      <c r="BC60" s="62" t="str">
        <f t="shared" si="15"/>
        <v>#DIV/0!</v>
      </c>
      <c r="BD60" s="64" t="str">
        <f t="shared" si="16"/>
        <v/>
      </c>
      <c r="BF60" s="2"/>
      <c r="BH60" s="56">
        <v>49.0</v>
      </c>
      <c r="BI60" s="124" t="str">
        <f t="shared" ref="BI60:BJ60" si="170">B60</f>
        <v/>
      </c>
      <c r="BJ60" s="125" t="str">
        <f t="shared" si="170"/>
        <v/>
      </c>
      <c r="BK60" s="140"/>
      <c r="BL60" s="140"/>
      <c r="BM60" s="140"/>
      <c r="BN60" s="140"/>
      <c r="BO60" s="140"/>
      <c r="BP60" s="140"/>
      <c r="BQ60" s="140"/>
      <c r="BR60" s="140"/>
      <c r="BS60" s="62"/>
      <c r="BT60" s="62"/>
      <c r="BU60" s="143"/>
      <c r="BV60" s="143"/>
      <c r="BW60" s="143"/>
      <c r="BX60" s="143"/>
      <c r="BY60" s="143"/>
      <c r="BZ60" s="143"/>
      <c r="CA60" s="141"/>
      <c r="CB60" s="141"/>
      <c r="CC60" s="62">
        <f t="shared" si="18"/>
        <v>0</v>
      </c>
      <c r="CD60" s="62"/>
      <c r="CE60" s="123" t="str">
        <f>'PROY. INTER'!BY66</f>
        <v/>
      </c>
      <c r="CF60" s="62" t="str">
        <f t="shared" si="19"/>
        <v>#DIV/0!</v>
      </c>
      <c r="CG60" s="62" t="str">
        <f t="shared" si="20"/>
        <v>#DIV/0!</v>
      </c>
      <c r="CH60" s="64" t="str">
        <f t="shared" si="21"/>
        <v/>
      </c>
      <c r="CJ60" s="2"/>
      <c r="CL60" s="126">
        <v>49.0</v>
      </c>
      <c r="CM60" s="127" t="str">
        <f t="shared" ref="CM60:CN60" si="171">B60</f>
        <v/>
      </c>
      <c r="CN60" s="128" t="str">
        <f t="shared" si="171"/>
        <v/>
      </c>
      <c r="CO60" s="129" t="str">
        <f t="shared" si="23"/>
        <v/>
      </c>
      <c r="CP60" s="129" t="str">
        <f t="shared" si="24"/>
        <v/>
      </c>
      <c r="CQ60" s="129" t="str">
        <f t="shared" si="25"/>
        <v/>
      </c>
      <c r="CR60" s="130">
        <f t="shared" si="26"/>
        <v>0</v>
      </c>
      <c r="CS60" s="131" t="str">
        <f t="shared" si="27"/>
        <v>REPROBADO</v>
      </c>
      <c r="CU60" s="2"/>
      <c r="CW60" s="132">
        <v>49.0</v>
      </c>
      <c r="CX60" s="133" t="str">
        <f t="shared" ref="CX60:CY60" si="172">B60</f>
        <v/>
      </c>
      <c r="CY60" s="134" t="str">
        <f t="shared" si="172"/>
        <v/>
      </c>
      <c r="CZ60" s="135">
        <f t="shared" si="29"/>
        <v>0</v>
      </c>
      <c r="DA60" s="136"/>
      <c r="DB60" s="137">
        <f t="shared" si="30"/>
        <v>0</v>
      </c>
      <c r="DC60" s="138" t="str">
        <f t="shared" si="31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8"/>
        <v>0</v>
      </c>
      <c r="W61" s="62"/>
      <c r="X61" s="123" t="str">
        <f>'PROY. INTER'!W67</f>
        <v/>
      </c>
      <c r="Y61" s="62" t="str">
        <f t="shared" si="9"/>
        <v>#DIV/0!</v>
      </c>
      <c r="Z61" s="62" t="str">
        <f t="shared" si="10"/>
        <v>#DIV/0!</v>
      </c>
      <c r="AA61" s="64" t="str">
        <f t="shared" si="11"/>
        <v/>
      </c>
      <c r="AC61" s="2"/>
      <c r="AE61" s="56">
        <v>50.0</v>
      </c>
      <c r="AF61" s="125" t="str">
        <f t="shared" si="12"/>
        <v/>
      </c>
      <c r="AG61" s="140"/>
      <c r="AH61" s="140"/>
      <c r="AI61" s="140"/>
      <c r="AJ61" s="140"/>
      <c r="AK61" s="140"/>
      <c r="AL61" s="140"/>
      <c r="AM61" s="140"/>
      <c r="AN61" s="140"/>
      <c r="AO61" s="62"/>
      <c r="AP61" s="62"/>
      <c r="AQ61" s="143"/>
      <c r="AR61" s="143"/>
      <c r="AS61" s="143"/>
      <c r="AT61" s="143"/>
      <c r="AU61" s="143"/>
      <c r="AV61" s="143"/>
      <c r="AW61" s="141"/>
      <c r="AX61" s="141"/>
      <c r="AY61" s="62">
        <f t="shared" si="13"/>
        <v>0</v>
      </c>
      <c r="AZ61" s="62"/>
      <c r="BA61" s="123" t="str">
        <f>'PROY. INTER'!AX67</f>
        <v/>
      </c>
      <c r="BB61" s="62" t="str">
        <f t="shared" si="14"/>
        <v>#DIV/0!</v>
      </c>
      <c r="BC61" s="62" t="str">
        <f t="shared" si="15"/>
        <v>#DIV/0!</v>
      </c>
      <c r="BD61" s="64" t="str">
        <f t="shared" si="16"/>
        <v/>
      </c>
      <c r="BF61" s="2"/>
      <c r="BH61" s="56">
        <v>50.0</v>
      </c>
      <c r="BI61" s="124" t="str">
        <f t="shared" ref="BI61:BJ61" si="173">B61</f>
        <v/>
      </c>
      <c r="BJ61" s="125" t="str">
        <f t="shared" si="173"/>
        <v/>
      </c>
      <c r="BK61" s="140"/>
      <c r="BL61" s="140"/>
      <c r="BM61" s="140"/>
      <c r="BN61" s="140"/>
      <c r="BO61" s="140"/>
      <c r="BP61" s="140"/>
      <c r="BQ61" s="140"/>
      <c r="BR61" s="140"/>
      <c r="BS61" s="62"/>
      <c r="BT61" s="62"/>
      <c r="BU61" s="143"/>
      <c r="BV61" s="143"/>
      <c r="BW61" s="143"/>
      <c r="BX61" s="143"/>
      <c r="BY61" s="143"/>
      <c r="BZ61" s="143"/>
      <c r="CA61" s="141"/>
      <c r="CB61" s="141"/>
      <c r="CC61" s="62">
        <f t="shared" si="18"/>
        <v>0</v>
      </c>
      <c r="CD61" s="62"/>
      <c r="CE61" s="123" t="str">
        <f>'PROY. INTER'!BY67</f>
        <v/>
      </c>
      <c r="CF61" s="62" t="str">
        <f t="shared" si="19"/>
        <v>#DIV/0!</v>
      </c>
      <c r="CG61" s="62" t="str">
        <f t="shared" si="20"/>
        <v>#DIV/0!</v>
      </c>
      <c r="CH61" s="64" t="str">
        <f t="shared" si="21"/>
        <v/>
      </c>
      <c r="CJ61" s="2"/>
      <c r="CL61" s="126">
        <v>50.0</v>
      </c>
      <c r="CM61" s="127" t="str">
        <f t="shared" ref="CM61:CN61" si="174">B61</f>
        <v/>
      </c>
      <c r="CN61" s="128" t="str">
        <f t="shared" si="174"/>
        <v/>
      </c>
      <c r="CO61" s="129" t="str">
        <f t="shared" si="23"/>
        <v/>
      </c>
      <c r="CP61" s="129" t="str">
        <f t="shared" si="24"/>
        <v/>
      </c>
      <c r="CQ61" s="129" t="str">
        <f t="shared" si="25"/>
        <v/>
      </c>
      <c r="CR61" s="130">
        <f t="shared" si="26"/>
        <v>0</v>
      </c>
      <c r="CS61" s="131" t="str">
        <f t="shared" si="27"/>
        <v>REPROBADO</v>
      </c>
      <c r="CU61" s="2"/>
      <c r="CW61" s="132">
        <v>50.0</v>
      </c>
      <c r="CX61" s="133" t="str">
        <f t="shared" ref="CX61:CY61" si="175">B61</f>
        <v/>
      </c>
      <c r="CY61" s="134" t="str">
        <f t="shared" si="175"/>
        <v/>
      </c>
      <c r="CZ61" s="135">
        <f t="shared" si="29"/>
        <v>0</v>
      </c>
      <c r="DA61" s="136"/>
      <c r="DB61" s="137">
        <f t="shared" si="30"/>
        <v>0</v>
      </c>
      <c r="DC61" s="138" t="str">
        <f t="shared" si="31"/>
        <v>NO PROMOVIDO</v>
      </c>
    </row>
    <row r="62" ht="15.75" customHeight="1"/>
    <row r="63" ht="15.75" customHeight="1">
      <c r="CN63" s="146" t="s">
        <v>104</v>
      </c>
      <c r="CO63" s="147">
        <f>COUNTIF(CR12:CR61,"&gt;0")</f>
        <v>24</v>
      </c>
      <c r="CP63" s="4"/>
      <c r="CS63" s="148"/>
    </row>
    <row r="64" ht="15.75" customHeight="1">
      <c r="CN64" s="146" t="s">
        <v>105</v>
      </c>
      <c r="CO64" s="149">
        <f>SUM(CR12:CR61)/CO63</f>
        <v>7.320833333</v>
      </c>
      <c r="CP64" s="4"/>
      <c r="CS64" s="150"/>
    </row>
    <row r="65" ht="15.75" customHeight="1"/>
    <row r="66" ht="15.75" customHeight="1">
      <c r="CN66" s="151" t="s">
        <v>106</v>
      </c>
      <c r="CP66" s="152" t="str">
        <f>#REF!</f>
        <v>#REF!</v>
      </c>
      <c r="CQ66" s="4"/>
    </row>
    <row r="67" ht="15.75" customHeight="1">
      <c r="CN67" s="153" t="s">
        <v>107</v>
      </c>
      <c r="CP67" s="154" t="s">
        <v>108</v>
      </c>
      <c r="CQ67" s="154" t="s">
        <v>109</v>
      </c>
    </row>
    <row r="68" ht="15.75" customHeight="1">
      <c r="CN68" s="155" t="s">
        <v>110</v>
      </c>
      <c r="CP68" s="156" t="s">
        <v>111</v>
      </c>
      <c r="CQ68" s="157">
        <f>COUNTIF(CR12:CR61,"&gt;8,99")</f>
        <v>0</v>
      </c>
    </row>
    <row r="69" ht="15.75" customHeight="1">
      <c r="CN69" s="155" t="s">
        <v>112</v>
      </c>
      <c r="CP69" s="156" t="s">
        <v>113</v>
      </c>
      <c r="CQ69" s="157">
        <f>COUNTIF(CR12:CR61,"&gt;6,99")-CQ68</f>
        <v>16</v>
      </c>
    </row>
    <row r="70" ht="15.75" customHeight="1">
      <c r="CN70" s="158" t="s">
        <v>114</v>
      </c>
      <c r="CP70" s="156" t="s">
        <v>115</v>
      </c>
      <c r="CQ70" s="157">
        <f>COUNTIF(CR12:CR61,"&gt;4")-CQ69-CQ68</f>
        <v>8</v>
      </c>
    </row>
    <row r="71" ht="15.75" customHeight="1">
      <c r="CN71" s="155" t="s">
        <v>116</v>
      </c>
      <c r="CP71" s="156" t="s">
        <v>117</v>
      </c>
      <c r="CQ71" s="159">
        <f>COUNTIF(CR12:CR61,"&gt;0")-CQ70-CQ69-CQ68</f>
        <v>0</v>
      </c>
    </row>
    <row r="72" ht="15.75" customHeight="1">
      <c r="CP72" s="160" t="s">
        <v>118</v>
      </c>
      <c r="CQ72" s="161">
        <f>SUM(CQ68:CQ71)</f>
        <v>24</v>
      </c>
    </row>
    <row r="73" ht="15.75" customHeight="1"/>
    <row r="74" ht="15.75" customHeight="1"/>
    <row r="75" ht="15.75" customHeight="1">
      <c r="CN75" s="162"/>
      <c r="CR75" s="162"/>
      <c r="CS75" s="162"/>
    </row>
    <row r="76" ht="15.75" customHeight="1">
      <c r="CN76" s="163"/>
      <c r="CO76" s="164"/>
      <c r="CP76" s="164"/>
      <c r="CR76" s="163"/>
      <c r="CS76" s="165"/>
    </row>
    <row r="77" ht="15.75" customHeight="1">
      <c r="CN77" s="166" t="s">
        <v>119</v>
      </c>
      <c r="CR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4">
    <mergeCell ref="BA8:BA11"/>
    <mergeCell ref="BB8:BB11"/>
    <mergeCell ref="AG9:AN9"/>
    <mergeCell ref="AO9:AV9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Y8:Y11"/>
    <mergeCell ref="Z8:Z11"/>
    <mergeCell ref="AE8:AF10"/>
    <mergeCell ref="AG8:AV8"/>
    <mergeCell ref="AW8:AX10"/>
    <mergeCell ref="AY8:AY11"/>
    <mergeCell ref="AZ8:AZ11"/>
    <mergeCell ref="CD8:CD11"/>
    <mergeCell ref="CE8:CE11"/>
    <mergeCell ref="BK9:BR9"/>
    <mergeCell ref="BS9:BZ9"/>
    <mergeCell ref="BK10:BL10"/>
    <mergeCell ref="BM10:BN10"/>
    <mergeCell ref="BO10:BP10"/>
    <mergeCell ref="BQ10:BR10"/>
    <mergeCell ref="BS10:BT10"/>
    <mergeCell ref="BU10:BV10"/>
    <mergeCell ref="BW10:BX10"/>
    <mergeCell ref="BY10:BZ10"/>
    <mergeCell ref="AA8:AA11"/>
    <mergeCell ref="BC8:BC11"/>
    <mergeCell ref="BD8:BD11"/>
    <mergeCell ref="BH8:BJ10"/>
    <mergeCell ref="BK8:BZ8"/>
    <mergeCell ref="CA8:CB10"/>
    <mergeCell ref="CC8:CC11"/>
    <mergeCell ref="D9:K9"/>
    <mergeCell ref="L9:S9"/>
    <mergeCell ref="H10:I10"/>
    <mergeCell ref="J10:K10"/>
    <mergeCell ref="L10:M10"/>
    <mergeCell ref="N10:O10"/>
    <mergeCell ref="P10:Q10"/>
    <mergeCell ref="R10:S10"/>
    <mergeCell ref="A7:AA7"/>
    <mergeCell ref="A8:C10"/>
    <mergeCell ref="D8:S8"/>
    <mergeCell ref="T8:U10"/>
    <mergeCell ref="V8:V11"/>
    <mergeCell ref="W8:W11"/>
    <mergeCell ref="X8:X11"/>
    <mergeCell ref="CL10:CN10"/>
    <mergeCell ref="CO10:CQ10"/>
    <mergeCell ref="CO63:CP63"/>
    <mergeCell ref="CO64:CP64"/>
    <mergeCell ref="CP66:CQ66"/>
    <mergeCell ref="CR76:CS76"/>
    <mergeCell ref="CR77:CS77"/>
    <mergeCell ref="CL6:CS6"/>
    <mergeCell ref="CL7:CS7"/>
    <mergeCell ref="CF8:CF11"/>
    <mergeCell ref="CG8:CG11"/>
    <mergeCell ref="CH8:CH11"/>
    <mergeCell ref="CL9:CN9"/>
    <mergeCell ref="CO9:CS9"/>
    <mergeCell ref="C2:AA2"/>
    <mergeCell ref="AF2:BD2"/>
    <mergeCell ref="BH2:BI2"/>
    <mergeCell ref="BJ2:CH2"/>
    <mergeCell ref="CL2:CM2"/>
    <mergeCell ref="CW2:CX2"/>
    <mergeCell ref="CY2:DC2"/>
    <mergeCell ref="CW3:CX3"/>
    <mergeCell ref="CY3:DC3"/>
    <mergeCell ref="CW4:CX4"/>
    <mergeCell ref="CZ4:DA4"/>
    <mergeCell ref="A2:B2"/>
    <mergeCell ref="A3:B3"/>
    <mergeCell ref="C3:AA3"/>
    <mergeCell ref="AF3:BD3"/>
    <mergeCell ref="BH3:BI3"/>
    <mergeCell ref="BJ3:CH3"/>
    <mergeCell ref="CL3:CM3"/>
    <mergeCell ref="A4:B4"/>
    <mergeCell ref="D4:F4"/>
    <mergeCell ref="AG4:AI4"/>
    <mergeCell ref="BH4:BI4"/>
    <mergeCell ref="BK4:BM4"/>
    <mergeCell ref="CL4:CM4"/>
    <mergeCell ref="CO4:CP4"/>
    <mergeCell ref="A6:AA6"/>
    <mergeCell ref="AE6:BD6"/>
    <mergeCell ref="BH6:CH6"/>
    <mergeCell ref="CW6:DC6"/>
    <mergeCell ref="AE7:BD7"/>
    <mergeCell ref="BH7:CH7"/>
    <mergeCell ref="CW7:DC7"/>
    <mergeCell ref="D10:E10"/>
    <mergeCell ref="F10:G10"/>
    <mergeCell ref="CR10:CR11"/>
    <mergeCell ref="CS10:CS11"/>
    <mergeCell ref="CZ10:DC10"/>
  </mergeCells>
  <conditionalFormatting sqref="D12:K61">
    <cfRule type="cellIs" dxfId="0" priority="1" operator="lessThan">
      <formula>7</formula>
    </cfRule>
  </conditionalFormatting>
  <conditionalFormatting sqref="AG12:AN61">
    <cfRule type="cellIs" dxfId="0" priority="2" operator="lessThan">
      <formula>7</formula>
    </cfRule>
  </conditionalFormatting>
  <conditionalFormatting sqref="BK12:BR61">
    <cfRule type="cellIs" dxfId="0" priority="3" operator="lessThan">
      <formula>7</formula>
    </cfRule>
  </conditionalFormatting>
  <conditionalFormatting sqref="CS12:CS61">
    <cfRule type="containsText" dxfId="1" priority="4" operator="containsText" text="REPROBADO">
      <formula>NOT(ISERROR(SEARCH(("REPROBADO"),(CS12))))</formula>
    </cfRule>
  </conditionalFormatting>
  <conditionalFormatting sqref="CS12:CS61">
    <cfRule type="containsText" dxfId="2" priority="5" operator="containsText" text="SUPLETORIO">
      <formula>NOT(ISERROR(SEARCH(("SUPLETORIO"),(CS12))))</formula>
    </cfRule>
  </conditionalFormatting>
  <conditionalFormatting sqref="CS12:CS61">
    <cfRule type="containsText" dxfId="3" priority="6" operator="containsText" text="APROBADO">
      <formula>NOT(ISERROR(SEARCH(("APROBADO"),(CS12))))</formula>
    </cfRule>
  </conditionalFormatting>
  <conditionalFormatting sqref="CS12:CS61">
    <cfRule type="containsText" dxfId="4" priority="7" operator="containsText" text="REMEDIAL">
      <formula>NOT(ISERROR(SEARCH(("REMEDIAL"),(CS12))))</formula>
    </cfRule>
  </conditionalFormatting>
  <conditionalFormatting sqref="CS12:CS61">
    <cfRule type="containsText" dxfId="5" priority="8" operator="containsText" text="SUPLETORIO">
      <formula>NOT(ISERROR(SEARCH(("SUPLETORIO"),(CS12))))</formula>
    </cfRule>
  </conditionalFormatting>
  <conditionalFormatting sqref="CS12:CS61">
    <cfRule type="containsText" dxfId="6" priority="9" operator="containsText" text="APROBADO">
      <formula>NOT(ISERROR(SEARCH(("APROBADO"),(CS12))))</formula>
    </cfRule>
  </conditionalFormatting>
  <conditionalFormatting sqref="DB12:DB61">
    <cfRule type="expression" dxfId="7" priority="10">
      <formula>ISERROR(DB12)</formula>
    </cfRule>
  </conditionalFormatting>
  <conditionalFormatting sqref="DC12:DC61">
    <cfRule type="containsText" dxfId="0" priority="11" operator="containsText" text="NO PROMOVIDO">
      <formula>NOT(ISERROR(SEARCH(("NO PROMOVIDO"),(DC12))))</formula>
    </cfRule>
  </conditionalFormatting>
  <conditionalFormatting sqref="DC12:DC61">
    <cfRule type="containsText" dxfId="8" priority="12" operator="containsText" text="PROMOVIDO">
      <formula>NOT(ISERROR(SEARCH(("PROMOVIDO"),(DC12))))</formula>
    </cfRule>
  </conditionalFormatting>
  <conditionalFormatting sqref="AA12:AA61">
    <cfRule type="cellIs" dxfId="9" priority="13" operator="lessThan">
      <formula>7</formula>
    </cfRule>
  </conditionalFormatting>
  <conditionalFormatting sqref="BD12:BD36">
    <cfRule type="cellIs" dxfId="10" priority="14" operator="lessThan">
      <formula>7</formula>
    </cfRule>
  </conditionalFormatting>
  <dataValidations>
    <dataValidation type="decimal" allowBlank="1" showInputMessage="1" showErrorMessage="1" prompt="ERROR - LA CALIFICACION ES ENTRE 1 Y 10" sqref="DA12:DA61">
      <formula1>1.0</formula1>
      <formula2>10.0</formula2>
    </dataValidation>
    <dataValidation type="decimal" allowBlank="1" showInputMessage="1" showErrorMessage="1" prompt="LOS VALORES DEBEN SER ENTRE 0 Y 10 PTOS." sqref="D12:U61 W12:W61 AG12:AX61 AZ12:AZ61 BK12:CB61 CD12:CD61">
      <formula1>0.0</formula1>
      <formula2>10.0</formula2>
    </dataValidation>
  </dataValidations>
  <printOptions horizontalCentered="1" verticalCentered="1"/>
  <pageMargins bottom="0.1968503937007874" footer="0.0" header="0.0" left="0.1968503937007874" right="0.1968503937007874" top="0.1968503937007874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C8C8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2" width="5.71"/>
    <col customWidth="1" min="23" max="23" width="7.86"/>
    <col customWidth="1" min="24" max="24" width="7.0"/>
    <col customWidth="1" min="25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150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LCDO MARIO ESPINOZA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LCDO MARIO ESPINOZA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LCDO MARIO ESPINOZA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LCDO MARIO ESPINOZA</v>
      </c>
      <c r="DA3" s="6"/>
      <c r="DB3" s="6"/>
      <c r="DC3" s="6"/>
      <c r="DD3" s="4"/>
    </row>
    <row r="4" ht="21.0" customHeight="1">
      <c r="A4" s="3" t="s">
        <v>4</v>
      </c>
      <c r="B4" s="4"/>
      <c r="C4" s="9" t="s">
        <v>151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9" t="s">
        <v>7</v>
      </c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PRIMERO TECNICO 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PRIMERO TECNICO 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PRIMERO TECNICO 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PRIMERO TECNICO 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EDUCACION FISICA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EDUCACION FISICA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EDUCACION FISICA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EDUCACION FISICA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153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154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155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'ED. FISICA'!CM10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9.0</v>
      </c>
      <c r="E12" s="119">
        <v>9.0</v>
      </c>
      <c r="F12" s="119">
        <v>10.0</v>
      </c>
      <c r="G12" s="120"/>
      <c r="H12" s="120"/>
      <c r="I12" s="120"/>
      <c r="J12" s="120"/>
      <c r="K12" s="120"/>
      <c r="L12" s="62"/>
      <c r="M12" s="62"/>
      <c r="N12" s="62"/>
      <c r="O12" s="62"/>
      <c r="P12" s="62"/>
      <c r="Q12" s="62"/>
      <c r="R12" s="62"/>
      <c r="S12" s="62"/>
      <c r="T12" s="122"/>
      <c r="U12" s="122"/>
      <c r="V12" s="62">
        <f t="shared" ref="V12:V61" si="9">IFERROR(TRUNC(AVERAGE(D12:U12),2),"")*70/100</f>
        <v>6.531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9.53</v>
      </c>
      <c r="AC12" s="2"/>
      <c r="AE12" s="56">
        <v>1.0</v>
      </c>
      <c r="AF12" s="124" t="str">
        <f t="shared" ref="AF12:AG12" si="5">B12</f>
        <v/>
      </c>
      <c r="AG12" s="243" t="str">
        <f t="shared" si="5"/>
        <v>Almeida Alvarado Ariana Guisela</v>
      </c>
      <c r="AH12" s="119">
        <v>9.0</v>
      </c>
      <c r="AI12" s="119">
        <v>10.0</v>
      </c>
      <c r="AJ12" s="120"/>
      <c r="AK12" s="120"/>
      <c r="AL12" s="120"/>
      <c r="AM12" s="120"/>
      <c r="AN12" s="120"/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6.65</v>
      </c>
      <c r="BA12" s="121">
        <v>9.0</v>
      </c>
      <c r="BB12" s="123">
        <f>'PROY. INTER'!AX12</f>
        <v>10</v>
      </c>
      <c r="BC12" s="62">
        <f t="shared" ref="BC12:BC61" si="15">AVERAGE(BA12:BB12)</f>
        <v>9.5</v>
      </c>
      <c r="BD12" s="62">
        <f t="shared" ref="BD12:BD61" si="16">BC12*30/100</f>
        <v>2.85</v>
      </c>
      <c r="BE12" s="64">
        <f t="shared" ref="BE12:BE61" si="17">IFERROR(TRUNC(SUM(AZ12+BD12),2),"")</f>
        <v>9.5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9.53</v>
      </c>
      <c r="CQ12" s="129">
        <f t="shared" ref="CQ12:CQ61" si="25">BE12</f>
        <v>9.5</v>
      </c>
      <c r="CR12" s="129">
        <f t="shared" ref="CR12:CR61" si="26">CI12</f>
        <v>0</v>
      </c>
      <c r="CS12" s="130">
        <f t="shared" ref="CS12:CS61" si="27">IFERROR(TRUNC(AVERAGE(CP12:CR12),2),"")*100/100</f>
        <v>6.34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244">
        <f t="shared" ref="DA12:DA61" si="30">CS12</f>
        <v>6.34</v>
      </c>
      <c r="DB12" s="136"/>
      <c r="DC12" s="245">
        <f t="shared" ref="DC12:DC61" si="31">IF(DA12&gt;=7,DA12,IF(DA12="","",IF(DB12="",AVERAGE(DA12:DB12),IF(AND(DA12&lt;4.01,DB12&lt;&gt;""),DA12,IF(DB12&lt;7,DA12,7)))))</f>
        <v>6.34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246">
        <v>2.0</v>
      </c>
      <c r="B13" s="57" t="str">
        <f>LEN!B13</f>
        <v/>
      </c>
      <c r="C13" s="57" t="str">
        <f>LEN!C13</f>
        <v>Alvarado Vargas Dacmar Alejandra</v>
      </c>
      <c r="D13" s="247">
        <v>9.0</v>
      </c>
      <c r="E13" s="247">
        <v>9.0</v>
      </c>
      <c r="F13" s="119">
        <v>10.0</v>
      </c>
      <c r="G13" s="248"/>
      <c r="H13" s="248"/>
      <c r="I13" s="248"/>
      <c r="J13" s="248"/>
      <c r="K13" s="248"/>
      <c r="L13" s="62"/>
      <c r="M13" s="62"/>
      <c r="N13" s="62"/>
      <c r="O13" s="62"/>
      <c r="P13" s="62"/>
      <c r="Q13" s="62"/>
      <c r="R13" s="62"/>
      <c r="S13" s="62"/>
      <c r="T13" s="122"/>
      <c r="U13" s="122"/>
      <c r="V13" s="62">
        <f t="shared" si="9"/>
        <v>6.531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9.53</v>
      </c>
      <c r="AB13" s="249"/>
      <c r="AC13" s="2"/>
      <c r="AD13" s="249"/>
      <c r="AE13" s="56">
        <v>2.0</v>
      </c>
      <c r="AF13" s="124" t="str">
        <f t="shared" ref="AF13:AG13" si="13">B13</f>
        <v/>
      </c>
      <c r="AG13" s="243" t="str">
        <f t="shared" si="13"/>
        <v>Alvarado Vargas Dacmar Alejandra</v>
      </c>
      <c r="AH13" s="119">
        <v>9.0</v>
      </c>
      <c r="AI13" s="119">
        <v>10.0</v>
      </c>
      <c r="AJ13" s="248"/>
      <c r="AK13" s="248"/>
      <c r="AL13" s="248"/>
      <c r="AM13" s="248"/>
      <c r="AN13" s="248"/>
      <c r="AO13" s="248"/>
      <c r="AP13" s="62"/>
      <c r="AQ13" s="62"/>
      <c r="AR13" s="62"/>
      <c r="AS13" s="62"/>
      <c r="AT13" s="62"/>
      <c r="AU13" s="62"/>
      <c r="AV13" s="62"/>
      <c r="AW13" s="62"/>
      <c r="AX13" s="122"/>
      <c r="AY13" s="122"/>
      <c r="AZ13" s="62">
        <f t="shared" si="14"/>
        <v>6.65</v>
      </c>
      <c r="BA13" s="121">
        <v>9.0</v>
      </c>
      <c r="BB13" s="123">
        <f>'PROY. INTER'!AX13</f>
        <v>10</v>
      </c>
      <c r="BC13" s="62">
        <f t="shared" si="15"/>
        <v>9.5</v>
      </c>
      <c r="BD13" s="62">
        <f t="shared" si="16"/>
        <v>2.85</v>
      </c>
      <c r="BE13" s="64">
        <f t="shared" si="17"/>
        <v>9.5</v>
      </c>
      <c r="BF13" s="249"/>
      <c r="BG13" s="2"/>
      <c r="BH13" s="249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248"/>
      <c r="BM13" s="248"/>
      <c r="BN13" s="248"/>
      <c r="BO13" s="248"/>
      <c r="BP13" s="248"/>
      <c r="BQ13" s="248"/>
      <c r="BR13" s="248"/>
      <c r="BS13" s="248"/>
      <c r="BT13" s="62"/>
      <c r="BU13" s="62"/>
      <c r="BV13" s="62"/>
      <c r="BW13" s="62"/>
      <c r="BX13" s="62"/>
      <c r="BY13" s="62"/>
      <c r="BZ13" s="62"/>
      <c r="CA13" s="62"/>
      <c r="CB13" s="122"/>
      <c r="CC13" s="122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J13" s="249"/>
      <c r="CK13" s="2"/>
      <c r="CL13" s="249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9.53</v>
      </c>
      <c r="CQ13" s="129">
        <f t="shared" si="25"/>
        <v>9.5</v>
      </c>
      <c r="CR13" s="129">
        <f t="shared" si="26"/>
        <v>0</v>
      </c>
      <c r="CS13" s="130">
        <f t="shared" si="27"/>
        <v>6.34</v>
      </c>
      <c r="CT13" s="131" t="str">
        <f t="shared" si="28"/>
        <v>SUPLETORIO</v>
      </c>
      <c r="CU13" s="249"/>
      <c r="CV13" s="2"/>
      <c r="CW13" s="249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244">
        <f t="shared" si="30"/>
        <v>6.34</v>
      </c>
      <c r="DB13" s="136"/>
      <c r="DC13" s="245">
        <f t="shared" si="31"/>
        <v>6.34</v>
      </c>
      <c r="DD13" s="138" t="str">
        <f t="shared" si="32"/>
        <v>NO PROMOVIDO</v>
      </c>
      <c r="DE13" s="249"/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9.0</v>
      </c>
      <c r="E14" s="139">
        <v>9.0</v>
      </c>
      <c r="F14" s="119">
        <v>10.0</v>
      </c>
      <c r="G14" s="140"/>
      <c r="H14" s="140"/>
      <c r="I14" s="140"/>
      <c r="J14" s="140"/>
      <c r="K14" s="140"/>
      <c r="L14" s="62"/>
      <c r="M14" s="62"/>
      <c r="N14" s="62"/>
      <c r="O14" s="62"/>
      <c r="P14" s="62"/>
      <c r="Q14" s="62"/>
      <c r="R14" s="62"/>
      <c r="S14" s="62"/>
      <c r="T14" s="122"/>
      <c r="U14" s="122"/>
      <c r="V14" s="62">
        <f t="shared" si="9"/>
        <v>6.531</v>
      </c>
      <c r="W14" s="121">
        <v>10.0</v>
      </c>
      <c r="X14" s="123">
        <f>'PROY. INTER'!W14</f>
        <v>8.2</v>
      </c>
      <c r="Y14" s="62">
        <f t="shared" si="10"/>
        <v>9.1</v>
      </c>
      <c r="Z14" s="62">
        <f t="shared" si="11"/>
        <v>2.73</v>
      </c>
      <c r="AA14" s="64">
        <f t="shared" si="12"/>
        <v>9.26</v>
      </c>
      <c r="AC14" s="2"/>
      <c r="AE14" s="56">
        <v>3.0</v>
      </c>
      <c r="AF14" s="124" t="str">
        <f t="shared" ref="AF14:AG14" si="33">B14</f>
        <v/>
      </c>
      <c r="AG14" s="243" t="str">
        <f t="shared" si="33"/>
        <v>Ampuero Cornejo Cesar Jeanpierre</v>
      </c>
      <c r="AH14" s="119">
        <v>9.0</v>
      </c>
      <c r="AI14" s="119">
        <v>10.0</v>
      </c>
      <c r="AJ14" s="140"/>
      <c r="AK14" s="140"/>
      <c r="AL14" s="140"/>
      <c r="AM14" s="140"/>
      <c r="AN14" s="140"/>
      <c r="AO14" s="140"/>
      <c r="AP14" s="62"/>
      <c r="AQ14" s="62"/>
      <c r="AR14" s="62"/>
      <c r="AS14" s="62"/>
      <c r="AT14" s="62"/>
      <c r="AU14" s="62"/>
      <c r="AV14" s="62"/>
      <c r="AW14" s="62"/>
      <c r="AX14" s="122"/>
      <c r="AY14" s="122"/>
      <c r="AZ14" s="62">
        <f t="shared" si="14"/>
        <v>6.65</v>
      </c>
      <c r="BA14" s="121">
        <v>9.0</v>
      </c>
      <c r="BB14" s="123">
        <f>'PROY. INTER'!AX14</f>
        <v>10</v>
      </c>
      <c r="BC14" s="62">
        <f t="shared" si="15"/>
        <v>9.5</v>
      </c>
      <c r="BD14" s="62">
        <f t="shared" si="16"/>
        <v>2.85</v>
      </c>
      <c r="BE14" s="64">
        <f t="shared" si="17"/>
        <v>9.5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62"/>
      <c r="BW14" s="62"/>
      <c r="BX14" s="62"/>
      <c r="BY14" s="62"/>
      <c r="BZ14" s="62"/>
      <c r="CA14" s="62"/>
      <c r="CB14" s="122"/>
      <c r="CC14" s="122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9.26</v>
      </c>
      <c r="CQ14" s="129">
        <f t="shared" si="25"/>
        <v>9.5</v>
      </c>
      <c r="CR14" s="129">
        <f t="shared" si="26"/>
        <v>0</v>
      </c>
      <c r="CS14" s="130">
        <f t="shared" si="27"/>
        <v>6.25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244">
        <f t="shared" si="30"/>
        <v>6.25</v>
      </c>
      <c r="DB14" s="136"/>
      <c r="DC14" s="137">
        <f t="shared" si="31"/>
        <v>6.25</v>
      </c>
      <c r="DD14" s="138" t="str">
        <f t="shared" si="32"/>
        <v>NO PROMOVIDO</v>
      </c>
    </row>
    <row r="15">
      <c r="A15" s="246">
        <v>4.0</v>
      </c>
      <c r="B15" s="57" t="str">
        <f>LEN!B15</f>
        <v/>
      </c>
      <c r="C15" s="57" t="str">
        <f>LEN!C15</f>
        <v>Aylla Murillo Kerly Kristhel</v>
      </c>
      <c r="D15" s="139">
        <v>8.0</v>
      </c>
      <c r="E15" s="139">
        <v>8.0</v>
      </c>
      <c r="F15" s="119">
        <v>10.0</v>
      </c>
      <c r="G15" s="140"/>
      <c r="H15" s="140"/>
      <c r="I15" s="140"/>
      <c r="J15" s="140"/>
      <c r="K15" s="140"/>
      <c r="L15" s="62"/>
      <c r="M15" s="62"/>
      <c r="N15" s="62"/>
      <c r="O15" s="62"/>
      <c r="P15" s="62"/>
      <c r="Q15" s="62"/>
      <c r="R15" s="62"/>
      <c r="S15" s="62"/>
      <c r="T15" s="122"/>
      <c r="U15" s="122"/>
      <c r="V15" s="62">
        <f t="shared" si="9"/>
        <v>6.062</v>
      </c>
      <c r="W15" s="121">
        <v>10.0</v>
      </c>
      <c r="X15" s="123">
        <f>'PROY. INTER'!W15</f>
        <v>6.73</v>
      </c>
      <c r="Y15" s="62">
        <f t="shared" si="10"/>
        <v>8.365</v>
      </c>
      <c r="Z15" s="62">
        <f t="shared" si="11"/>
        <v>2.5095</v>
      </c>
      <c r="AA15" s="64">
        <f t="shared" si="12"/>
        <v>8.57</v>
      </c>
      <c r="AC15" s="2"/>
      <c r="AE15" s="56">
        <v>4.0</v>
      </c>
      <c r="AF15" s="124" t="str">
        <f t="shared" ref="AF15:AG15" si="37">B15</f>
        <v/>
      </c>
      <c r="AG15" s="243" t="str">
        <f t="shared" si="37"/>
        <v>Aylla Murillo Kerly Kristhel</v>
      </c>
      <c r="AH15" s="119">
        <v>9.0</v>
      </c>
      <c r="AI15" s="119">
        <v>10.0</v>
      </c>
      <c r="AJ15" s="140"/>
      <c r="AK15" s="140"/>
      <c r="AL15" s="140"/>
      <c r="AM15" s="140"/>
      <c r="AN15" s="140"/>
      <c r="AO15" s="140"/>
      <c r="AP15" s="62"/>
      <c r="AQ15" s="62"/>
      <c r="AR15" s="62"/>
      <c r="AS15" s="62"/>
      <c r="AT15" s="62"/>
      <c r="AU15" s="62"/>
      <c r="AV15" s="62"/>
      <c r="AW15" s="62"/>
      <c r="AX15" s="122"/>
      <c r="AY15" s="122"/>
      <c r="AZ15" s="62">
        <f t="shared" si="14"/>
        <v>6.65</v>
      </c>
      <c r="BA15" s="121">
        <v>9.0</v>
      </c>
      <c r="BB15" s="123">
        <f>'PROY. INTER'!AX15</f>
        <v>10</v>
      </c>
      <c r="BC15" s="62">
        <f t="shared" si="15"/>
        <v>9.5</v>
      </c>
      <c r="BD15" s="62">
        <f t="shared" si="16"/>
        <v>2.85</v>
      </c>
      <c r="BE15" s="64">
        <f t="shared" si="17"/>
        <v>9.5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62"/>
      <c r="BW15" s="62"/>
      <c r="BX15" s="62"/>
      <c r="BY15" s="62"/>
      <c r="BZ15" s="62"/>
      <c r="CA15" s="62"/>
      <c r="CB15" s="122"/>
      <c r="CC15" s="122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8.57</v>
      </c>
      <c r="CQ15" s="129">
        <f t="shared" si="25"/>
        <v>9.5</v>
      </c>
      <c r="CR15" s="129">
        <f t="shared" si="26"/>
        <v>0</v>
      </c>
      <c r="CS15" s="130">
        <f t="shared" si="27"/>
        <v>6.02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244">
        <f t="shared" si="30"/>
        <v>6.02</v>
      </c>
      <c r="DB15" s="136"/>
      <c r="DC15" s="137">
        <f t="shared" si="31"/>
        <v>6.02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7.0</v>
      </c>
      <c r="E16" s="139">
        <v>7.0</v>
      </c>
      <c r="F16" s="119">
        <v>10.0</v>
      </c>
      <c r="G16" s="140"/>
      <c r="H16" s="140"/>
      <c r="I16" s="140"/>
      <c r="J16" s="140"/>
      <c r="K16" s="140"/>
      <c r="L16" s="62"/>
      <c r="M16" s="62"/>
      <c r="N16" s="62"/>
      <c r="O16" s="62"/>
      <c r="P16" s="62"/>
      <c r="Q16" s="62"/>
      <c r="R16" s="62"/>
      <c r="S16" s="62"/>
      <c r="T16" s="122"/>
      <c r="U16" s="122"/>
      <c r="V16" s="62">
        <f t="shared" si="9"/>
        <v>5.6</v>
      </c>
      <c r="W16" s="121">
        <v>9.0</v>
      </c>
      <c r="X16" s="123">
        <f>'PROY. INTER'!W16</f>
        <v>6</v>
      </c>
      <c r="Y16" s="62">
        <f t="shared" si="10"/>
        <v>7.5</v>
      </c>
      <c r="Z16" s="62">
        <f t="shared" si="11"/>
        <v>2.25</v>
      </c>
      <c r="AA16" s="64">
        <f t="shared" si="12"/>
        <v>7.85</v>
      </c>
      <c r="AC16" s="2"/>
      <c r="AE16" s="56">
        <v>5.0</v>
      </c>
      <c r="AF16" s="124" t="str">
        <f t="shared" ref="AF16:AG16" si="41">B16</f>
        <v/>
      </c>
      <c r="AG16" s="243" t="str">
        <f t="shared" si="41"/>
        <v>Campuzano Meza Naydelyn Odeth</v>
      </c>
      <c r="AH16" s="119">
        <v>9.0</v>
      </c>
      <c r="AI16" s="119">
        <v>8.0</v>
      </c>
      <c r="AJ16" s="140"/>
      <c r="AK16" s="140"/>
      <c r="AL16" s="140"/>
      <c r="AM16" s="140"/>
      <c r="AN16" s="140"/>
      <c r="AO16" s="140"/>
      <c r="AP16" s="62"/>
      <c r="AQ16" s="62"/>
      <c r="AR16" s="62"/>
      <c r="AS16" s="62"/>
      <c r="AT16" s="62"/>
      <c r="AU16" s="62"/>
      <c r="AV16" s="62"/>
      <c r="AW16" s="62"/>
      <c r="AX16" s="122"/>
      <c r="AY16" s="122"/>
      <c r="AZ16" s="62">
        <f t="shared" si="14"/>
        <v>5.95</v>
      </c>
      <c r="BA16" s="121">
        <v>9.0</v>
      </c>
      <c r="BB16" s="123">
        <f>'PROY. INTER'!AX16</f>
        <v>2</v>
      </c>
      <c r="BC16" s="62">
        <f t="shared" si="15"/>
        <v>5.5</v>
      </c>
      <c r="BD16" s="62">
        <f t="shared" si="16"/>
        <v>1.65</v>
      </c>
      <c r="BE16" s="64">
        <f t="shared" si="17"/>
        <v>7.6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62"/>
      <c r="BW16" s="62"/>
      <c r="BX16" s="62"/>
      <c r="BY16" s="62"/>
      <c r="BZ16" s="62"/>
      <c r="CA16" s="62"/>
      <c r="CB16" s="122"/>
      <c r="CC16" s="122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7.85</v>
      </c>
      <c r="CQ16" s="129">
        <f t="shared" si="25"/>
        <v>7.6</v>
      </c>
      <c r="CR16" s="129">
        <f t="shared" si="26"/>
        <v>0</v>
      </c>
      <c r="CS16" s="130">
        <f t="shared" si="27"/>
        <v>5.15</v>
      </c>
      <c r="CT16" s="131" t="str">
        <f t="shared" si="28"/>
        <v>SUPLETORIO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244">
        <f t="shared" si="30"/>
        <v>5.15</v>
      </c>
      <c r="DB16" s="136"/>
      <c r="DC16" s="137">
        <f t="shared" si="31"/>
        <v>5.15</v>
      </c>
      <c r="DD16" s="138" t="str">
        <f t="shared" si="32"/>
        <v>NO PROMOVIDO</v>
      </c>
    </row>
    <row r="17" ht="15.0" customHeight="1">
      <c r="A17" s="246">
        <v>6.0</v>
      </c>
      <c r="B17" s="57" t="str">
        <f>LEN!B17</f>
        <v/>
      </c>
      <c r="C17" s="57" t="str">
        <f>LEN!C17</f>
        <v>Cantos Zúñiga a Hernán Snayder</v>
      </c>
      <c r="D17" s="139">
        <v>7.0</v>
      </c>
      <c r="E17" s="139">
        <v>7.0</v>
      </c>
      <c r="F17" s="119">
        <v>10.0</v>
      </c>
      <c r="G17" s="140"/>
      <c r="H17" s="140"/>
      <c r="I17" s="140"/>
      <c r="J17" s="140"/>
      <c r="K17" s="140"/>
      <c r="L17" s="62"/>
      <c r="M17" s="62"/>
      <c r="N17" s="62"/>
      <c r="O17" s="62"/>
      <c r="P17" s="62"/>
      <c r="Q17" s="62"/>
      <c r="R17" s="62"/>
      <c r="S17" s="62"/>
      <c r="T17" s="122"/>
      <c r="U17" s="122"/>
      <c r="V17" s="62">
        <f t="shared" si="9"/>
        <v>5.6</v>
      </c>
      <c r="W17" s="121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8.58</v>
      </c>
      <c r="AC17" s="2"/>
      <c r="AE17" s="56">
        <v>6.0</v>
      </c>
      <c r="AF17" s="124" t="str">
        <f t="shared" ref="AF17:AG17" si="45">B17</f>
        <v/>
      </c>
      <c r="AG17" s="243" t="str">
        <f t="shared" si="45"/>
        <v>Cantos Zúñiga a Hernán Snayder</v>
      </c>
      <c r="AH17" s="119">
        <v>9.0</v>
      </c>
      <c r="AI17" s="119">
        <v>10.0</v>
      </c>
      <c r="AJ17" s="140"/>
      <c r="AK17" s="140"/>
      <c r="AL17" s="140"/>
      <c r="AM17" s="140"/>
      <c r="AN17" s="140"/>
      <c r="AO17" s="140"/>
      <c r="AP17" s="62"/>
      <c r="AQ17" s="62"/>
      <c r="AR17" s="62"/>
      <c r="AS17" s="62"/>
      <c r="AT17" s="62"/>
      <c r="AU17" s="62"/>
      <c r="AV17" s="62"/>
      <c r="AW17" s="62"/>
      <c r="AX17" s="122"/>
      <c r="AY17" s="122"/>
      <c r="AZ17" s="62">
        <f t="shared" si="14"/>
        <v>6.65</v>
      </c>
      <c r="BA17" s="121">
        <v>9.0</v>
      </c>
      <c r="BB17" s="123">
        <f>'PROY. INTER'!AX17</f>
        <v>10</v>
      </c>
      <c r="BC17" s="62">
        <f t="shared" si="15"/>
        <v>9.5</v>
      </c>
      <c r="BD17" s="62">
        <f t="shared" si="16"/>
        <v>2.85</v>
      </c>
      <c r="BE17" s="64">
        <f t="shared" si="17"/>
        <v>9.5</v>
      </c>
      <c r="BG17" s="2"/>
      <c r="BI17" s="56">
        <v>6.0</v>
      </c>
      <c r="BJ17" s="124" t="str">
        <f t="shared" ref="BJ17:BK17" si="46">B17</f>
        <v/>
      </c>
      <c r="BK17" s="12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62"/>
      <c r="BW17" s="62"/>
      <c r="BX17" s="62"/>
      <c r="BY17" s="62"/>
      <c r="BZ17" s="62"/>
      <c r="CA17" s="62"/>
      <c r="CB17" s="122"/>
      <c r="CC17" s="122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8.58</v>
      </c>
      <c r="CQ17" s="129">
        <f t="shared" si="25"/>
        <v>9.5</v>
      </c>
      <c r="CR17" s="129">
        <f t="shared" si="26"/>
        <v>0</v>
      </c>
      <c r="CS17" s="130">
        <f t="shared" si="27"/>
        <v>6.02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244">
        <f t="shared" si="30"/>
        <v>6.02</v>
      </c>
      <c r="DB17" s="136"/>
      <c r="DC17" s="137">
        <f t="shared" si="31"/>
        <v>6.02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9.0</v>
      </c>
      <c r="E18" s="139">
        <v>9.0</v>
      </c>
      <c r="F18" s="119">
        <v>10.0</v>
      </c>
      <c r="G18" s="140"/>
      <c r="H18" s="140"/>
      <c r="I18" s="140"/>
      <c r="J18" s="140"/>
      <c r="K18" s="140"/>
      <c r="L18" s="62"/>
      <c r="M18" s="62"/>
      <c r="N18" s="62"/>
      <c r="O18" s="62"/>
      <c r="P18" s="62"/>
      <c r="Q18" s="62"/>
      <c r="R18" s="62"/>
      <c r="S18" s="62"/>
      <c r="T18" s="122"/>
      <c r="U18" s="122"/>
      <c r="V18" s="62">
        <f t="shared" si="9"/>
        <v>6.531</v>
      </c>
      <c r="W18" s="121">
        <v>10.0</v>
      </c>
      <c r="X18" s="123">
        <f>'PROY. INTER'!W18</f>
        <v>9</v>
      </c>
      <c r="Y18" s="62">
        <f t="shared" si="10"/>
        <v>9.5</v>
      </c>
      <c r="Z18" s="62">
        <f t="shared" si="11"/>
        <v>2.85</v>
      </c>
      <c r="AA18" s="64">
        <f t="shared" si="12"/>
        <v>9.38</v>
      </c>
      <c r="AC18" s="2"/>
      <c r="AE18" s="56">
        <v>7.0</v>
      </c>
      <c r="AF18" s="124" t="str">
        <f t="shared" ref="AF18:AG18" si="49">B18</f>
        <v/>
      </c>
      <c r="AG18" s="243" t="str">
        <f t="shared" si="49"/>
        <v>Carranza Dumes Genesis Daniela</v>
      </c>
      <c r="AH18" s="119">
        <v>9.0</v>
      </c>
      <c r="AI18" s="119">
        <v>10.0</v>
      </c>
      <c r="AJ18" s="140"/>
      <c r="AK18" s="140"/>
      <c r="AL18" s="140"/>
      <c r="AM18" s="140"/>
      <c r="AN18" s="140"/>
      <c r="AO18" s="140"/>
      <c r="AP18" s="62"/>
      <c r="AQ18" s="62"/>
      <c r="AR18" s="62"/>
      <c r="AS18" s="62"/>
      <c r="AT18" s="62"/>
      <c r="AU18" s="62"/>
      <c r="AV18" s="62"/>
      <c r="AW18" s="62"/>
      <c r="AX18" s="122"/>
      <c r="AY18" s="122"/>
      <c r="AZ18" s="62">
        <f t="shared" si="14"/>
        <v>6.65</v>
      </c>
      <c r="BA18" s="121">
        <v>9.0</v>
      </c>
      <c r="BB18" s="123">
        <f>'PROY. INTER'!AX18</f>
        <v>2</v>
      </c>
      <c r="BC18" s="62">
        <f t="shared" si="15"/>
        <v>5.5</v>
      </c>
      <c r="BD18" s="62">
        <f t="shared" si="16"/>
        <v>1.65</v>
      </c>
      <c r="BE18" s="64">
        <f t="shared" si="17"/>
        <v>8.3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62"/>
      <c r="BW18" s="62"/>
      <c r="BX18" s="62"/>
      <c r="BY18" s="62"/>
      <c r="BZ18" s="62"/>
      <c r="CA18" s="62"/>
      <c r="CB18" s="122"/>
      <c r="CC18" s="122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9.38</v>
      </c>
      <c r="CQ18" s="129">
        <f t="shared" si="25"/>
        <v>8.3</v>
      </c>
      <c r="CR18" s="129">
        <f t="shared" si="26"/>
        <v>0</v>
      </c>
      <c r="CS18" s="130">
        <f t="shared" si="27"/>
        <v>5.89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244">
        <f t="shared" si="30"/>
        <v>5.89</v>
      </c>
      <c r="DB18" s="136"/>
      <c r="DC18" s="137">
        <f t="shared" si="31"/>
        <v>5.89</v>
      </c>
      <c r="DD18" s="138" t="str">
        <f t="shared" si="32"/>
        <v>NO PROMOVIDO</v>
      </c>
    </row>
    <row r="19">
      <c r="A19" s="246">
        <v>8.0</v>
      </c>
      <c r="B19" s="57" t="str">
        <f>LEN!B19</f>
        <v/>
      </c>
      <c r="C19" s="57" t="str">
        <f>LEN!C19</f>
        <v>Castro De La Rosa Cristopher Ruben</v>
      </c>
      <c r="D19" s="247">
        <v>8.0</v>
      </c>
      <c r="E19" s="247">
        <v>8.0</v>
      </c>
      <c r="F19" s="119">
        <v>10.0</v>
      </c>
      <c r="G19" s="248"/>
      <c r="H19" s="248"/>
      <c r="I19" s="248"/>
      <c r="J19" s="248"/>
      <c r="K19" s="248"/>
      <c r="L19" s="62"/>
      <c r="M19" s="62"/>
      <c r="N19" s="62"/>
      <c r="O19" s="62"/>
      <c r="P19" s="62"/>
      <c r="Q19" s="62"/>
      <c r="R19" s="62"/>
      <c r="S19" s="62"/>
      <c r="T19" s="122"/>
      <c r="U19" s="122"/>
      <c r="V19" s="62">
        <f t="shared" si="9"/>
        <v>6.062</v>
      </c>
      <c r="W19" s="121">
        <v>9.0</v>
      </c>
      <c r="X19" s="123">
        <f>'PROY. INTER'!W19</f>
        <v>6</v>
      </c>
      <c r="Y19" s="62">
        <f t="shared" si="10"/>
        <v>7.5</v>
      </c>
      <c r="Z19" s="62">
        <f t="shared" si="11"/>
        <v>2.25</v>
      </c>
      <c r="AA19" s="64">
        <f t="shared" si="12"/>
        <v>8.31</v>
      </c>
      <c r="AB19" s="71"/>
      <c r="AC19" s="2"/>
      <c r="AD19" s="71"/>
      <c r="AE19" s="56">
        <v>8.0</v>
      </c>
      <c r="AF19" s="124" t="str">
        <f t="shared" ref="AF19:AG19" si="53">B19</f>
        <v/>
      </c>
      <c r="AG19" s="243" t="str">
        <f t="shared" si="53"/>
        <v>Castro De La Rosa Cristopher Ruben</v>
      </c>
      <c r="AH19" s="119">
        <v>9.0</v>
      </c>
      <c r="AI19" s="119">
        <v>10.0</v>
      </c>
      <c r="AJ19" s="248"/>
      <c r="AK19" s="248"/>
      <c r="AL19" s="248"/>
      <c r="AM19" s="248"/>
      <c r="AN19" s="248"/>
      <c r="AO19" s="248"/>
      <c r="AP19" s="62"/>
      <c r="AQ19" s="62"/>
      <c r="AR19" s="62"/>
      <c r="AS19" s="62"/>
      <c r="AT19" s="62"/>
      <c r="AU19" s="62"/>
      <c r="AV19" s="62"/>
      <c r="AW19" s="62"/>
      <c r="AX19" s="122"/>
      <c r="AY19" s="122"/>
      <c r="AZ19" s="62">
        <f t="shared" si="14"/>
        <v>6.65</v>
      </c>
      <c r="BA19" s="121">
        <v>9.0</v>
      </c>
      <c r="BB19" s="123">
        <f>'PROY. INTER'!AX19</f>
        <v>2</v>
      </c>
      <c r="BC19" s="62">
        <f t="shared" si="15"/>
        <v>5.5</v>
      </c>
      <c r="BD19" s="62">
        <f t="shared" si="16"/>
        <v>1.65</v>
      </c>
      <c r="BE19" s="64">
        <f t="shared" si="17"/>
        <v>8.3</v>
      </c>
      <c r="BF19" s="71"/>
      <c r="BG19" s="2"/>
      <c r="BH19" s="71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248"/>
      <c r="BM19" s="248"/>
      <c r="BN19" s="248"/>
      <c r="BO19" s="248"/>
      <c r="BP19" s="248"/>
      <c r="BQ19" s="248"/>
      <c r="BR19" s="248"/>
      <c r="BS19" s="248"/>
      <c r="BT19" s="62"/>
      <c r="BU19" s="62"/>
      <c r="BV19" s="62"/>
      <c r="BW19" s="62"/>
      <c r="BX19" s="62"/>
      <c r="BY19" s="62"/>
      <c r="BZ19" s="62"/>
      <c r="CA19" s="62"/>
      <c r="CB19" s="122"/>
      <c r="CC19" s="122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J19" s="71"/>
      <c r="CK19" s="2"/>
      <c r="CL19" s="71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8.31</v>
      </c>
      <c r="CQ19" s="129">
        <f t="shared" si="25"/>
        <v>8.3</v>
      </c>
      <c r="CR19" s="129">
        <f t="shared" si="26"/>
        <v>0</v>
      </c>
      <c r="CS19" s="130">
        <f t="shared" si="27"/>
        <v>5.53</v>
      </c>
      <c r="CT19" s="131" t="str">
        <f t="shared" si="28"/>
        <v>SUPLETORIO</v>
      </c>
      <c r="CU19" s="71"/>
      <c r="CV19" s="2"/>
      <c r="CW19" s="71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244">
        <f t="shared" si="30"/>
        <v>5.53</v>
      </c>
      <c r="DB19" s="136"/>
      <c r="DC19" s="137">
        <f t="shared" si="31"/>
        <v>5.53</v>
      </c>
      <c r="DD19" s="138" t="str">
        <f t="shared" si="32"/>
        <v>NO PROMOVIDO</v>
      </c>
      <c r="DE19" s="71"/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8.0</v>
      </c>
      <c r="E20" s="139">
        <v>8.0</v>
      </c>
      <c r="F20" s="119">
        <v>10.0</v>
      </c>
      <c r="G20" s="140"/>
      <c r="H20" s="140"/>
      <c r="I20" s="140"/>
      <c r="J20" s="140"/>
      <c r="K20" s="140"/>
      <c r="L20" s="62"/>
      <c r="M20" s="62"/>
      <c r="N20" s="62"/>
      <c r="O20" s="62"/>
      <c r="P20" s="62"/>
      <c r="Q20" s="62"/>
      <c r="R20" s="62"/>
      <c r="S20" s="62"/>
      <c r="T20" s="122"/>
      <c r="U20" s="122"/>
      <c r="V20" s="62">
        <f t="shared" si="9"/>
        <v>6.062</v>
      </c>
      <c r="W20" s="121">
        <v>9.0</v>
      </c>
      <c r="X20" s="123">
        <f>'PROY. INTER'!W20</f>
        <v>6</v>
      </c>
      <c r="Y20" s="62">
        <f t="shared" si="10"/>
        <v>7.5</v>
      </c>
      <c r="Z20" s="62">
        <f t="shared" si="11"/>
        <v>2.25</v>
      </c>
      <c r="AA20" s="64">
        <f t="shared" si="12"/>
        <v>8.31</v>
      </c>
      <c r="AC20" s="2"/>
      <c r="AE20" s="56">
        <v>9.0</v>
      </c>
      <c r="AF20" s="124" t="str">
        <f t="shared" ref="AF20:AG20" si="57">B20</f>
        <v/>
      </c>
      <c r="AG20" s="243" t="str">
        <f t="shared" si="57"/>
        <v>Chamba Maurad Joshelyn Juleixi</v>
      </c>
      <c r="AH20" s="119">
        <v>9.0</v>
      </c>
      <c r="AI20" s="119">
        <v>10.0</v>
      </c>
      <c r="AJ20" s="140"/>
      <c r="AK20" s="140"/>
      <c r="AL20" s="140"/>
      <c r="AM20" s="140"/>
      <c r="AN20" s="140"/>
      <c r="AO20" s="140"/>
      <c r="AP20" s="62"/>
      <c r="AQ20" s="62"/>
      <c r="AR20" s="62"/>
      <c r="AS20" s="62"/>
      <c r="AT20" s="62"/>
      <c r="AU20" s="62"/>
      <c r="AV20" s="62"/>
      <c r="AW20" s="62"/>
      <c r="AX20" s="122"/>
      <c r="AY20" s="122"/>
      <c r="AZ20" s="62">
        <f t="shared" si="14"/>
        <v>6.65</v>
      </c>
      <c r="BA20" s="121">
        <v>9.0</v>
      </c>
      <c r="BB20" s="123">
        <f>'PROY. INTER'!AX20</f>
        <v>10</v>
      </c>
      <c r="BC20" s="62">
        <f t="shared" si="15"/>
        <v>9.5</v>
      </c>
      <c r="BD20" s="62">
        <f t="shared" si="16"/>
        <v>2.85</v>
      </c>
      <c r="BE20" s="64">
        <f t="shared" si="17"/>
        <v>9.5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62"/>
      <c r="BW20" s="62"/>
      <c r="BX20" s="62"/>
      <c r="BY20" s="62"/>
      <c r="BZ20" s="62"/>
      <c r="CA20" s="62"/>
      <c r="CB20" s="122"/>
      <c r="CC20" s="122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8.31</v>
      </c>
      <c r="CQ20" s="129">
        <f t="shared" si="25"/>
        <v>9.5</v>
      </c>
      <c r="CR20" s="129">
        <f t="shared" si="26"/>
        <v>0</v>
      </c>
      <c r="CS20" s="130">
        <f t="shared" si="27"/>
        <v>5.93</v>
      </c>
      <c r="CT20" s="131" t="str">
        <f t="shared" si="28"/>
        <v>SUPLETORIO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244">
        <f t="shared" si="30"/>
        <v>5.93</v>
      </c>
      <c r="DB20" s="136"/>
      <c r="DC20" s="137">
        <f t="shared" si="31"/>
        <v>5.93</v>
      </c>
      <c r="DD20" s="138" t="str">
        <f t="shared" si="32"/>
        <v>NO PROMOVIDO</v>
      </c>
    </row>
    <row r="21" ht="15.75" customHeight="1">
      <c r="A21" s="246">
        <v>10.0</v>
      </c>
      <c r="B21" s="57" t="str">
        <f>LEN!B21</f>
        <v/>
      </c>
      <c r="C21" s="57" t="str">
        <f>LEN!C21</f>
        <v>Cedeño Sanchez Josué</v>
      </c>
      <c r="D21" s="139">
        <v>8.0</v>
      </c>
      <c r="E21" s="139">
        <v>8.0</v>
      </c>
      <c r="F21" s="119">
        <v>10.0</v>
      </c>
      <c r="G21" s="140"/>
      <c r="H21" s="140"/>
      <c r="I21" s="140"/>
      <c r="J21" s="140"/>
      <c r="K21" s="140"/>
      <c r="L21" s="62"/>
      <c r="M21" s="62"/>
      <c r="N21" s="62"/>
      <c r="O21" s="62"/>
      <c r="P21" s="62"/>
      <c r="Q21" s="62"/>
      <c r="R21" s="62"/>
      <c r="S21" s="62"/>
      <c r="T21" s="122"/>
      <c r="U21" s="122"/>
      <c r="V21" s="62">
        <f t="shared" si="9"/>
        <v>6.062</v>
      </c>
      <c r="W21" s="121">
        <v>10.0</v>
      </c>
      <c r="X21" s="123">
        <f>'PROY. INTER'!W21</f>
        <v>6</v>
      </c>
      <c r="Y21" s="62">
        <f t="shared" si="10"/>
        <v>8</v>
      </c>
      <c r="Z21" s="62">
        <f t="shared" si="11"/>
        <v>2.4</v>
      </c>
      <c r="AA21" s="64">
        <f t="shared" si="12"/>
        <v>8.46</v>
      </c>
      <c r="AC21" s="2"/>
      <c r="AE21" s="56">
        <v>10.0</v>
      </c>
      <c r="AF21" s="124" t="str">
        <f t="shared" ref="AF21:AG21" si="61">B21</f>
        <v/>
      </c>
      <c r="AG21" s="243" t="str">
        <f t="shared" si="61"/>
        <v>Cedeño Sanchez Josué</v>
      </c>
      <c r="AH21" s="119">
        <v>9.0</v>
      </c>
      <c r="AI21" s="119">
        <v>10.0</v>
      </c>
      <c r="AJ21" s="140"/>
      <c r="AK21" s="140"/>
      <c r="AL21" s="140"/>
      <c r="AM21" s="140"/>
      <c r="AN21" s="140"/>
      <c r="AO21" s="140"/>
      <c r="AP21" s="62"/>
      <c r="AQ21" s="62"/>
      <c r="AR21" s="62"/>
      <c r="AS21" s="62"/>
      <c r="AT21" s="62"/>
      <c r="AU21" s="62"/>
      <c r="AV21" s="62"/>
      <c r="AW21" s="62"/>
      <c r="AX21" s="122"/>
      <c r="AY21" s="122"/>
      <c r="AZ21" s="62">
        <f t="shared" si="14"/>
        <v>6.65</v>
      </c>
      <c r="BA21" s="121">
        <v>9.0</v>
      </c>
      <c r="BB21" s="123">
        <f>'PROY. INTER'!AX21</f>
        <v>2</v>
      </c>
      <c r="BC21" s="62">
        <f t="shared" si="15"/>
        <v>5.5</v>
      </c>
      <c r="BD21" s="62">
        <f t="shared" si="16"/>
        <v>1.65</v>
      </c>
      <c r="BE21" s="64">
        <f t="shared" si="17"/>
        <v>8.3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62"/>
      <c r="BW21" s="62"/>
      <c r="BX21" s="62"/>
      <c r="BY21" s="62"/>
      <c r="BZ21" s="62"/>
      <c r="CA21" s="62"/>
      <c r="CB21" s="122"/>
      <c r="CC21" s="122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8.46</v>
      </c>
      <c r="CQ21" s="129">
        <f t="shared" si="25"/>
        <v>8.3</v>
      </c>
      <c r="CR21" s="129">
        <f t="shared" si="26"/>
        <v>0</v>
      </c>
      <c r="CS21" s="130">
        <f t="shared" si="27"/>
        <v>5.58</v>
      </c>
      <c r="CT21" s="131" t="str">
        <f t="shared" si="28"/>
        <v>SUPLETORIO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244">
        <f t="shared" si="30"/>
        <v>5.58</v>
      </c>
      <c r="DB21" s="136"/>
      <c r="DC21" s="137">
        <f t="shared" si="31"/>
        <v>5.58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9.0</v>
      </c>
      <c r="E22" s="139">
        <v>9.0</v>
      </c>
      <c r="F22" s="119">
        <v>10.0</v>
      </c>
      <c r="G22" s="140"/>
      <c r="H22" s="140"/>
      <c r="I22" s="140"/>
      <c r="J22" s="140"/>
      <c r="K22" s="140"/>
      <c r="L22" s="62"/>
      <c r="M22" s="62"/>
      <c r="N22" s="62"/>
      <c r="O22" s="62"/>
      <c r="P22" s="62"/>
      <c r="Q22" s="62"/>
      <c r="R22" s="62"/>
      <c r="S22" s="62"/>
      <c r="T22" s="122"/>
      <c r="U22" s="122"/>
      <c r="V22" s="62">
        <f t="shared" si="9"/>
        <v>6.531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9.53</v>
      </c>
      <c r="AC22" s="2"/>
      <c r="AE22" s="56">
        <v>11.0</v>
      </c>
      <c r="AF22" s="124" t="str">
        <f t="shared" ref="AF22:AG22" si="65">B22</f>
        <v/>
      </c>
      <c r="AG22" s="243" t="str">
        <f t="shared" si="65"/>
        <v>Espinoza Martinez Stefano Juliano</v>
      </c>
      <c r="AH22" s="119">
        <v>9.0</v>
      </c>
      <c r="AI22" s="119">
        <v>10.0</v>
      </c>
      <c r="AJ22" s="140"/>
      <c r="AK22" s="140"/>
      <c r="AL22" s="140"/>
      <c r="AM22" s="140"/>
      <c r="AN22" s="140"/>
      <c r="AO22" s="140"/>
      <c r="AP22" s="62"/>
      <c r="AQ22" s="62"/>
      <c r="AR22" s="62"/>
      <c r="AS22" s="62"/>
      <c r="AT22" s="62"/>
      <c r="AU22" s="62"/>
      <c r="AV22" s="62"/>
      <c r="AW22" s="62"/>
      <c r="AX22" s="122"/>
      <c r="AY22" s="122"/>
      <c r="AZ22" s="62">
        <f t="shared" si="14"/>
        <v>6.65</v>
      </c>
      <c r="BA22" s="121">
        <v>9.0</v>
      </c>
      <c r="BB22" s="123">
        <f>'PROY. INTER'!AX22</f>
        <v>10</v>
      </c>
      <c r="BC22" s="62">
        <f t="shared" si="15"/>
        <v>9.5</v>
      </c>
      <c r="BD22" s="62">
        <f t="shared" si="16"/>
        <v>2.85</v>
      </c>
      <c r="BE22" s="64">
        <f t="shared" si="17"/>
        <v>9.5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62"/>
      <c r="BW22" s="62"/>
      <c r="BX22" s="62"/>
      <c r="BY22" s="62"/>
      <c r="BZ22" s="62"/>
      <c r="CA22" s="62"/>
      <c r="CB22" s="122"/>
      <c r="CC22" s="122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9.53</v>
      </c>
      <c r="CQ22" s="129">
        <f t="shared" si="25"/>
        <v>9.5</v>
      </c>
      <c r="CR22" s="129">
        <f t="shared" si="26"/>
        <v>0</v>
      </c>
      <c r="CS22" s="130">
        <f t="shared" si="27"/>
        <v>6.34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244">
        <f t="shared" si="30"/>
        <v>6.34</v>
      </c>
      <c r="DB22" s="136"/>
      <c r="DC22" s="137">
        <f t="shared" si="31"/>
        <v>6.34</v>
      </c>
      <c r="DD22" s="138" t="str">
        <f t="shared" si="32"/>
        <v>NO PROMOVIDO</v>
      </c>
    </row>
    <row r="23" ht="15.75" customHeight="1">
      <c r="A23" s="246">
        <v>12.0</v>
      </c>
      <c r="B23" s="57" t="str">
        <f>LEN!B23</f>
        <v/>
      </c>
      <c r="C23" s="57" t="str">
        <f>LEN!C23</f>
        <v>Espinoza Morante Melany Ginger</v>
      </c>
      <c r="D23" s="139">
        <v>9.0</v>
      </c>
      <c r="E23" s="139">
        <v>9.0</v>
      </c>
      <c r="F23" s="119">
        <v>10.0</v>
      </c>
      <c r="G23" s="140"/>
      <c r="H23" s="140"/>
      <c r="I23" s="140"/>
      <c r="J23" s="140"/>
      <c r="K23" s="140"/>
      <c r="L23" s="62"/>
      <c r="M23" s="62"/>
      <c r="N23" s="62"/>
      <c r="O23" s="62"/>
      <c r="P23" s="62"/>
      <c r="Q23" s="62"/>
      <c r="R23" s="62"/>
      <c r="S23" s="62"/>
      <c r="T23" s="122"/>
      <c r="U23" s="122"/>
      <c r="V23" s="62">
        <f t="shared" si="9"/>
        <v>6.531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9.11</v>
      </c>
      <c r="AC23" s="2"/>
      <c r="AE23" s="56">
        <v>12.0</v>
      </c>
      <c r="AF23" s="124" t="str">
        <f t="shared" ref="AF23:AG23" si="69">B23</f>
        <v/>
      </c>
      <c r="AG23" s="243" t="str">
        <f t="shared" si="69"/>
        <v>Espinoza Morante Melany Ginger</v>
      </c>
      <c r="AH23" s="119">
        <v>9.0</v>
      </c>
      <c r="AI23" s="119">
        <v>10.0</v>
      </c>
      <c r="AJ23" s="140"/>
      <c r="AK23" s="140"/>
      <c r="AL23" s="140"/>
      <c r="AM23" s="140"/>
      <c r="AN23" s="140"/>
      <c r="AO23" s="140"/>
      <c r="AP23" s="62"/>
      <c r="AQ23" s="62"/>
      <c r="AR23" s="62"/>
      <c r="AS23" s="62"/>
      <c r="AT23" s="62"/>
      <c r="AU23" s="62"/>
      <c r="AV23" s="62"/>
      <c r="AW23" s="62"/>
      <c r="AX23" s="122"/>
      <c r="AY23" s="122"/>
      <c r="AZ23" s="62">
        <f t="shared" si="14"/>
        <v>6.65</v>
      </c>
      <c r="BA23" s="121">
        <v>9.0</v>
      </c>
      <c r="BB23" s="123">
        <f>'PROY. INTER'!AX23</f>
        <v>10</v>
      </c>
      <c r="BC23" s="62">
        <f t="shared" si="15"/>
        <v>9.5</v>
      </c>
      <c r="BD23" s="62">
        <f t="shared" si="16"/>
        <v>2.85</v>
      </c>
      <c r="BE23" s="64">
        <f t="shared" si="17"/>
        <v>9.5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62"/>
      <c r="BW23" s="62"/>
      <c r="BX23" s="62"/>
      <c r="BY23" s="62"/>
      <c r="BZ23" s="62"/>
      <c r="CA23" s="62"/>
      <c r="CB23" s="122"/>
      <c r="CC23" s="122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9.11</v>
      </c>
      <c r="CQ23" s="129">
        <f t="shared" si="25"/>
        <v>9.5</v>
      </c>
      <c r="CR23" s="129">
        <f t="shared" si="26"/>
        <v>0</v>
      </c>
      <c r="CS23" s="130">
        <f t="shared" si="27"/>
        <v>6.2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244">
        <f t="shared" si="30"/>
        <v>6.2</v>
      </c>
      <c r="DB23" s="136"/>
      <c r="DC23" s="137">
        <f t="shared" si="31"/>
        <v>6.2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9.0</v>
      </c>
      <c r="E24" s="139">
        <v>9.0</v>
      </c>
      <c r="F24" s="119">
        <v>10.0</v>
      </c>
      <c r="G24" s="140"/>
      <c r="H24" s="140"/>
      <c r="I24" s="140"/>
      <c r="J24" s="140"/>
      <c r="K24" s="140"/>
      <c r="L24" s="62"/>
      <c r="M24" s="62"/>
      <c r="N24" s="62"/>
      <c r="O24" s="62"/>
      <c r="P24" s="62"/>
      <c r="Q24" s="62"/>
      <c r="R24" s="62"/>
      <c r="S24" s="62"/>
      <c r="T24" s="122"/>
      <c r="U24" s="122"/>
      <c r="V24" s="62">
        <f t="shared" si="9"/>
        <v>6.531</v>
      </c>
      <c r="W24" s="121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9.38</v>
      </c>
      <c r="AC24" s="2"/>
      <c r="AE24" s="56">
        <v>13.0</v>
      </c>
      <c r="AF24" s="124" t="str">
        <f t="shared" ref="AF24:AG24" si="73">B24</f>
        <v/>
      </c>
      <c r="AG24" s="243" t="str">
        <f t="shared" si="73"/>
        <v>Garrido franco Génesis Lissette</v>
      </c>
      <c r="AH24" s="119">
        <v>9.0</v>
      </c>
      <c r="AI24" s="119">
        <v>10.0</v>
      </c>
      <c r="AJ24" s="140"/>
      <c r="AK24" s="140"/>
      <c r="AL24" s="140"/>
      <c r="AM24" s="140"/>
      <c r="AN24" s="140"/>
      <c r="AO24" s="140"/>
      <c r="AP24" s="62"/>
      <c r="AQ24" s="62"/>
      <c r="AR24" s="62"/>
      <c r="AS24" s="62"/>
      <c r="AT24" s="62"/>
      <c r="AU24" s="62"/>
      <c r="AV24" s="62"/>
      <c r="AW24" s="62"/>
      <c r="AX24" s="122"/>
      <c r="AY24" s="122"/>
      <c r="AZ24" s="62">
        <f t="shared" si="14"/>
        <v>6.65</v>
      </c>
      <c r="BA24" s="121">
        <v>9.0</v>
      </c>
      <c r="BB24" s="123">
        <f>'PROY. INTER'!AX24</f>
        <v>10</v>
      </c>
      <c r="BC24" s="62">
        <f t="shared" si="15"/>
        <v>9.5</v>
      </c>
      <c r="BD24" s="62">
        <f t="shared" si="16"/>
        <v>2.85</v>
      </c>
      <c r="BE24" s="64">
        <f t="shared" si="17"/>
        <v>9.5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62"/>
      <c r="BW24" s="62"/>
      <c r="BX24" s="62"/>
      <c r="BY24" s="62"/>
      <c r="BZ24" s="62"/>
      <c r="CA24" s="62"/>
      <c r="CB24" s="122"/>
      <c r="CC24" s="122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9.38</v>
      </c>
      <c r="CQ24" s="129">
        <f t="shared" si="25"/>
        <v>9.5</v>
      </c>
      <c r="CR24" s="129">
        <f t="shared" si="26"/>
        <v>0</v>
      </c>
      <c r="CS24" s="130">
        <f t="shared" si="27"/>
        <v>6.29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244">
        <f t="shared" si="30"/>
        <v>6.29</v>
      </c>
      <c r="DB24" s="136"/>
      <c r="DC24" s="137">
        <f t="shared" si="31"/>
        <v>6.29</v>
      </c>
      <c r="DD24" s="138" t="str">
        <f t="shared" si="32"/>
        <v>NO PROMOVIDO</v>
      </c>
    </row>
    <row r="25" ht="15.0" customHeight="1">
      <c r="A25" s="246">
        <v>14.0</v>
      </c>
      <c r="B25" s="57" t="str">
        <f>LEN!B25</f>
        <v/>
      </c>
      <c r="C25" s="57" t="str">
        <f>LEN!C25</f>
        <v>Gonzalez Gonzalez Jean Carlos</v>
      </c>
      <c r="D25" s="250">
        <v>9.0</v>
      </c>
      <c r="E25" s="250">
        <v>9.0</v>
      </c>
      <c r="F25" s="119">
        <v>10.0</v>
      </c>
      <c r="G25" s="251"/>
      <c r="H25" s="251"/>
      <c r="I25" s="251"/>
      <c r="J25" s="251"/>
      <c r="K25" s="251"/>
      <c r="L25" s="62"/>
      <c r="M25" s="62"/>
      <c r="N25" s="62"/>
      <c r="O25" s="62"/>
      <c r="P25" s="62"/>
      <c r="Q25" s="62"/>
      <c r="R25" s="62"/>
      <c r="S25" s="62"/>
      <c r="T25" s="122"/>
      <c r="U25" s="122"/>
      <c r="V25" s="62">
        <f t="shared" si="9"/>
        <v>6.531</v>
      </c>
      <c r="W25" s="121">
        <v>10.0</v>
      </c>
      <c r="X25" s="123">
        <f>'PROY. INTER'!W25</f>
        <v>6</v>
      </c>
      <c r="Y25" s="62">
        <f t="shared" si="10"/>
        <v>8</v>
      </c>
      <c r="Z25" s="62">
        <f t="shared" si="11"/>
        <v>2.4</v>
      </c>
      <c r="AA25" s="64">
        <f t="shared" si="12"/>
        <v>8.93</v>
      </c>
      <c r="AB25" s="249"/>
      <c r="AC25" s="2"/>
      <c r="AD25" s="249"/>
      <c r="AE25" s="56">
        <v>14.0</v>
      </c>
      <c r="AF25" s="124" t="str">
        <f t="shared" ref="AF25:AG25" si="77">B25</f>
        <v/>
      </c>
      <c r="AG25" s="243" t="str">
        <f t="shared" si="77"/>
        <v>Gonzalez Gonzalez Jean Carlos</v>
      </c>
      <c r="AH25" s="119">
        <v>9.0</v>
      </c>
      <c r="AI25" s="119">
        <v>10.0</v>
      </c>
      <c r="AJ25" s="251"/>
      <c r="AK25" s="251"/>
      <c r="AL25" s="251"/>
      <c r="AM25" s="251"/>
      <c r="AN25" s="251"/>
      <c r="AO25" s="251"/>
      <c r="AP25" s="62"/>
      <c r="AQ25" s="62"/>
      <c r="AR25" s="62"/>
      <c r="AS25" s="62"/>
      <c r="AT25" s="62"/>
      <c r="AU25" s="62"/>
      <c r="AV25" s="62"/>
      <c r="AW25" s="62"/>
      <c r="AX25" s="122"/>
      <c r="AY25" s="122"/>
      <c r="AZ25" s="62">
        <f t="shared" si="14"/>
        <v>6.65</v>
      </c>
      <c r="BA25" s="121">
        <v>9.0</v>
      </c>
      <c r="BB25" s="123">
        <f>'PROY. INTER'!AX25</f>
        <v>10</v>
      </c>
      <c r="BC25" s="62">
        <f t="shared" si="15"/>
        <v>9.5</v>
      </c>
      <c r="BD25" s="62">
        <f t="shared" si="16"/>
        <v>2.85</v>
      </c>
      <c r="BE25" s="64">
        <f t="shared" si="17"/>
        <v>9.5</v>
      </c>
      <c r="BF25" s="249"/>
      <c r="BG25" s="2"/>
      <c r="BH25" s="249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251"/>
      <c r="BM25" s="251"/>
      <c r="BN25" s="251"/>
      <c r="BO25" s="251"/>
      <c r="BP25" s="251"/>
      <c r="BQ25" s="251"/>
      <c r="BR25" s="251"/>
      <c r="BS25" s="251"/>
      <c r="BT25" s="62"/>
      <c r="BU25" s="62"/>
      <c r="BV25" s="62"/>
      <c r="BW25" s="62"/>
      <c r="BX25" s="62"/>
      <c r="BY25" s="62"/>
      <c r="BZ25" s="62"/>
      <c r="CA25" s="62"/>
      <c r="CB25" s="122"/>
      <c r="CC25" s="122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J25" s="249"/>
      <c r="CK25" s="2"/>
      <c r="CL25" s="249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8.93</v>
      </c>
      <c r="CQ25" s="129">
        <f t="shared" si="25"/>
        <v>9.5</v>
      </c>
      <c r="CR25" s="129">
        <f t="shared" si="26"/>
        <v>0</v>
      </c>
      <c r="CS25" s="130">
        <f t="shared" si="27"/>
        <v>6.14</v>
      </c>
      <c r="CT25" s="131" t="str">
        <f t="shared" si="28"/>
        <v>SUPLETORIO</v>
      </c>
      <c r="CU25" s="249"/>
      <c r="CV25" s="2"/>
      <c r="CW25" s="249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244">
        <f t="shared" si="30"/>
        <v>6.14</v>
      </c>
      <c r="DB25" s="136"/>
      <c r="DC25" s="137">
        <f t="shared" si="31"/>
        <v>6.14</v>
      </c>
      <c r="DD25" s="138" t="str">
        <f t="shared" si="32"/>
        <v>NO PROMOVIDO</v>
      </c>
      <c r="DE25" s="249"/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9.0</v>
      </c>
      <c r="E26" s="139">
        <v>9.0</v>
      </c>
      <c r="F26" s="119">
        <v>10.0</v>
      </c>
      <c r="G26" s="140"/>
      <c r="H26" s="140"/>
      <c r="I26" s="140"/>
      <c r="J26" s="140"/>
      <c r="K26" s="140"/>
      <c r="L26" s="62"/>
      <c r="M26" s="62"/>
      <c r="N26" s="62"/>
      <c r="O26" s="62"/>
      <c r="P26" s="62"/>
      <c r="Q26" s="62"/>
      <c r="R26" s="62"/>
      <c r="S26" s="62"/>
      <c r="T26" s="122"/>
      <c r="U26" s="122"/>
      <c r="V26" s="62">
        <f t="shared" si="9"/>
        <v>6.531</v>
      </c>
      <c r="W26" s="121">
        <v>10.0</v>
      </c>
      <c r="X26" s="123">
        <f>'PROY. INTER'!W26</f>
        <v>7.73</v>
      </c>
      <c r="Y26" s="62">
        <f t="shared" si="10"/>
        <v>8.865</v>
      </c>
      <c r="Z26" s="62">
        <f t="shared" si="11"/>
        <v>2.6595</v>
      </c>
      <c r="AA26" s="64">
        <f t="shared" si="12"/>
        <v>9.19</v>
      </c>
      <c r="AC26" s="2"/>
      <c r="AE26" s="56">
        <v>15.0</v>
      </c>
      <c r="AF26" s="124" t="str">
        <f t="shared" ref="AF26:AG26" si="81">B26</f>
        <v/>
      </c>
      <c r="AG26" s="243" t="str">
        <f t="shared" si="81"/>
        <v>Guevara Benites Jean Pierre</v>
      </c>
      <c r="AH26" s="119">
        <v>9.0</v>
      </c>
      <c r="AI26" s="119">
        <v>10.0</v>
      </c>
      <c r="AJ26" s="140"/>
      <c r="AK26" s="140"/>
      <c r="AL26" s="140"/>
      <c r="AM26" s="140"/>
      <c r="AN26" s="140"/>
      <c r="AO26" s="140"/>
      <c r="AP26" s="62"/>
      <c r="AQ26" s="62"/>
      <c r="AR26" s="62"/>
      <c r="AS26" s="62"/>
      <c r="AT26" s="62"/>
      <c r="AU26" s="62"/>
      <c r="AV26" s="62"/>
      <c r="AW26" s="62"/>
      <c r="AX26" s="122"/>
      <c r="AY26" s="122"/>
      <c r="AZ26" s="62">
        <f t="shared" si="14"/>
        <v>6.65</v>
      </c>
      <c r="BA26" s="121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9.5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62"/>
      <c r="BW26" s="62"/>
      <c r="BX26" s="62"/>
      <c r="BY26" s="62"/>
      <c r="BZ26" s="62"/>
      <c r="CA26" s="62"/>
      <c r="CB26" s="122"/>
      <c r="CC26" s="122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9.19</v>
      </c>
      <c r="CQ26" s="129">
        <f t="shared" si="25"/>
        <v>9.5</v>
      </c>
      <c r="CR26" s="129">
        <f t="shared" si="26"/>
        <v>0</v>
      </c>
      <c r="CS26" s="130">
        <f t="shared" si="27"/>
        <v>6.23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244">
        <f t="shared" si="30"/>
        <v>6.23</v>
      </c>
      <c r="DB26" s="136"/>
      <c r="DC26" s="137">
        <f t="shared" si="31"/>
        <v>6.23</v>
      </c>
      <c r="DD26" s="138" t="str">
        <f t="shared" si="32"/>
        <v>NO PROMOVIDO</v>
      </c>
    </row>
    <row r="27" ht="15.75" customHeight="1">
      <c r="A27" s="246">
        <v>16.0</v>
      </c>
      <c r="B27" s="57" t="str">
        <f>LEN!B27</f>
        <v/>
      </c>
      <c r="C27" s="57" t="str">
        <f>LEN!C27</f>
        <v>Mero Carcamo Adriana Carolina</v>
      </c>
      <c r="D27" s="139">
        <v>9.0</v>
      </c>
      <c r="E27" s="139">
        <v>9.0</v>
      </c>
      <c r="F27" s="119">
        <v>10.0</v>
      </c>
      <c r="G27" s="140"/>
      <c r="H27" s="140"/>
      <c r="I27" s="140"/>
      <c r="J27" s="140"/>
      <c r="K27" s="140"/>
      <c r="L27" s="62"/>
      <c r="M27" s="62"/>
      <c r="N27" s="62"/>
      <c r="O27" s="62"/>
      <c r="P27" s="62"/>
      <c r="Q27" s="62"/>
      <c r="R27" s="62"/>
      <c r="S27" s="62"/>
      <c r="T27" s="122"/>
      <c r="U27" s="122"/>
      <c r="V27" s="62">
        <f t="shared" si="9"/>
        <v>6.531</v>
      </c>
      <c r="W27" s="121">
        <v>10.0</v>
      </c>
      <c r="X27" s="123">
        <f>'PROY. INTER'!W27</f>
        <v>6</v>
      </c>
      <c r="Y27" s="62">
        <f t="shared" si="10"/>
        <v>8</v>
      </c>
      <c r="Z27" s="62">
        <f t="shared" si="11"/>
        <v>2.4</v>
      </c>
      <c r="AA27" s="64">
        <f t="shared" si="12"/>
        <v>8.93</v>
      </c>
      <c r="AC27" s="2"/>
      <c r="AE27" s="56">
        <v>16.0</v>
      </c>
      <c r="AF27" s="124" t="str">
        <f t="shared" ref="AF27:AG27" si="85">B27</f>
        <v/>
      </c>
      <c r="AG27" s="243" t="str">
        <f t="shared" si="85"/>
        <v>Mero Carcamo Adriana Carolina</v>
      </c>
      <c r="AH27" s="119">
        <v>9.0</v>
      </c>
      <c r="AI27" s="119">
        <v>10.0</v>
      </c>
      <c r="AJ27" s="140"/>
      <c r="AK27" s="140"/>
      <c r="AL27" s="140"/>
      <c r="AM27" s="140"/>
      <c r="AN27" s="140"/>
      <c r="AO27" s="140"/>
      <c r="AP27" s="62"/>
      <c r="AQ27" s="62"/>
      <c r="AR27" s="62"/>
      <c r="AS27" s="62"/>
      <c r="AT27" s="62"/>
      <c r="AU27" s="62"/>
      <c r="AV27" s="62"/>
      <c r="AW27" s="62"/>
      <c r="AX27" s="122"/>
      <c r="AY27" s="122"/>
      <c r="AZ27" s="62">
        <f t="shared" si="14"/>
        <v>6.65</v>
      </c>
      <c r="BA27" s="121">
        <v>9.0</v>
      </c>
      <c r="BB27" s="123">
        <f>'PROY. INTER'!AX27</f>
        <v>2</v>
      </c>
      <c r="BC27" s="62">
        <f t="shared" si="15"/>
        <v>5.5</v>
      </c>
      <c r="BD27" s="62">
        <f t="shared" si="16"/>
        <v>1.65</v>
      </c>
      <c r="BE27" s="64">
        <f t="shared" si="17"/>
        <v>8.3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62"/>
      <c r="BW27" s="62"/>
      <c r="BX27" s="62"/>
      <c r="BY27" s="62"/>
      <c r="BZ27" s="62"/>
      <c r="CA27" s="62"/>
      <c r="CB27" s="122"/>
      <c r="CC27" s="122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8.93</v>
      </c>
      <c r="CQ27" s="129">
        <f t="shared" si="25"/>
        <v>8.3</v>
      </c>
      <c r="CR27" s="129">
        <f t="shared" si="26"/>
        <v>0</v>
      </c>
      <c r="CS27" s="130">
        <f t="shared" si="27"/>
        <v>5.74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244">
        <f t="shared" si="30"/>
        <v>5.74</v>
      </c>
      <c r="DB27" s="136"/>
      <c r="DC27" s="137">
        <f t="shared" si="31"/>
        <v>5.74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9.0</v>
      </c>
      <c r="E28" s="139">
        <v>9.0</v>
      </c>
      <c r="F28" s="119">
        <v>10.0</v>
      </c>
      <c r="G28" s="140"/>
      <c r="H28" s="140"/>
      <c r="I28" s="140"/>
      <c r="J28" s="140"/>
      <c r="K28" s="140"/>
      <c r="L28" s="62"/>
      <c r="M28" s="62"/>
      <c r="N28" s="62"/>
      <c r="O28" s="62"/>
      <c r="P28" s="62"/>
      <c r="Q28" s="62"/>
      <c r="R28" s="62"/>
      <c r="S28" s="62"/>
      <c r="T28" s="122"/>
      <c r="U28" s="122"/>
      <c r="V28" s="62">
        <f t="shared" si="9"/>
        <v>6.531</v>
      </c>
      <c r="W28" s="121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9.49</v>
      </c>
      <c r="AC28" s="2"/>
      <c r="AE28" s="56">
        <v>17.0</v>
      </c>
      <c r="AF28" s="124" t="str">
        <f t="shared" ref="AF28:AG28" si="89">B28</f>
        <v/>
      </c>
      <c r="AG28" s="243" t="str">
        <f t="shared" si="89"/>
        <v>Moreira Villamar Darwin Matias</v>
      </c>
      <c r="AH28" s="119">
        <v>9.0</v>
      </c>
      <c r="AI28" s="119">
        <v>10.0</v>
      </c>
      <c r="AJ28" s="140"/>
      <c r="AK28" s="140"/>
      <c r="AL28" s="140"/>
      <c r="AM28" s="140"/>
      <c r="AN28" s="140"/>
      <c r="AO28" s="140"/>
      <c r="AP28" s="62"/>
      <c r="AQ28" s="62"/>
      <c r="AR28" s="62"/>
      <c r="AS28" s="62"/>
      <c r="AT28" s="62"/>
      <c r="AU28" s="62"/>
      <c r="AV28" s="62"/>
      <c r="AW28" s="62"/>
      <c r="AX28" s="122"/>
      <c r="AY28" s="122"/>
      <c r="AZ28" s="62">
        <f t="shared" si="14"/>
        <v>6.65</v>
      </c>
      <c r="BA28" s="121">
        <v>9.0</v>
      </c>
      <c r="BB28" s="123">
        <f>'PROY. INTER'!AX28</f>
        <v>10</v>
      </c>
      <c r="BC28" s="62">
        <f t="shared" si="15"/>
        <v>9.5</v>
      </c>
      <c r="BD28" s="62">
        <f t="shared" si="16"/>
        <v>2.85</v>
      </c>
      <c r="BE28" s="64">
        <f t="shared" si="17"/>
        <v>9.5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62"/>
      <c r="BW28" s="62"/>
      <c r="BX28" s="62"/>
      <c r="BY28" s="62"/>
      <c r="BZ28" s="62"/>
      <c r="CA28" s="62"/>
      <c r="CB28" s="122"/>
      <c r="CC28" s="122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9.49</v>
      </c>
      <c r="CQ28" s="129">
        <f t="shared" si="25"/>
        <v>9.5</v>
      </c>
      <c r="CR28" s="129">
        <f t="shared" si="26"/>
        <v>0</v>
      </c>
      <c r="CS28" s="130">
        <f t="shared" si="27"/>
        <v>6.33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244">
        <f t="shared" si="30"/>
        <v>6.33</v>
      </c>
      <c r="DB28" s="136"/>
      <c r="DC28" s="137">
        <f t="shared" si="31"/>
        <v>6.33</v>
      </c>
      <c r="DD28" s="138" t="str">
        <f t="shared" si="32"/>
        <v>NO PROMOVIDO</v>
      </c>
    </row>
    <row r="29" ht="15.75" customHeight="1">
      <c r="A29" s="246">
        <v>18.0</v>
      </c>
      <c r="B29" s="57" t="str">
        <f>LEN!B29</f>
        <v/>
      </c>
      <c r="C29" s="57" t="str">
        <f>LEN!C29</f>
        <v>Peña Macias Enrique Alexander</v>
      </c>
      <c r="D29" s="139">
        <v>8.0</v>
      </c>
      <c r="E29" s="139">
        <v>8.0</v>
      </c>
      <c r="F29" s="119">
        <v>10.0</v>
      </c>
      <c r="G29" s="140"/>
      <c r="H29" s="140"/>
      <c r="I29" s="140"/>
      <c r="J29" s="140"/>
      <c r="K29" s="140"/>
      <c r="L29" s="62"/>
      <c r="M29" s="62"/>
      <c r="N29" s="62"/>
      <c r="O29" s="62"/>
      <c r="P29" s="62"/>
      <c r="Q29" s="62"/>
      <c r="R29" s="62"/>
      <c r="S29" s="62"/>
      <c r="T29" s="122"/>
      <c r="U29" s="122"/>
      <c r="V29" s="62">
        <f t="shared" si="9"/>
        <v>6.062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8.94</v>
      </c>
      <c r="AC29" s="2"/>
      <c r="AE29" s="56">
        <v>18.0</v>
      </c>
      <c r="AF29" s="124" t="str">
        <f t="shared" ref="AF29:AG29" si="93">B29</f>
        <v/>
      </c>
      <c r="AG29" s="243" t="str">
        <f t="shared" si="93"/>
        <v>Peña Macias Enrique Alexander</v>
      </c>
      <c r="AH29" s="119">
        <v>9.0</v>
      </c>
      <c r="AI29" s="119">
        <v>10.0</v>
      </c>
      <c r="AJ29" s="140"/>
      <c r="AK29" s="140"/>
      <c r="AL29" s="140"/>
      <c r="AM29" s="140"/>
      <c r="AN29" s="140"/>
      <c r="AO29" s="140"/>
      <c r="AP29" s="62"/>
      <c r="AQ29" s="62"/>
      <c r="AR29" s="62"/>
      <c r="AS29" s="62"/>
      <c r="AT29" s="62"/>
      <c r="AU29" s="62"/>
      <c r="AV29" s="62"/>
      <c r="AW29" s="62"/>
      <c r="AX29" s="122"/>
      <c r="AY29" s="122"/>
      <c r="AZ29" s="62">
        <f t="shared" si="14"/>
        <v>6.65</v>
      </c>
      <c r="BA29" s="121">
        <v>9.0</v>
      </c>
      <c r="BB29" s="123">
        <f>'PROY. INTER'!AX29</f>
        <v>10</v>
      </c>
      <c r="BC29" s="62">
        <f t="shared" si="15"/>
        <v>9.5</v>
      </c>
      <c r="BD29" s="62">
        <f t="shared" si="16"/>
        <v>2.85</v>
      </c>
      <c r="BE29" s="64">
        <f t="shared" si="17"/>
        <v>9.5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62"/>
      <c r="BW29" s="62"/>
      <c r="BX29" s="62"/>
      <c r="BY29" s="62"/>
      <c r="BZ29" s="62"/>
      <c r="CA29" s="62"/>
      <c r="CB29" s="122"/>
      <c r="CC29" s="122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8.94</v>
      </c>
      <c r="CQ29" s="129">
        <f t="shared" si="25"/>
        <v>9.5</v>
      </c>
      <c r="CR29" s="129">
        <f t="shared" si="26"/>
        <v>0</v>
      </c>
      <c r="CS29" s="130">
        <f t="shared" si="27"/>
        <v>6.14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244">
        <f t="shared" si="30"/>
        <v>6.14</v>
      </c>
      <c r="DB29" s="136"/>
      <c r="DC29" s="137">
        <f t="shared" si="31"/>
        <v>6.14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8.0</v>
      </c>
      <c r="E30" s="139">
        <v>8.0</v>
      </c>
      <c r="F30" s="119">
        <v>10.0</v>
      </c>
      <c r="G30" s="140"/>
      <c r="H30" s="140"/>
      <c r="I30" s="140"/>
      <c r="J30" s="140"/>
      <c r="K30" s="140"/>
      <c r="L30" s="62"/>
      <c r="M30" s="62"/>
      <c r="N30" s="62"/>
      <c r="O30" s="62"/>
      <c r="P30" s="62"/>
      <c r="Q30" s="62"/>
      <c r="R30" s="62"/>
      <c r="S30" s="62"/>
      <c r="T30" s="122"/>
      <c r="U30" s="122"/>
      <c r="V30" s="62">
        <f t="shared" si="9"/>
        <v>6.062</v>
      </c>
      <c r="W30" s="121">
        <v>10.0</v>
      </c>
      <c r="X30" s="123">
        <f>'PROY. INTER'!W30</f>
        <v>9.47</v>
      </c>
      <c r="Y30" s="62">
        <f t="shared" si="10"/>
        <v>9.735</v>
      </c>
      <c r="Z30" s="62">
        <f t="shared" si="11"/>
        <v>2.9205</v>
      </c>
      <c r="AA30" s="64">
        <f t="shared" si="12"/>
        <v>8.98</v>
      </c>
      <c r="AC30" s="2"/>
      <c r="AE30" s="56">
        <v>19.0</v>
      </c>
      <c r="AF30" s="124" t="str">
        <f t="shared" ref="AF30:AG30" si="97">B30</f>
        <v/>
      </c>
      <c r="AG30" s="243" t="str">
        <f t="shared" si="97"/>
        <v>Roman Arreaga Stefani Asley</v>
      </c>
      <c r="AH30" s="119">
        <v>9.0</v>
      </c>
      <c r="AI30" s="119">
        <v>10.0</v>
      </c>
      <c r="AJ30" s="140"/>
      <c r="AK30" s="140"/>
      <c r="AL30" s="140"/>
      <c r="AM30" s="140"/>
      <c r="AN30" s="140"/>
      <c r="AO30" s="140"/>
      <c r="AP30" s="62"/>
      <c r="AQ30" s="62"/>
      <c r="AR30" s="62"/>
      <c r="AS30" s="62"/>
      <c r="AT30" s="62"/>
      <c r="AU30" s="62"/>
      <c r="AV30" s="62"/>
      <c r="AW30" s="62"/>
      <c r="AX30" s="122"/>
      <c r="AY30" s="122"/>
      <c r="AZ30" s="62">
        <f t="shared" si="14"/>
        <v>6.65</v>
      </c>
      <c r="BA30" s="121">
        <v>9.0</v>
      </c>
      <c r="BB30" s="123">
        <f>'PROY. INTER'!AX30</f>
        <v>10</v>
      </c>
      <c r="BC30" s="62">
        <f t="shared" si="15"/>
        <v>9.5</v>
      </c>
      <c r="BD30" s="62">
        <f t="shared" si="16"/>
        <v>2.85</v>
      </c>
      <c r="BE30" s="64">
        <f t="shared" si="17"/>
        <v>9.5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62"/>
      <c r="BW30" s="62"/>
      <c r="BX30" s="62"/>
      <c r="BY30" s="62"/>
      <c r="BZ30" s="62"/>
      <c r="CA30" s="62"/>
      <c r="CB30" s="122"/>
      <c r="CC30" s="122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8.98</v>
      </c>
      <c r="CQ30" s="129">
        <f t="shared" si="25"/>
        <v>9.5</v>
      </c>
      <c r="CR30" s="129">
        <f t="shared" si="26"/>
        <v>0</v>
      </c>
      <c r="CS30" s="130">
        <f t="shared" si="27"/>
        <v>6.16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244">
        <f t="shared" si="30"/>
        <v>6.16</v>
      </c>
      <c r="DB30" s="136"/>
      <c r="DC30" s="137">
        <f t="shared" si="31"/>
        <v>6.16</v>
      </c>
      <c r="DD30" s="138" t="str">
        <f t="shared" si="32"/>
        <v>NO PROMOVIDO</v>
      </c>
    </row>
    <row r="31" ht="15.75" customHeight="1">
      <c r="A31" s="24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39">
        <v>10.0</v>
      </c>
      <c r="F31" s="119">
        <v>10.0</v>
      </c>
      <c r="G31" s="140"/>
      <c r="H31" s="140"/>
      <c r="I31" s="140"/>
      <c r="J31" s="140"/>
      <c r="K31" s="140"/>
      <c r="L31" s="62"/>
      <c r="M31" s="62"/>
      <c r="N31" s="62"/>
      <c r="O31" s="62"/>
      <c r="P31" s="62"/>
      <c r="Q31" s="62"/>
      <c r="R31" s="62"/>
      <c r="S31" s="62"/>
      <c r="T31" s="122"/>
      <c r="U31" s="122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243" t="str">
        <f t="shared" si="101"/>
        <v>Sánchez Ponce Sandra Stefania</v>
      </c>
      <c r="AH31" s="119">
        <v>9.0</v>
      </c>
      <c r="AI31" s="119">
        <v>10.0</v>
      </c>
      <c r="AJ31" s="140"/>
      <c r="AK31" s="140"/>
      <c r="AL31" s="140"/>
      <c r="AM31" s="140"/>
      <c r="AN31" s="140"/>
      <c r="AO31" s="140"/>
      <c r="AP31" s="62"/>
      <c r="AQ31" s="62"/>
      <c r="AR31" s="62"/>
      <c r="AS31" s="62"/>
      <c r="AT31" s="62"/>
      <c r="AU31" s="62"/>
      <c r="AV31" s="62"/>
      <c r="AW31" s="62"/>
      <c r="AX31" s="122"/>
      <c r="AY31" s="122"/>
      <c r="AZ31" s="62">
        <f t="shared" si="14"/>
        <v>6.65</v>
      </c>
      <c r="BA31" s="121">
        <v>9.0</v>
      </c>
      <c r="BB31" s="123">
        <f>'PROY. INTER'!AX31</f>
        <v>10</v>
      </c>
      <c r="BC31" s="62">
        <f t="shared" si="15"/>
        <v>9.5</v>
      </c>
      <c r="BD31" s="62">
        <f t="shared" si="16"/>
        <v>2.85</v>
      </c>
      <c r="BE31" s="64">
        <f t="shared" si="17"/>
        <v>9.5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62"/>
      <c r="BW31" s="62"/>
      <c r="BX31" s="62"/>
      <c r="BY31" s="62"/>
      <c r="BZ31" s="62"/>
      <c r="CA31" s="62"/>
      <c r="CB31" s="122"/>
      <c r="CC31" s="122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9.5</v>
      </c>
      <c r="CR31" s="129">
        <f t="shared" si="26"/>
        <v>0</v>
      </c>
      <c r="CS31" s="130">
        <f t="shared" si="27"/>
        <v>6.5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244">
        <f t="shared" si="30"/>
        <v>6.5</v>
      </c>
      <c r="DB31" s="136"/>
      <c r="DC31" s="137">
        <f t="shared" si="31"/>
        <v>6.5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9.0</v>
      </c>
      <c r="E32" s="139">
        <v>9.0</v>
      </c>
      <c r="F32" s="119">
        <v>10.0</v>
      </c>
      <c r="G32" s="140"/>
      <c r="H32" s="140"/>
      <c r="I32" s="140"/>
      <c r="J32" s="140"/>
      <c r="K32" s="140"/>
      <c r="L32" s="62"/>
      <c r="M32" s="62"/>
      <c r="N32" s="62"/>
      <c r="O32" s="62"/>
      <c r="P32" s="62"/>
      <c r="Q32" s="62"/>
      <c r="R32" s="62"/>
      <c r="S32" s="62"/>
      <c r="T32" s="122"/>
      <c r="U32" s="122"/>
      <c r="V32" s="62">
        <f t="shared" si="9"/>
        <v>6.531</v>
      </c>
      <c r="W32" s="121">
        <v>10.0</v>
      </c>
      <c r="X32" s="123">
        <f>'PROY. INTER'!W32</f>
        <v>6.47</v>
      </c>
      <c r="Y32" s="62">
        <f t="shared" si="10"/>
        <v>8.235</v>
      </c>
      <c r="Z32" s="62">
        <f t="shared" si="11"/>
        <v>2.4705</v>
      </c>
      <c r="AA32" s="64">
        <f t="shared" si="12"/>
        <v>9</v>
      </c>
      <c r="AC32" s="2"/>
      <c r="AE32" s="56">
        <v>21.0</v>
      </c>
      <c r="AF32" s="124" t="str">
        <f t="shared" ref="AF32:AG32" si="105">B32</f>
        <v/>
      </c>
      <c r="AG32" s="243" t="str">
        <f t="shared" si="105"/>
        <v>Torres Vera Anderson</v>
      </c>
      <c r="AH32" s="119">
        <v>9.0</v>
      </c>
      <c r="AI32" s="119">
        <v>10.0</v>
      </c>
      <c r="AJ32" s="140"/>
      <c r="AK32" s="140"/>
      <c r="AL32" s="140"/>
      <c r="AM32" s="140"/>
      <c r="AN32" s="140"/>
      <c r="AO32" s="140"/>
      <c r="AP32" s="62"/>
      <c r="AQ32" s="62"/>
      <c r="AR32" s="62"/>
      <c r="AS32" s="62"/>
      <c r="AT32" s="62"/>
      <c r="AU32" s="62"/>
      <c r="AV32" s="62"/>
      <c r="AW32" s="62"/>
      <c r="AX32" s="122"/>
      <c r="AY32" s="122"/>
      <c r="AZ32" s="62">
        <f t="shared" si="14"/>
        <v>6.65</v>
      </c>
      <c r="BA32" s="121">
        <v>9.0</v>
      </c>
      <c r="BB32" s="123">
        <f>'PROY. INTER'!AX32</f>
        <v>10</v>
      </c>
      <c r="BC32" s="62">
        <f t="shared" si="15"/>
        <v>9.5</v>
      </c>
      <c r="BD32" s="62">
        <f t="shared" si="16"/>
        <v>2.85</v>
      </c>
      <c r="BE32" s="64">
        <f t="shared" si="17"/>
        <v>9.5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62"/>
      <c r="BW32" s="62"/>
      <c r="BX32" s="62"/>
      <c r="BY32" s="62"/>
      <c r="BZ32" s="62"/>
      <c r="CA32" s="62"/>
      <c r="CB32" s="122"/>
      <c r="CC32" s="122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9</v>
      </c>
      <c r="CQ32" s="129">
        <f t="shared" si="25"/>
        <v>9.5</v>
      </c>
      <c r="CR32" s="129">
        <f t="shared" si="26"/>
        <v>0</v>
      </c>
      <c r="CS32" s="130">
        <f t="shared" si="27"/>
        <v>6.16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244">
        <f t="shared" si="30"/>
        <v>6.16</v>
      </c>
      <c r="DB32" s="136"/>
      <c r="DC32" s="137">
        <f t="shared" si="31"/>
        <v>6.16</v>
      </c>
      <c r="DD32" s="138" t="str">
        <f t="shared" si="32"/>
        <v>NO PROMOVIDO</v>
      </c>
    </row>
    <row r="33" ht="15.75" customHeight="1">
      <c r="A33" s="246">
        <v>22.0</v>
      </c>
      <c r="B33" s="57" t="str">
        <f>LEN!B33</f>
        <v/>
      </c>
      <c r="C33" s="57" t="str">
        <f>LEN!C33</f>
        <v>Valero Pefiafiel Carlos José</v>
      </c>
      <c r="D33" s="139">
        <v>9.0</v>
      </c>
      <c r="E33" s="139">
        <v>9.0</v>
      </c>
      <c r="F33" s="119">
        <v>10.0</v>
      </c>
      <c r="G33" s="140"/>
      <c r="H33" s="140"/>
      <c r="I33" s="140"/>
      <c r="J33" s="140"/>
      <c r="K33" s="140"/>
      <c r="L33" s="62"/>
      <c r="M33" s="62"/>
      <c r="N33" s="62"/>
      <c r="O33" s="62"/>
      <c r="P33" s="62"/>
      <c r="Q33" s="62"/>
      <c r="R33" s="62"/>
      <c r="S33" s="62"/>
      <c r="T33" s="122"/>
      <c r="U33" s="122"/>
      <c r="V33" s="62">
        <f t="shared" si="9"/>
        <v>6.531</v>
      </c>
      <c r="W33" s="121">
        <v>10.0</v>
      </c>
      <c r="X33" s="123">
        <f>'PROY. INTER'!W33</f>
        <v>9.2</v>
      </c>
      <c r="Y33" s="62">
        <f t="shared" si="10"/>
        <v>9.6</v>
      </c>
      <c r="Z33" s="62">
        <f t="shared" si="11"/>
        <v>2.88</v>
      </c>
      <c r="AA33" s="64">
        <f t="shared" si="12"/>
        <v>9.41</v>
      </c>
      <c r="AC33" s="2"/>
      <c r="AE33" s="56">
        <v>22.0</v>
      </c>
      <c r="AF33" s="124" t="str">
        <f t="shared" ref="AF33:AG33" si="109">B33</f>
        <v/>
      </c>
      <c r="AG33" s="243" t="str">
        <f t="shared" si="109"/>
        <v>Valero Pefiafiel Carlos José</v>
      </c>
      <c r="AH33" s="119">
        <v>9.0</v>
      </c>
      <c r="AI33" s="119">
        <v>10.0</v>
      </c>
      <c r="AJ33" s="140"/>
      <c r="AK33" s="140"/>
      <c r="AL33" s="140"/>
      <c r="AM33" s="140"/>
      <c r="AN33" s="140"/>
      <c r="AO33" s="140"/>
      <c r="AP33" s="62"/>
      <c r="AQ33" s="62"/>
      <c r="AR33" s="62"/>
      <c r="AS33" s="62"/>
      <c r="AT33" s="62"/>
      <c r="AU33" s="62"/>
      <c r="AV33" s="62"/>
      <c r="AW33" s="62"/>
      <c r="AX33" s="122"/>
      <c r="AY33" s="122"/>
      <c r="AZ33" s="62">
        <f t="shared" si="14"/>
        <v>6.65</v>
      </c>
      <c r="BA33" s="121">
        <v>9.0</v>
      </c>
      <c r="BB33" s="123">
        <f>'PROY. INTER'!AX33</f>
        <v>10</v>
      </c>
      <c r="BC33" s="62">
        <f t="shared" si="15"/>
        <v>9.5</v>
      </c>
      <c r="BD33" s="62">
        <f t="shared" si="16"/>
        <v>2.85</v>
      </c>
      <c r="BE33" s="64">
        <f t="shared" si="17"/>
        <v>9.5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62"/>
      <c r="BW33" s="62"/>
      <c r="BX33" s="62"/>
      <c r="BY33" s="62"/>
      <c r="BZ33" s="62"/>
      <c r="CA33" s="62"/>
      <c r="CB33" s="122"/>
      <c r="CC33" s="122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9.41</v>
      </c>
      <c r="CQ33" s="129">
        <f t="shared" si="25"/>
        <v>9.5</v>
      </c>
      <c r="CR33" s="129">
        <f t="shared" si="26"/>
        <v>0</v>
      </c>
      <c r="CS33" s="130">
        <f t="shared" si="27"/>
        <v>6.3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244">
        <f t="shared" si="30"/>
        <v>6.3</v>
      </c>
      <c r="DB33" s="136"/>
      <c r="DC33" s="137">
        <f t="shared" si="31"/>
        <v>6.3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8.0</v>
      </c>
      <c r="E34" s="139">
        <v>8.0</v>
      </c>
      <c r="F34" s="119">
        <v>10.0</v>
      </c>
      <c r="G34" s="140"/>
      <c r="H34" s="140"/>
      <c r="I34" s="140"/>
      <c r="J34" s="140"/>
      <c r="K34" s="140"/>
      <c r="L34" s="62"/>
      <c r="M34" s="62"/>
      <c r="N34" s="62"/>
      <c r="O34" s="62"/>
      <c r="P34" s="62"/>
      <c r="Q34" s="62"/>
      <c r="R34" s="62"/>
      <c r="S34" s="62"/>
      <c r="T34" s="122"/>
      <c r="U34" s="122"/>
      <c r="V34" s="62">
        <f t="shared" si="9"/>
        <v>6.062</v>
      </c>
      <c r="W34" s="121">
        <v>10.0</v>
      </c>
      <c r="X34" s="123">
        <f>'PROY. INTER'!W34</f>
        <v>7.33</v>
      </c>
      <c r="Y34" s="62">
        <f t="shared" si="10"/>
        <v>8.665</v>
      </c>
      <c r="Z34" s="62">
        <f t="shared" si="11"/>
        <v>2.5995</v>
      </c>
      <c r="AA34" s="64">
        <f t="shared" si="12"/>
        <v>8.66</v>
      </c>
      <c r="AC34" s="2"/>
      <c r="AE34" s="56">
        <v>23.0</v>
      </c>
      <c r="AF34" s="124" t="str">
        <f t="shared" ref="AF34:AG34" si="113">B34</f>
        <v/>
      </c>
      <c r="AG34" s="243" t="str">
        <f t="shared" si="113"/>
        <v>Veliz chicaiza Alex isaac</v>
      </c>
      <c r="AH34" s="119">
        <v>9.0</v>
      </c>
      <c r="AI34" s="119">
        <v>10.0</v>
      </c>
      <c r="AJ34" s="140"/>
      <c r="AK34" s="140"/>
      <c r="AL34" s="140"/>
      <c r="AM34" s="140"/>
      <c r="AN34" s="140"/>
      <c r="AO34" s="140"/>
      <c r="AP34" s="62"/>
      <c r="AQ34" s="62"/>
      <c r="AR34" s="62"/>
      <c r="AS34" s="62"/>
      <c r="AT34" s="62"/>
      <c r="AU34" s="62"/>
      <c r="AV34" s="62"/>
      <c r="AW34" s="62"/>
      <c r="AX34" s="122"/>
      <c r="AY34" s="122"/>
      <c r="AZ34" s="62">
        <f t="shared" si="14"/>
        <v>6.65</v>
      </c>
      <c r="BA34" s="121">
        <v>9.0</v>
      </c>
      <c r="BB34" s="123">
        <f>'PROY. INTER'!AX34</f>
        <v>10</v>
      </c>
      <c r="BC34" s="62">
        <f t="shared" si="15"/>
        <v>9.5</v>
      </c>
      <c r="BD34" s="62">
        <f t="shared" si="16"/>
        <v>2.85</v>
      </c>
      <c r="BE34" s="64">
        <f t="shared" si="17"/>
        <v>9.5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62"/>
      <c r="BW34" s="62"/>
      <c r="BX34" s="62"/>
      <c r="BY34" s="62"/>
      <c r="BZ34" s="62"/>
      <c r="CA34" s="62"/>
      <c r="CB34" s="122"/>
      <c r="CC34" s="122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8.66</v>
      </c>
      <c r="CQ34" s="129">
        <f t="shared" si="25"/>
        <v>9.5</v>
      </c>
      <c r="CR34" s="129">
        <f t="shared" si="26"/>
        <v>0</v>
      </c>
      <c r="CS34" s="130">
        <f t="shared" si="27"/>
        <v>6.05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244">
        <f t="shared" si="30"/>
        <v>6.05</v>
      </c>
      <c r="DB34" s="136"/>
      <c r="DC34" s="137">
        <f t="shared" si="31"/>
        <v>6.05</v>
      </c>
      <c r="DD34" s="138" t="str">
        <f t="shared" si="32"/>
        <v>NO PROMOVIDO</v>
      </c>
    </row>
    <row r="35" ht="15.75" customHeight="1">
      <c r="A35" s="246">
        <v>24.0</v>
      </c>
      <c r="B35" s="57" t="str">
        <f>LEN!B35</f>
        <v/>
      </c>
      <c r="C35" s="57" t="str">
        <f>LEN!C35</f>
        <v>Zambrano Zhicay Victor Humberto</v>
      </c>
      <c r="D35" s="139">
        <v>8.0</v>
      </c>
      <c r="E35" s="139">
        <v>8.0</v>
      </c>
      <c r="F35" s="119">
        <v>10.0</v>
      </c>
      <c r="G35" s="140"/>
      <c r="H35" s="140"/>
      <c r="I35" s="140"/>
      <c r="J35" s="140"/>
      <c r="K35" s="140"/>
      <c r="L35" s="62"/>
      <c r="M35" s="62"/>
      <c r="N35" s="62"/>
      <c r="O35" s="62"/>
      <c r="P35" s="62"/>
      <c r="Q35" s="62"/>
      <c r="R35" s="62"/>
      <c r="S35" s="62"/>
      <c r="T35" s="122"/>
      <c r="U35" s="122"/>
      <c r="V35" s="62">
        <f t="shared" si="9"/>
        <v>6.062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9.02</v>
      </c>
      <c r="AC35" s="2"/>
      <c r="AE35" s="56">
        <v>24.0</v>
      </c>
      <c r="AF35" s="124" t="str">
        <f t="shared" ref="AF35:AG35" si="117">B35</f>
        <v/>
      </c>
      <c r="AG35" s="243" t="str">
        <f t="shared" si="117"/>
        <v>Zambrano Zhicay Victor Humberto</v>
      </c>
      <c r="AH35" s="119">
        <v>10.0</v>
      </c>
      <c r="AI35" s="119">
        <v>10.0</v>
      </c>
      <c r="AJ35" s="140"/>
      <c r="AK35" s="140"/>
      <c r="AL35" s="140"/>
      <c r="AM35" s="140"/>
      <c r="AN35" s="140"/>
      <c r="AO35" s="140"/>
      <c r="AP35" s="62"/>
      <c r="AQ35" s="62"/>
      <c r="AR35" s="62"/>
      <c r="AS35" s="62"/>
      <c r="AT35" s="62"/>
      <c r="AU35" s="62"/>
      <c r="AV35" s="62"/>
      <c r="AW35" s="62"/>
      <c r="AX35" s="122"/>
      <c r="AY35" s="122"/>
      <c r="AZ35" s="62">
        <f t="shared" si="14"/>
        <v>7</v>
      </c>
      <c r="BA35" s="121">
        <v>9.0</v>
      </c>
      <c r="BB35" s="123">
        <f>'PROY. INTER'!AX35</f>
        <v>10</v>
      </c>
      <c r="BC35" s="62">
        <f t="shared" si="15"/>
        <v>9.5</v>
      </c>
      <c r="BD35" s="62">
        <f t="shared" si="16"/>
        <v>2.85</v>
      </c>
      <c r="BE35" s="64">
        <f t="shared" si="17"/>
        <v>9.85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62"/>
      <c r="BW35" s="62"/>
      <c r="BX35" s="62"/>
      <c r="BY35" s="62"/>
      <c r="BZ35" s="62"/>
      <c r="CA35" s="62"/>
      <c r="CB35" s="122"/>
      <c r="CC35" s="122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9.02</v>
      </c>
      <c r="CQ35" s="129">
        <f t="shared" si="25"/>
        <v>9.85</v>
      </c>
      <c r="CR35" s="129">
        <f t="shared" si="26"/>
        <v>0</v>
      </c>
      <c r="CS35" s="130">
        <f t="shared" si="27"/>
        <v>6.29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244">
        <f t="shared" si="30"/>
        <v>6.29</v>
      </c>
      <c r="DB35" s="136"/>
      <c r="DC35" s="137">
        <f t="shared" si="31"/>
        <v>6.29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19"/>
      <c r="G36" s="140"/>
      <c r="H36" s="140"/>
      <c r="I36" s="140"/>
      <c r="J36" s="140"/>
      <c r="K36" s="140"/>
      <c r="L36" s="62"/>
      <c r="M36" s="62"/>
      <c r="N36" s="62"/>
      <c r="O36" s="62"/>
      <c r="P36" s="62"/>
      <c r="Q36" s="62"/>
      <c r="R36" s="62"/>
      <c r="S36" s="62"/>
      <c r="T36" s="122"/>
      <c r="U36" s="122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243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62"/>
      <c r="AT36" s="62"/>
      <c r="AU36" s="62"/>
      <c r="AV36" s="62"/>
      <c r="AW36" s="62"/>
      <c r="AX36" s="122"/>
      <c r="AY36" s="122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62"/>
      <c r="BW36" s="62"/>
      <c r="BX36" s="62"/>
      <c r="BY36" s="62"/>
      <c r="BZ36" s="62"/>
      <c r="CA36" s="62"/>
      <c r="CB36" s="122"/>
      <c r="CC36" s="122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244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24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62"/>
      <c r="O37" s="62"/>
      <c r="P37" s="62"/>
      <c r="Q37" s="62"/>
      <c r="R37" s="62"/>
      <c r="S37" s="62"/>
      <c r="T37" s="122"/>
      <c r="U37" s="122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243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62"/>
      <c r="AT37" s="62"/>
      <c r="AU37" s="62"/>
      <c r="AV37" s="62"/>
      <c r="AW37" s="62"/>
      <c r="AX37" s="122"/>
      <c r="AY37" s="122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62"/>
      <c r="BW37" s="62"/>
      <c r="BX37" s="62"/>
      <c r="BY37" s="62"/>
      <c r="BZ37" s="62"/>
      <c r="CA37" s="62"/>
      <c r="CB37" s="122"/>
      <c r="CC37" s="122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244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62"/>
      <c r="O38" s="62"/>
      <c r="P38" s="62"/>
      <c r="Q38" s="62"/>
      <c r="R38" s="62"/>
      <c r="S38" s="62"/>
      <c r="T38" s="122"/>
      <c r="U38" s="122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243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62"/>
      <c r="AT38" s="62"/>
      <c r="AU38" s="62"/>
      <c r="AV38" s="62"/>
      <c r="AW38" s="62"/>
      <c r="AX38" s="122"/>
      <c r="AY38" s="122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62"/>
      <c r="BW38" s="62"/>
      <c r="BX38" s="62"/>
      <c r="BY38" s="62"/>
      <c r="BZ38" s="62"/>
      <c r="CA38" s="62"/>
      <c r="CB38" s="122"/>
      <c r="CC38" s="122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244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24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62"/>
      <c r="O39" s="62"/>
      <c r="P39" s="62"/>
      <c r="Q39" s="62"/>
      <c r="R39" s="62"/>
      <c r="S39" s="62"/>
      <c r="T39" s="122"/>
      <c r="U39" s="122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243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62"/>
      <c r="AT39" s="62"/>
      <c r="AU39" s="62"/>
      <c r="AV39" s="62"/>
      <c r="AW39" s="62"/>
      <c r="AX39" s="122"/>
      <c r="AY39" s="122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62"/>
      <c r="BW39" s="62"/>
      <c r="BX39" s="62"/>
      <c r="BY39" s="62"/>
      <c r="BZ39" s="62"/>
      <c r="CA39" s="62"/>
      <c r="CB39" s="122"/>
      <c r="CC39" s="122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244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62"/>
      <c r="O40" s="62"/>
      <c r="P40" s="62"/>
      <c r="Q40" s="62"/>
      <c r="R40" s="62"/>
      <c r="S40" s="62"/>
      <c r="T40" s="122"/>
      <c r="U40" s="122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243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62"/>
      <c r="AT40" s="62"/>
      <c r="AU40" s="62"/>
      <c r="AV40" s="62"/>
      <c r="AW40" s="62"/>
      <c r="AX40" s="122"/>
      <c r="AY40" s="122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62"/>
      <c r="BW40" s="62"/>
      <c r="BX40" s="62"/>
      <c r="BY40" s="62"/>
      <c r="BZ40" s="62"/>
      <c r="CA40" s="62"/>
      <c r="CB40" s="122"/>
      <c r="CC40" s="122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244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24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62"/>
      <c r="O41" s="62"/>
      <c r="P41" s="62"/>
      <c r="Q41" s="62"/>
      <c r="R41" s="62"/>
      <c r="S41" s="62"/>
      <c r="T41" s="122"/>
      <c r="U41" s="122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243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62"/>
      <c r="AS41" s="62"/>
      <c r="AT41" s="62"/>
      <c r="AU41" s="62"/>
      <c r="AV41" s="62"/>
      <c r="AW41" s="62"/>
      <c r="AX41" s="122"/>
      <c r="AY41" s="122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62"/>
      <c r="BW41" s="62"/>
      <c r="BX41" s="62"/>
      <c r="BY41" s="62"/>
      <c r="BZ41" s="62"/>
      <c r="CA41" s="62"/>
      <c r="CB41" s="122"/>
      <c r="CC41" s="122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244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62"/>
      <c r="O42" s="62"/>
      <c r="P42" s="62"/>
      <c r="Q42" s="62"/>
      <c r="R42" s="62"/>
      <c r="S42" s="62"/>
      <c r="T42" s="122"/>
      <c r="U42" s="122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243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62"/>
      <c r="AS42" s="62"/>
      <c r="AT42" s="62"/>
      <c r="AU42" s="62"/>
      <c r="AV42" s="62"/>
      <c r="AW42" s="62"/>
      <c r="AX42" s="122"/>
      <c r="AY42" s="122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62"/>
      <c r="BW42" s="62"/>
      <c r="BX42" s="62"/>
      <c r="BY42" s="62"/>
      <c r="BZ42" s="62"/>
      <c r="CA42" s="62"/>
      <c r="CB42" s="122"/>
      <c r="CC42" s="122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244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24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62"/>
      <c r="O43" s="62"/>
      <c r="P43" s="62"/>
      <c r="Q43" s="62"/>
      <c r="R43" s="62"/>
      <c r="S43" s="62"/>
      <c r="T43" s="122"/>
      <c r="U43" s="122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243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62"/>
      <c r="AS43" s="62"/>
      <c r="AT43" s="62"/>
      <c r="AU43" s="62"/>
      <c r="AV43" s="62"/>
      <c r="AW43" s="62"/>
      <c r="AX43" s="122"/>
      <c r="AY43" s="122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62"/>
      <c r="BW43" s="62"/>
      <c r="BX43" s="62"/>
      <c r="BY43" s="62"/>
      <c r="BZ43" s="62"/>
      <c r="CA43" s="62"/>
      <c r="CB43" s="122"/>
      <c r="CC43" s="122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244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62"/>
      <c r="O44" s="62"/>
      <c r="P44" s="62"/>
      <c r="Q44" s="62"/>
      <c r="R44" s="62"/>
      <c r="S44" s="62"/>
      <c r="T44" s="122"/>
      <c r="U44" s="122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243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62"/>
      <c r="AS44" s="62"/>
      <c r="AT44" s="62"/>
      <c r="AU44" s="62"/>
      <c r="AV44" s="62"/>
      <c r="AW44" s="62"/>
      <c r="AX44" s="122"/>
      <c r="AY44" s="122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62"/>
      <c r="BW44" s="62"/>
      <c r="BX44" s="62"/>
      <c r="BY44" s="62"/>
      <c r="BZ44" s="62"/>
      <c r="CA44" s="62"/>
      <c r="CB44" s="122"/>
      <c r="CC44" s="122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244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24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62"/>
      <c r="O45" s="62"/>
      <c r="P45" s="62"/>
      <c r="Q45" s="62"/>
      <c r="R45" s="62"/>
      <c r="S45" s="62"/>
      <c r="T45" s="122"/>
      <c r="U45" s="122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243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62"/>
      <c r="AS45" s="62"/>
      <c r="AT45" s="62"/>
      <c r="AU45" s="62"/>
      <c r="AV45" s="62"/>
      <c r="AW45" s="62"/>
      <c r="AX45" s="122"/>
      <c r="AY45" s="122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62"/>
      <c r="BW45" s="62"/>
      <c r="BX45" s="62"/>
      <c r="BY45" s="62"/>
      <c r="BZ45" s="62"/>
      <c r="CA45" s="62"/>
      <c r="CB45" s="122"/>
      <c r="CC45" s="122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244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62"/>
      <c r="O46" s="62"/>
      <c r="P46" s="62"/>
      <c r="Q46" s="62"/>
      <c r="R46" s="62"/>
      <c r="S46" s="62"/>
      <c r="T46" s="122"/>
      <c r="U46" s="122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243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62"/>
      <c r="AS46" s="62"/>
      <c r="AT46" s="62"/>
      <c r="AU46" s="62"/>
      <c r="AV46" s="62"/>
      <c r="AW46" s="62"/>
      <c r="AX46" s="122"/>
      <c r="AY46" s="122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62"/>
      <c r="BW46" s="62"/>
      <c r="BX46" s="62"/>
      <c r="BY46" s="62"/>
      <c r="BZ46" s="62"/>
      <c r="CA46" s="62"/>
      <c r="CB46" s="122"/>
      <c r="CC46" s="122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244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24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62"/>
      <c r="O47" s="62"/>
      <c r="P47" s="62"/>
      <c r="Q47" s="62"/>
      <c r="R47" s="62"/>
      <c r="S47" s="62"/>
      <c r="T47" s="122"/>
      <c r="U47" s="122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243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62"/>
      <c r="AS47" s="62"/>
      <c r="AT47" s="62"/>
      <c r="AU47" s="62"/>
      <c r="AV47" s="62"/>
      <c r="AW47" s="62"/>
      <c r="AX47" s="122"/>
      <c r="AY47" s="122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62"/>
      <c r="BW47" s="62"/>
      <c r="BX47" s="62"/>
      <c r="BY47" s="62"/>
      <c r="BZ47" s="62"/>
      <c r="CA47" s="62"/>
      <c r="CB47" s="122"/>
      <c r="CC47" s="122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244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62"/>
      <c r="O48" s="62"/>
      <c r="P48" s="62"/>
      <c r="Q48" s="62"/>
      <c r="R48" s="62"/>
      <c r="S48" s="62"/>
      <c r="T48" s="122"/>
      <c r="U48" s="122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243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62"/>
      <c r="AS48" s="62"/>
      <c r="AT48" s="62"/>
      <c r="AU48" s="62"/>
      <c r="AV48" s="62"/>
      <c r="AW48" s="62"/>
      <c r="AX48" s="122"/>
      <c r="AY48" s="122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62"/>
      <c r="BW48" s="62"/>
      <c r="BX48" s="62"/>
      <c r="BY48" s="62"/>
      <c r="BZ48" s="62"/>
      <c r="CA48" s="62"/>
      <c r="CB48" s="122"/>
      <c r="CC48" s="122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244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24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62"/>
      <c r="O49" s="62"/>
      <c r="P49" s="62"/>
      <c r="Q49" s="62"/>
      <c r="R49" s="62"/>
      <c r="S49" s="62"/>
      <c r="T49" s="122"/>
      <c r="U49" s="122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243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62"/>
      <c r="AS49" s="62"/>
      <c r="AT49" s="62"/>
      <c r="AU49" s="62"/>
      <c r="AV49" s="62"/>
      <c r="AW49" s="62"/>
      <c r="AX49" s="122"/>
      <c r="AY49" s="122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62"/>
      <c r="BW49" s="62"/>
      <c r="BX49" s="62"/>
      <c r="BY49" s="62"/>
      <c r="BZ49" s="62"/>
      <c r="CA49" s="62"/>
      <c r="CB49" s="122"/>
      <c r="CC49" s="122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244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62"/>
      <c r="O50" s="62"/>
      <c r="P50" s="62"/>
      <c r="Q50" s="62"/>
      <c r="R50" s="62"/>
      <c r="S50" s="62"/>
      <c r="T50" s="122"/>
      <c r="U50" s="122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243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62"/>
      <c r="AS50" s="62"/>
      <c r="AT50" s="62"/>
      <c r="AU50" s="62"/>
      <c r="AV50" s="62"/>
      <c r="AW50" s="62"/>
      <c r="AX50" s="122"/>
      <c r="AY50" s="122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62"/>
      <c r="BW50" s="62"/>
      <c r="BX50" s="62"/>
      <c r="BY50" s="62"/>
      <c r="BZ50" s="62"/>
      <c r="CA50" s="62"/>
      <c r="CB50" s="122"/>
      <c r="CC50" s="122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244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24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62"/>
      <c r="O51" s="62"/>
      <c r="P51" s="62"/>
      <c r="Q51" s="62"/>
      <c r="R51" s="62"/>
      <c r="S51" s="62"/>
      <c r="T51" s="122"/>
      <c r="U51" s="122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243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62"/>
      <c r="AS51" s="62"/>
      <c r="AT51" s="62"/>
      <c r="AU51" s="62"/>
      <c r="AV51" s="62"/>
      <c r="AW51" s="62"/>
      <c r="AX51" s="122"/>
      <c r="AY51" s="122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62"/>
      <c r="BW51" s="62"/>
      <c r="BX51" s="62"/>
      <c r="BY51" s="62"/>
      <c r="BZ51" s="62"/>
      <c r="CA51" s="62"/>
      <c r="CB51" s="122"/>
      <c r="CC51" s="122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244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62"/>
      <c r="O52" s="62"/>
      <c r="P52" s="62"/>
      <c r="Q52" s="62"/>
      <c r="R52" s="62"/>
      <c r="S52" s="62"/>
      <c r="T52" s="122"/>
      <c r="U52" s="122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243" t="str">
        <f t="shared" si="185"/>
        <v/>
      </c>
      <c r="AH52" s="140"/>
      <c r="AI52" s="252"/>
      <c r="AJ52" s="140"/>
      <c r="AK52" s="140"/>
      <c r="AL52" s="140"/>
      <c r="AM52" s="140"/>
      <c r="AN52" s="140"/>
      <c r="AO52" s="140"/>
      <c r="AP52" s="62"/>
      <c r="AQ52" s="62"/>
      <c r="AR52" s="62"/>
      <c r="AS52" s="62"/>
      <c r="AT52" s="62"/>
      <c r="AU52" s="62"/>
      <c r="AV52" s="62"/>
      <c r="AW52" s="62"/>
      <c r="AX52" s="122"/>
      <c r="AY52" s="122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62"/>
      <c r="BW52" s="62"/>
      <c r="BX52" s="62"/>
      <c r="BY52" s="62"/>
      <c r="BZ52" s="62"/>
      <c r="CA52" s="62"/>
      <c r="CB52" s="122"/>
      <c r="CC52" s="122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244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24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62"/>
      <c r="O53" s="62"/>
      <c r="P53" s="62"/>
      <c r="Q53" s="62"/>
      <c r="R53" s="62"/>
      <c r="S53" s="62"/>
      <c r="T53" s="122"/>
      <c r="U53" s="122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243" t="str">
        <f t="shared" si="189"/>
        <v/>
      </c>
      <c r="AH53" s="140"/>
      <c r="AI53" s="252"/>
      <c r="AJ53" s="140"/>
      <c r="AK53" s="140"/>
      <c r="AL53" s="140"/>
      <c r="AM53" s="140"/>
      <c r="AN53" s="140"/>
      <c r="AO53" s="140"/>
      <c r="AP53" s="62"/>
      <c r="AQ53" s="62"/>
      <c r="AR53" s="62"/>
      <c r="AS53" s="62"/>
      <c r="AT53" s="62"/>
      <c r="AU53" s="62"/>
      <c r="AV53" s="62"/>
      <c r="AW53" s="62"/>
      <c r="AX53" s="122"/>
      <c r="AY53" s="122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62"/>
      <c r="BW53" s="62"/>
      <c r="BX53" s="62"/>
      <c r="BY53" s="62"/>
      <c r="BZ53" s="62"/>
      <c r="CA53" s="62"/>
      <c r="CB53" s="122"/>
      <c r="CC53" s="122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244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62"/>
      <c r="O54" s="62"/>
      <c r="P54" s="62"/>
      <c r="Q54" s="62"/>
      <c r="R54" s="62"/>
      <c r="S54" s="62"/>
      <c r="T54" s="122"/>
      <c r="U54" s="122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243" t="str">
        <f t="shared" si="193"/>
        <v/>
      </c>
      <c r="AH54" s="140"/>
      <c r="AI54" s="252"/>
      <c r="AJ54" s="140"/>
      <c r="AK54" s="140"/>
      <c r="AL54" s="140"/>
      <c r="AM54" s="140"/>
      <c r="AN54" s="140"/>
      <c r="AO54" s="140"/>
      <c r="AP54" s="62"/>
      <c r="AQ54" s="62"/>
      <c r="AR54" s="62"/>
      <c r="AS54" s="62"/>
      <c r="AT54" s="62"/>
      <c r="AU54" s="62"/>
      <c r="AV54" s="62"/>
      <c r="AW54" s="62"/>
      <c r="AX54" s="122"/>
      <c r="AY54" s="122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62"/>
      <c r="BW54" s="62"/>
      <c r="BX54" s="62"/>
      <c r="BY54" s="62"/>
      <c r="BZ54" s="62"/>
      <c r="CA54" s="62"/>
      <c r="CB54" s="122"/>
      <c r="CC54" s="122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244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24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62"/>
      <c r="O55" s="62"/>
      <c r="P55" s="62"/>
      <c r="Q55" s="62"/>
      <c r="R55" s="62"/>
      <c r="S55" s="62"/>
      <c r="T55" s="122"/>
      <c r="U55" s="122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243" t="str">
        <f t="shared" si="197"/>
        <v/>
      </c>
      <c r="AH55" s="140"/>
      <c r="AI55" s="252"/>
      <c r="AJ55" s="140"/>
      <c r="AK55" s="140"/>
      <c r="AL55" s="140"/>
      <c r="AM55" s="140"/>
      <c r="AN55" s="140"/>
      <c r="AO55" s="140"/>
      <c r="AP55" s="62"/>
      <c r="AQ55" s="62"/>
      <c r="AR55" s="62"/>
      <c r="AS55" s="62"/>
      <c r="AT55" s="62"/>
      <c r="AU55" s="62"/>
      <c r="AV55" s="62"/>
      <c r="AW55" s="62"/>
      <c r="AX55" s="122"/>
      <c r="AY55" s="122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62"/>
      <c r="BW55" s="62"/>
      <c r="BX55" s="62"/>
      <c r="BY55" s="62"/>
      <c r="BZ55" s="62"/>
      <c r="CA55" s="62"/>
      <c r="CB55" s="122"/>
      <c r="CC55" s="122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244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62"/>
      <c r="O56" s="62"/>
      <c r="P56" s="62"/>
      <c r="Q56" s="62"/>
      <c r="R56" s="62"/>
      <c r="S56" s="62"/>
      <c r="T56" s="122"/>
      <c r="U56" s="122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243" t="str">
        <f t="shared" si="201"/>
        <v/>
      </c>
      <c r="AH56" s="140"/>
      <c r="AI56" s="252"/>
      <c r="AJ56" s="140"/>
      <c r="AK56" s="140"/>
      <c r="AL56" s="140"/>
      <c r="AM56" s="140"/>
      <c r="AN56" s="140"/>
      <c r="AO56" s="140"/>
      <c r="AP56" s="62"/>
      <c r="AQ56" s="62"/>
      <c r="AR56" s="62"/>
      <c r="AS56" s="62"/>
      <c r="AT56" s="62"/>
      <c r="AU56" s="62"/>
      <c r="AV56" s="62"/>
      <c r="AW56" s="62"/>
      <c r="AX56" s="122"/>
      <c r="AY56" s="122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62"/>
      <c r="BW56" s="62"/>
      <c r="BX56" s="62"/>
      <c r="BY56" s="62"/>
      <c r="BZ56" s="62"/>
      <c r="CA56" s="62"/>
      <c r="CB56" s="122"/>
      <c r="CC56" s="122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244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24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62"/>
      <c r="O57" s="62"/>
      <c r="P57" s="62"/>
      <c r="Q57" s="62"/>
      <c r="R57" s="62"/>
      <c r="S57" s="62"/>
      <c r="T57" s="122"/>
      <c r="U57" s="122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243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62"/>
      <c r="AS57" s="62"/>
      <c r="AT57" s="62"/>
      <c r="AU57" s="62"/>
      <c r="AV57" s="62"/>
      <c r="AW57" s="62"/>
      <c r="AX57" s="122"/>
      <c r="AY57" s="122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62"/>
      <c r="BW57" s="62"/>
      <c r="BX57" s="62"/>
      <c r="BY57" s="62"/>
      <c r="BZ57" s="62"/>
      <c r="CA57" s="62"/>
      <c r="CB57" s="122"/>
      <c r="CC57" s="122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244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62"/>
      <c r="O58" s="62"/>
      <c r="P58" s="62"/>
      <c r="Q58" s="62"/>
      <c r="R58" s="62"/>
      <c r="S58" s="62"/>
      <c r="T58" s="122"/>
      <c r="U58" s="122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243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62"/>
      <c r="AS58" s="62"/>
      <c r="AT58" s="62"/>
      <c r="AU58" s="62"/>
      <c r="AV58" s="62"/>
      <c r="AW58" s="62"/>
      <c r="AX58" s="122"/>
      <c r="AY58" s="122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62"/>
      <c r="BW58" s="62"/>
      <c r="BX58" s="62"/>
      <c r="BY58" s="62"/>
      <c r="BZ58" s="62"/>
      <c r="CA58" s="62"/>
      <c r="CB58" s="122"/>
      <c r="CC58" s="122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244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246">
        <v>48.0</v>
      </c>
      <c r="B59" s="57" t="str">
        <f>LEN!B59</f>
        <v/>
      </c>
      <c r="C59" s="57" t="str">
        <f>LEN!C59</f>
        <v/>
      </c>
      <c r="D59" s="248"/>
      <c r="E59" s="248"/>
      <c r="F59" s="248"/>
      <c r="G59" s="248"/>
      <c r="H59" s="248"/>
      <c r="I59" s="248"/>
      <c r="J59" s="248"/>
      <c r="K59" s="248"/>
      <c r="L59" s="62"/>
      <c r="M59" s="62"/>
      <c r="N59" s="62"/>
      <c r="O59" s="62"/>
      <c r="P59" s="62"/>
      <c r="Q59" s="62"/>
      <c r="R59" s="62"/>
      <c r="S59" s="62"/>
      <c r="T59" s="122"/>
      <c r="U59" s="122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B59" s="249"/>
      <c r="AC59" s="2"/>
      <c r="AD59" s="249"/>
      <c r="AE59" s="56">
        <v>48.0</v>
      </c>
      <c r="AF59" s="124" t="str">
        <f t="shared" ref="AF59:AG59" si="213">B59</f>
        <v/>
      </c>
      <c r="AG59" s="243" t="str">
        <f t="shared" si="213"/>
        <v/>
      </c>
      <c r="AH59" s="248"/>
      <c r="AI59" s="248"/>
      <c r="AJ59" s="248"/>
      <c r="AK59" s="248"/>
      <c r="AL59" s="248"/>
      <c r="AM59" s="248"/>
      <c r="AN59" s="248"/>
      <c r="AO59" s="248"/>
      <c r="AP59" s="62"/>
      <c r="AQ59" s="62"/>
      <c r="AR59" s="62"/>
      <c r="AS59" s="62"/>
      <c r="AT59" s="62"/>
      <c r="AU59" s="62"/>
      <c r="AV59" s="62"/>
      <c r="AW59" s="62"/>
      <c r="AX59" s="122"/>
      <c r="AY59" s="122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F59" s="249"/>
      <c r="BG59" s="2"/>
      <c r="BH59" s="249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248"/>
      <c r="BM59" s="248"/>
      <c r="BN59" s="248"/>
      <c r="BO59" s="248"/>
      <c r="BP59" s="248"/>
      <c r="BQ59" s="248"/>
      <c r="BR59" s="248"/>
      <c r="BS59" s="248"/>
      <c r="BT59" s="62"/>
      <c r="BU59" s="62"/>
      <c r="BV59" s="62"/>
      <c r="BW59" s="62"/>
      <c r="BX59" s="62"/>
      <c r="BY59" s="62"/>
      <c r="BZ59" s="62"/>
      <c r="CA59" s="62"/>
      <c r="CB59" s="122"/>
      <c r="CC59" s="122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J59" s="249"/>
      <c r="CK59" s="2"/>
      <c r="CL59" s="249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U59" s="249"/>
      <c r="CV59" s="2"/>
      <c r="CW59" s="249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244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  <c r="DE59" s="249"/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62"/>
      <c r="O60" s="62"/>
      <c r="P60" s="62"/>
      <c r="Q60" s="62"/>
      <c r="R60" s="62"/>
      <c r="S60" s="62"/>
      <c r="T60" s="122"/>
      <c r="U60" s="122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243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62"/>
      <c r="AS60" s="62"/>
      <c r="AT60" s="62"/>
      <c r="AU60" s="62"/>
      <c r="AV60" s="62"/>
      <c r="AW60" s="62"/>
      <c r="AX60" s="122"/>
      <c r="AY60" s="122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62"/>
      <c r="BW60" s="62"/>
      <c r="BX60" s="62"/>
      <c r="BY60" s="62"/>
      <c r="BZ60" s="62"/>
      <c r="CA60" s="62"/>
      <c r="CB60" s="122"/>
      <c r="CC60" s="122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244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24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62"/>
      <c r="O61" s="62"/>
      <c r="P61" s="62"/>
      <c r="Q61" s="62"/>
      <c r="R61" s="62"/>
      <c r="S61" s="62"/>
      <c r="T61" s="122"/>
      <c r="U61" s="122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243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62"/>
      <c r="AS61" s="62"/>
      <c r="AT61" s="62"/>
      <c r="AU61" s="62"/>
      <c r="AV61" s="62"/>
      <c r="AW61" s="62"/>
      <c r="AX61" s="122"/>
      <c r="AY61" s="122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62"/>
      <c r="BW61" s="62"/>
      <c r="BX61" s="62"/>
      <c r="BY61" s="62"/>
      <c r="BZ61" s="62"/>
      <c r="CA61" s="62"/>
      <c r="CB61" s="122"/>
      <c r="CC61" s="122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244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>
      <c r="CO62" s="158" t="s">
        <v>114</v>
      </c>
      <c r="CQ62" s="156" t="s">
        <v>115</v>
      </c>
      <c r="CR62" s="157" t="str">
        <f>COUNTIF(CS12:CS61,"&gt;4")-#REF!-#REF!</f>
        <v>#REF!</v>
      </c>
    </row>
    <row r="63" ht="15.75" customHeight="1">
      <c r="CO63" s="155" t="s">
        <v>116</v>
      </c>
      <c r="CQ63" s="156" t="s">
        <v>117</v>
      </c>
      <c r="CR63" s="159" t="str">
        <f>COUNTIF(CS12:CS61,"&gt;0")-CR62-#REF!-#REF!</f>
        <v>#REF!</v>
      </c>
    </row>
    <row r="64" ht="15.75" customHeight="1">
      <c r="CQ64" s="160" t="s">
        <v>118</v>
      </c>
      <c r="CR64" s="161" t="str">
        <f>SUM(CR62:CR63)</f>
        <v>#REF!</v>
      </c>
    </row>
    <row r="65" ht="15.75" customHeight="1"/>
    <row r="66" ht="15.75" customHeight="1"/>
    <row r="67" ht="15.75" customHeight="1">
      <c r="CO67" s="162"/>
      <c r="CS67" s="162"/>
      <c r="CT67" s="162"/>
    </row>
    <row r="68" ht="15.75" customHeight="1">
      <c r="CO68" s="163"/>
      <c r="CP68" s="164"/>
      <c r="CQ68" s="164"/>
      <c r="CS68" s="163"/>
      <c r="CT68" s="165"/>
    </row>
    <row r="69" ht="15.75" customHeight="1">
      <c r="CO69" s="166" t="s">
        <v>119</v>
      </c>
      <c r="CS69" s="166" t="s">
        <v>120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</sheetData>
  <mergeCells count="104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S68:CT68"/>
    <mergeCell ref="CS69:CT69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 D61:G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OS." sqref="D12:U61 W12:W61 BL12:CC61 CE12:CE61">
      <formula1>0.0</formula1>
      <formula2>10.0</formula2>
    </dataValidation>
    <dataValidation type="decimal" allowBlank="1" showInputMessage="1" showErrorMessage="1" prompt="LOS VALORES DEBEN SER ENTRE 0 Y 10 PTOS" sqref="AH12:AY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1" s="253">
        <v>85.0</v>
      </c>
      <c r="AA1" s="73"/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156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ALEXANDRA  FRANCO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ALEXANDRA  FRANCO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ALEXANDRA  FRANCO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ALEXANDRA  FRANCO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E.C.A. 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E.C.A. 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E.C.A. 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E.C.A. 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158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06" t="s">
        <v>159</v>
      </c>
      <c r="BB8" s="24" t="s">
        <v>16</v>
      </c>
      <c r="BC8" s="82" t="s">
        <v>79</v>
      </c>
      <c r="BD8" s="25">
        <v>0.3</v>
      </c>
      <c r="BE8" s="26" t="s">
        <v>160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161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'E. C. A '!CM10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9.0</v>
      </c>
      <c r="E12" s="120"/>
      <c r="F12" s="120"/>
      <c r="G12" s="120"/>
      <c r="H12" s="119">
        <v>9.0</v>
      </c>
      <c r="I12" s="120"/>
      <c r="J12" s="119">
        <v>10.0</v>
      </c>
      <c r="K12" s="120"/>
      <c r="L12" s="121">
        <v>10.0</v>
      </c>
      <c r="M12" s="62"/>
      <c r="N12" s="62"/>
      <c r="O12" s="62"/>
      <c r="P12" s="62"/>
      <c r="Q12" s="62"/>
      <c r="R12" s="62"/>
      <c r="S12" s="62"/>
      <c r="T12" s="122"/>
      <c r="U12" s="122"/>
      <c r="V12" s="62">
        <f t="shared" ref="V12:V61" si="9">IFERROR(TRUNC(AVERAGE(D12:U12),2),"")*70/100</f>
        <v>6.65</v>
      </c>
      <c r="W12" s="121">
        <v>8.0</v>
      </c>
      <c r="X12" s="123">
        <f>'PROY. INTER'!W12</f>
        <v>10</v>
      </c>
      <c r="Y12" s="62">
        <f t="shared" ref="Y12:Y61" si="10">AVERAGE(W12:X12)</f>
        <v>9</v>
      </c>
      <c r="Z12" s="62">
        <f t="shared" ref="Z12:Z61" si="11">Y12*30/100</f>
        <v>2.7</v>
      </c>
      <c r="AA12" s="64">
        <f t="shared" ref="AA12:AA61" si="12">IFERROR(TRUNC(SUM(V12+Z12),2),"")</f>
        <v>9.35</v>
      </c>
      <c r="AC12" s="2"/>
      <c r="AE12" s="56">
        <v>1.0</v>
      </c>
      <c r="AF12" s="124" t="str">
        <f t="shared" ref="AF12:AG12" si="5">B12</f>
        <v/>
      </c>
      <c r="AG12" s="65" t="str">
        <f t="shared" si="5"/>
        <v>Almeida Alvarado Ariana Guisela</v>
      </c>
      <c r="AH12" s="119"/>
      <c r="AI12" s="120"/>
      <c r="AJ12" s="119">
        <v>10.0</v>
      </c>
      <c r="AK12" s="120"/>
      <c r="AL12" s="119">
        <v>10.0</v>
      </c>
      <c r="AM12" s="120"/>
      <c r="AN12" s="119">
        <v>10.0</v>
      </c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9.35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6.45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6.45</v>
      </c>
      <c r="DB12" s="136"/>
      <c r="DC12" s="137">
        <f t="shared" ref="DC12:DC61" si="31">IF(DA12&gt;=7,DA12,IF(DA12="","",IF(DB12="",AVERAGE(DA12:DB12),IF(AND(DA12&lt;4.01,DB12&lt;&gt;""),DA12,IF(DB12&lt;7,DA12,7)))))</f>
        <v>6.45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6.0</v>
      </c>
      <c r="E13" s="140"/>
      <c r="F13" s="140"/>
      <c r="G13" s="140"/>
      <c r="H13" s="139">
        <v>9.0</v>
      </c>
      <c r="I13" s="140"/>
      <c r="J13" s="139">
        <v>9.0</v>
      </c>
      <c r="K13" s="140"/>
      <c r="L13" s="121">
        <v>10.0</v>
      </c>
      <c r="M13" s="62"/>
      <c r="N13" s="62"/>
      <c r="O13" s="62"/>
      <c r="P13" s="62"/>
      <c r="Q13" s="62"/>
      <c r="R13" s="62"/>
      <c r="S13" s="62"/>
      <c r="T13" s="141"/>
      <c r="U13" s="141"/>
      <c r="V13" s="62">
        <f t="shared" si="9"/>
        <v>5.95</v>
      </c>
      <c r="W13" s="121">
        <v>8.0</v>
      </c>
      <c r="X13" s="123">
        <f>'PROY. INTER'!W13</f>
        <v>10</v>
      </c>
      <c r="Y13" s="62">
        <f t="shared" si="10"/>
        <v>9</v>
      </c>
      <c r="Z13" s="62">
        <f t="shared" si="11"/>
        <v>2.7</v>
      </c>
      <c r="AA13" s="64">
        <f t="shared" si="12"/>
        <v>8.65</v>
      </c>
      <c r="AC13" s="2"/>
      <c r="AE13" s="56">
        <v>2.0</v>
      </c>
      <c r="AF13" s="124" t="str">
        <f t="shared" ref="AF13:AG13" si="13">B13</f>
        <v/>
      </c>
      <c r="AG13" s="65" t="str">
        <f t="shared" si="13"/>
        <v>Alvarado Vargas Dacmar Alejandra</v>
      </c>
      <c r="AH13" s="140"/>
      <c r="AI13" s="140"/>
      <c r="AJ13" s="139">
        <v>10.0</v>
      </c>
      <c r="AK13" s="140"/>
      <c r="AL13" s="139">
        <v>10.0</v>
      </c>
      <c r="AM13" s="140"/>
      <c r="AN13" s="139">
        <v>10.0</v>
      </c>
      <c r="AO13" s="140"/>
      <c r="AP13" s="62"/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8.65</v>
      </c>
      <c r="CQ13" s="129">
        <f t="shared" si="25"/>
        <v>10</v>
      </c>
      <c r="CR13" s="129">
        <f t="shared" si="26"/>
        <v>0</v>
      </c>
      <c r="CS13" s="130">
        <f t="shared" si="27"/>
        <v>6.21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6.21</v>
      </c>
      <c r="DB13" s="142"/>
      <c r="DC13" s="137">
        <f t="shared" si="31"/>
        <v>6.21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9.0</v>
      </c>
      <c r="E14" s="140"/>
      <c r="F14" s="140"/>
      <c r="G14" s="140"/>
      <c r="H14" s="139">
        <v>9.0</v>
      </c>
      <c r="I14" s="120"/>
      <c r="J14" s="119">
        <v>10.0</v>
      </c>
      <c r="K14" s="120"/>
      <c r="L14" s="121">
        <v>9.0</v>
      </c>
      <c r="M14" s="62"/>
      <c r="N14" s="62"/>
      <c r="O14" s="62"/>
      <c r="P14" s="62"/>
      <c r="Q14" s="62"/>
      <c r="R14" s="62"/>
      <c r="S14" s="62"/>
      <c r="T14" s="141"/>
      <c r="U14" s="141"/>
      <c r="V14" s="62">
        <f t="shared" si="9"/>
        <v>6.475</v>
      </c>
      <c r="W14" s="121">
        <v>9.0</v>
      </c>
      <c r="X14" s="123">
        <f>'PROY. INTER'!W14</f>
        <v>8.2</v>
      </c>
      <c r="Y14" s="62">
        <f t="shared" si="10"/>
        <v>8.6</v>
      </c>
      <c r="Z14" s="62">
        <f t="shared" si="11"/>
        <v>2.58</v>
      </c>
      <c r="AA14" s="64">
        <f t="shared" si="12"/>
        <v>9.05</v>
      </c>
      <c r="AC14" s="2"/>
      <c r="AE14" s="56">
        <v>3.0</v>
      </c>
      <c r="AF14" s="124" t="str">
        <f t="shared" ref="AF14:AG14" si="33">B14</f>
        <v/>
      </c>
      <c r="AG14" s="65" t="str">
        <f t="shared" si="33"/>
        <v>Ampuero Cornejo Cesar Jeanpierre</v>
      </c>
      <c r="AH14" s="140"/>
      <c r="AI14" s="140"/>
      <c r="AJ14" s="139">
        <v>8.0</v>
      </c>
      <c r="AK14" s="140"/>
      <c r="AL14" s="139">
        <v>10.0</v>
      </c>
      <c r="AM14" s="140"/>
      <c r="AN14" s="139">
        <v>8.0</v>
      </c>
      <c r="AO14" s="140"/>
      <c r="AP14" s="62"/>
      <c r="AQ14" s="62"/>
      <c r="AR14" s="62"/>
      <c r="AS14" s="143"/>
      <c r="AT14" s="62"/>
      <c r="AU14" s="143"/>
      <c r="AV14" s="62"/>
      <c r="AW14" s="143"/>
      <c r="AX14" s="141"/>
      <c r="AY14" s="141"/>
      <c r="AZ14" s="62">
        <f t="shared" si="14"/>
        <v>6.062</v>
      </c>
      <c r="BA14" s="121">
        <v>10.0</v>
      </c>
      <c r="BB14" s="123">
        <f>'PROY. INTER'!AX14</f>
        <v>10</v>
      </c>
      <c r="BC14" s="62">
        <f t="shared" si="15"/>
        <v>10</v>
      </c>
      <c r="BD14" s="62">
        <f t="shared" si="16"/>
        <v>3</v>
      </c>
      <c r="BE14" s="64">
        <f t="shared" si="17"/>
        <v>9.06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62"/>
      <c r="BW14" s="143"/>
      <c r="BX14" s="62"/>
      <c r="BY14" s="143"/>
      <c r="BZ14" s="62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9.05</v>
      </c>
      <c r="CQ14" s="129">
        <f t="shared" si="25"/>
        <v>9.06</v>
      </c>
      <c r="CR14" s="129">
        <f t="shared" si="26"/>
        <v>0</v>
      </c>
      <c r="CS14" s="130">
        <f t="shared" si="27"/>
        <v>6.03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6.03</v>
      </c>
      <c r="DB14" s="136"/>
      <c r="DC14" s="137">
        <f t="shared" si="31"/>
        <v>6.03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7.0</v>
      </c>
      <c r="E15" s="140"/>
      <c r="F15" s="140"/>
      <c r="G15" s="140"/>
      <c r="H15" s="139">
        <v>7.0</v>
      </c>
      <c r="I15" s="119"/>
      <c r="J15" s="119">
        <v>7.0</v>
      </c>
      <c r="K15" s="120"/>
      <c r="L15" s="121">
        <v>7.0</v>
      </c>
      <c r="M15" s="62"/>
      <c r="N15" s="62"/>
      <c r="O15" s="62"/>
      <c r="P15" s="62"/>
      <c r="Q15" s="62"/>
      <c r="R15" s="62"/>
      <c r="S15" s="62"/>
      <c r="T15" s="141"/>
      <c r="U15" s="141"/>
      <c r="V15" s="62">
        <f t="shared" si="9"/>
        <v>4.9</v>
      </c>
      <c r="W15" s="121">
        <v>7.0</v>
      </c>
      <c r="X15" s="123">
        <f>'PROY. INTER'!W15</f>
        <v>6.73</v>
      </c>
      <c r="Y15" s="62">
        <f t="shared" si="10"/>
        <v>6.865</v>
      </c>
      <c r="Z15" s="62">
        <f t="shared" si="11"/>
        <v>2.0595</v>
      </c>
      <c r="AA15" s="64">
        <f t="shared" si="12"/>
        <v>6.95</v>
      </c>
      <c r="AC15" s="2"/>
      <c r="AE15" s="56">
        <v>4.0</v>
      </c>
      <c r="AF15" s="124" t="str">
        <f t="shared" ref="AF15:AG15" si="37">B15</f>
        <v/>
      </c>
      <c r="AG15" s="65" t="str">
        <f t="shared" si="37"/>
        <v>Aylla Murillo Kerly Kristhel</v>
      </c>
      <c r="AH15" s="140"/>
      <c r="AI15" s="140"/>
      <c r="AJ15" s="139">
        <v>8.0</v>
      </c>
      <c r="AK15" s="140"/>
      <c r="AL15" s="139">
        <v>10.0</v>
      </c>
      <c r="AM15" s="140"/>
      <c r="AN15" s="139">
        <v>10.0</v>
      </c>
      <c r="AO15" s="140"/>
      <c r="AP15" s="62"/>
      <c r="AQ15" s="62"/>
      <c r="AR15" s="62"/>
      <c r="AS15" s="143"/>
      <c r="AT15" s="62"/>
      <c r="AU15" s="143"/>
      <c r="AV15" s="62"/>
      <c r="AW15" s="143"/>
      <c r="AX15" s="141"/>
      <c r="AY15" s="141"/>
      <c r="AZ15" s="62">
        <f t="shared" si="14"/>
        <v>6.531</v>
      </c>
      <c r="BA15" s="121">
        <v>10.0</v>
      </c>
      <c r="BB15" s="123">
        <f>'PROY. INTER'!AX15</f>
        <v>10</v>
      </c>
      <c r="BC15" s="62">
        <f t="shared" si="15"/>
        <v>10</v>
      </c>
      <c r="BD15" s="62">
        <f t="shared" si="16"/>
        <v>3</v>
      </c>
      <c r="BE15" s="64">
        <f t="shared" si="17"/>
        <v>9.53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62"/>
      <c r="BW15" s="143"/>
      <c r="BX15" s="62"/>
      <c r="BY15" s="143"/>
      <c r="BZ15" s="62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6.95</v>
      </c>
      <c r="CQ15" s="129">
        <f t="shared" si="25"/>
        <v>9.53</v>
      </c>
      <c r="CR15" s="129">
        <f t="shared" si="26"/>
        <v>0</v>
      </c>
      <c r="CS15" s="130">
        <f t="shared" si="27"/>
        <v>5.49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5.49</v>
      </c>
      <c r="DB15" s="136"/>
      <c r="DC15" s="137">
        <f t="shared" si="31"/>
        <v>5.49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7.0</v>
      </c>
      <c r="E16" s="140"/>
      <c r="F16" s="140"/>
      <c r="G16" s="140"/>
      <c r="H16" s="139">
        <v>7.0</v>
      </c>
      <c r="I16" s="120"/>
      <c r="J16" s="119">
        <v>10.0</v>
      </c>
      <c r="K16" s="120"/>
      <c r="L16" s="121">
        <v>8.0</v>
      </c>
      <c r="M16" s="62"/>
      <c r="N16" s="62"/>
      <c r="O16" s="62"/>
      <c r="P16" s="62"/>
      <c r="Q16" s="62"/>
      <c r="R16" s="62"/>
      <c r="S16" s="62"/>
      <c r="T16" s="141"/>
      <c r="U16" s="141"/>
      <c r="V16" s="62">
        <f t="shared" si="9"/>
        <v>5.6</v>
      </c>
      <c r="W16" s="121">
        <v>8.0</v>
      </c>
      <c r="X16" s="123">
        <f>'PROY. INTER'!W16</f>
        <v>6</v>
      </c>
      <c r="Y16" s="62">
        <f t="shared" si="10"/>
        <v>7</v>
      </c>
      <c r="Z16" s="62">
        <f t="shared" si="11"/>
        <v>2.1</v>
      </c>
      <c r="AA16" s="64">
        <f t="shared" si="12"/>
        <v>7.7</v>
      </c>
      <c r="AC16" s="2"/>
      <c r="AE16" s="56">
        <v>5.0</v>
      </c>
      <c r="AF16" s="124" t="str">
        <f t="shared" ref="AF16:AG16" si="41">B16</f>
        <v/>
      </c>
      <c r="AG16" s="65" t="str">
        <f t="shared" si="41"/>
        <v>Campuzano Meza Naydelyn Odeth</v>
      </c>
      <c r="AH16" s="140"/>
      <c r="AI16" s="140"/>
      <c r="AJ16" s="139">
        <v>9.0</v>
      </c>
      <c r="AK16" s="140"/>
      <c r="AL16" s="139">
        <v>9.0</v>
      </c>
      <c r="AM16" s="140"/>
      <c r="AN16" s="139">
        <v>7.0</v>
      </c>
      <c r="AO16" s="140"/>
      <c r="AP16" s="62"/>
      <c r="AQ16" s="62"/>
      <c r="AR16" s="62"/>
      <c r="AS16" s="143"/>
      <c r="AT16" s="62"/>
      <c r="AU16" s="143"/>
      <c r="AV16" s="62"/>
      <c r="AW16" s="143"/>
      <c r="AX16" s="141"/>
      <c r="AY16" s="141"/>
      <c r="AZ16" s="62">
        <f t="shared" si="14"/>
        <v>5.831</v>
      </c>
      <c r="BA16" s="121">
        <v>9.0</v>
      </c>
      <c r="BB16" s="123">
        <f>'PROY. INTER'!AX16</f>
        <v>2</v>
      </c>
      <c r="BC16" s="62">
        <f t="shared" si="15"/>
        <v>5.5</v>
      </c>
      <c r="BD16" s="62">
        <f t="shared" si="16"/>
        <v>1.65</v>
      </c>
      <c r="BE16" s="64">
        <f t="shared" si="17"/>
        <v>7.48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62"/>
      <c r="BW16" s="143"/>
      <c r="BX16" s="62"/>
      <c r="BY16" s="143"/>
      <c r="BZ16" s="62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7.7</v>
      </c>
      <c r="CQ16" s="129">
        <f t="shared" si="25"/>
        <v>7.48</v>
      </c>
      <c r="CR16" s="129">
        <f t="shared" si="26"/>
        <v>0</v>
      </c>
      <c r="CS16" s="130">
        <f t="shared" si="27"/>
        <v>5.06</v>
      </c>
      <c r="CT16" s="131" t="str">
        <f t="shared" si="28"/>
        <v>SUPLETORIO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5.06</v>
      </c>
      <c r="DB16" s="136"/>
      <c r="DC16" s="137">
        <f t="shared" si="31"/>
        <v>5.06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9.0</v>
      </c>
      <c r="E17" s="140"/>
      <c r="F17" s="140"/>
      <c r="G17" s="140"/>
      <c r="H17" s="139">
        <v>10.0</v>
      </c>
      <c r="I17" s="120"/>
      <c r="J17" s="119">
        <v>10.0</v>
      </c>
      <c r="K17" s="120"/>
      <c r="L17" s="121">
        <v>10.0</v>
      </c>
      <c r="M17" s="62"/>
      <c r="N17" s="62"/>
      <c r="O17" s="62"/>
      <c r="P17" s="62"/>
      <c r="Q17" s="62"/>
      <c r="R17" s="62"/>
      <c r="S17" s="62"/>
      <c r="T17" s="141"/>
      <c r="U17" s="141"/>
      <c r="V17" s="62">
        <f t="shared" si="9"/>
        <v>6.825</v>
      </c>
      <c r="W17" s="121">
        <v>8.0</v>
      </c>
      <c r="X17" s="123">
        <f>'PROY. INTER'!W17</f>
        <v>9.87</v>
      </c>
      <c r="Y17" s="62">
        <f t="shared" si="10"/>
        <v>8.935</v>
      </c>
      <c r="Z17" s="62">
        <f t="shared" si="11"/>
        <v>2.6805</v>
      </c>
      <c r="AA17" s="64">
        <f t="shared" si="12"/>
        <v>9.5</v>
      </c>
      <c r="AC17" s="2"/>
      <c r="AE17" s="56">
        <v>6.0</v>
      </c>
      <c r="AF17" s="124" t="str">
        <f t="shared" ref="AF17:AG17" si="45">B17</f>
        <v/>
      </c>
      <c r="AG17" s="65" t="str">
        <f t="shared" si="45"/>
        <v>Cantos Zúñiga a Hernán Snayder</v>
      </c>
      <c r="AH17" s="140"/>
      <c r="AI17" s="140"/>
      <c r="AJ17" s="139">
        <v>10.0</v>
      </c>
      <c r="AK17" s="140"/>
      <c r="AL17" s="139">
        <v>8.0</v>
      </c>
      <c r="AM17" s="140"/>
      <c r="AN17" s="139">
        <v>9.0</v>
      </c>
      <c r="AO17" s="140"/>
      <c r="AP17" s="62"/>
      <c r="AQ17" s="62"/>
      <c r="AR17" s="62"/>
      <c r="AS17" s="143"/>
      <c r="AT17" s="62"/>
      <c r="AU17" s="143"/>
      <c r="AV17" s="62"/>
      <c r="AW17" s="143"/>
      <c r="AX17" s="141"/>
      <c r="AY17" s="141"/>
      <c r="AZ17" s="62">
        <f t="shared" si="14"/>
        <v>6.3</v>
      </c>
      <c r="BA17" s="121">
        <v>10.0</v>
      </c>
      <c r="BB17" s="123">
        <f>'PROY. INTER'!AX17</f>
        <v>10</v>
      </c>
      <c r="BC17" s="62">
        <f t="shared" si="15"/>
        <v>10</v>
      </c>
      <c r="BD17" s="62">
        <f t="shared" si="16"/>
        <v>3</v>
      </c>
      <c r="BE17" s="64">
        <f t="shared" si="17"/>
        <v>9.3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62"/>
      <c r="BW17" s="143"/>
      <c r="BX17" s="62"/>
      <c r="BY17" s="143"/>
      <c r="BZ17" s="62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9.5</v>
      </c>
      <c r="CQ17" s="129">
        <f t="shared" si="25"/>
        <v>9.3</v>
      </c>
      <c r="CR17" s="129">
        <f t="shared" si="26"/>
        <v>0</v>
      </c>
      <c r="CS17" s="130">
        <f t="shared" si="27"/>
        <v>6.26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6.26</v>
      </c>
      <c r="DB17" s="136"/>
      <c r="DC17" s="137">
        <f t="shared" si="31"/>
        <v>6.26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9.0</v>
      </c>
      <c r="E18" s="140"/>
      <c r="F18" s="140"/>
      <c r="G18" s="140"/>
      <c r="H18" s="139">
        <v>10.0</v>
      </c>
      <c r="I18" s="120"/>
      <c r="J18" s="119">
        <v>10.0</v>
      </c>
      <c r="K18" s="120"/>
      <c r="L18" s="121">
        <v>10.0</v>
      </c>
      <c r="M18" s="62"/>
      <c r="N18" s="62"/>
      <c r="O18" s="62"/>
      <c r="P18" s="62"/>
      <c r="Q18" s="62"/>
      <c r="R18" s="62"/>
      <c r="S18" s="62"/>
      <c r="T18" s="141"/>
      <c r="U18" s="141"/>
      <c r="V18" s="62">
        <f t="shared" si="9"/>
        <v>6.825</v>
      </c>
      <c r="W18" s="121">
        <v>8.0</v>
      </c>
      <c r="X18" s="123">
        <f>'PROY. INTER'!W18</f>
        <v>9</v>
      </c>
      <c r="Y18" s="62">
        <f t="shared" si="10"/>
        <v>8.5</v>
      </c>
      <c r="Z18" s="62">
        <f t="shared" si="11"/>
        <v>2.55</v>
      </c>
      <c r="AA18" s="64">
        <f t="shared" si="12"/>
        <v>9.37</v>
      </c>
      <c r="AC18" s="2"/>
      <c r="AE18" s="56">
        <v>7.0</v>
      </c>
      <c r="AF18" s="124" t="str">
        <f t="shared" ref="AF18:AG18" si="49">B18</f>
        <v/>
      </c>
      <c r="AG18" s="65" t="str">
        <f t="shared" si="49"/>
        <v>Carranza Dumes Genesis Daniela</v>
      </c>
      <c r="AH18" s="140"/>
      <c r="AI18" s="140"/>
      <c r="AJ18" s="139">
        <v>10.0</v>
      </c>
      <c r="AK18" s="140"/>
      <c r="AL18" s="139">
        <v>9.0</v>
      </c>
      <c r="AM18" s="140"/>
      <c r="AN18" s="139">
        <v>9.0</v>
      </c>
      <c r="AO18" s="140"/>
      <c r="AP18" s="62"/>
      <c r="AQ18" s="62"/>
      <c r="AR18" s="62"/>
      <c r="AS18" s="143"/>
      <c r="AT18" s="62"/>
      <c r="AU18" s="143"/>
      <c r="AV18" s="62"/>
      <c r="AW18" s="143"/>
      <c r="AX18" s="141"/>
      <c r="AY18" s="141"/>
      <c r="AZ18" s="62">
        <f t="shared" si="14"/>
        <v>6.531</v>
      </c>
      <c r="BA18" s="121">
        <v>10.0</v>
      </c>
      <c r="BB18" s="123">
        <f>'PROY. INTER'!AX18</f>
        <v>2</v>
      </c>
      <c r="BC18" s="62">
        <f t="shared" si="15"/>
        <v>6</v>
      </c>
      <c r="BD18" s="62">
        <f t="shared" si="16"/>
        <v>1.8</v>
      </c>
      <c r="BE18" s="64">
        <f t="shared" si="17"/>
        <v>8.33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62"/>
      <c r="BW18" s="143"/>
      <c r="BX18" s="62"/>
      <c r="BY18" s="143"/>
      <c r="BZ18" s="62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9.37</v>
      </c>
      <c r="CQ18" s="129">
        <f t="shared" si="25"/>
        <v>8.33</v>
      </c>
      <c r="CR18" s="129">
        <f t="shared" si="26"/>
        <v>0</v>
      </c>
      <c r="CS18" s="130">
        <f t="shared" si="27"/>
        <v>5.9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5.9</v>
      </c>
      <c r="DB18" s="136"/>
      <c r="DC18" s="137">
        <f t="shared" si="31"/>
        <v>5.9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7.0</v>
      </c>
      <c r="E19" s="140"/>
      <c r="F19" s="140"/>
      <c r="G19" s="140"/>
      <c r="H19" s="139">
        <v>7.0</v>
      </c>
      <c r="I19" s="120"/>
      <c r="J19" s="119">
        <v>7.0</v>
      </c>
      <c r="K19" s="120"/>
      <c r="L19" s="121">
        <v>7.0</v>
      </c>
      <c r="M19" s="62"/>
      <c r="N19" s="62"/>
      <c r="O19" s="62"/>
      <c r="P19" s="62"/>
      <c r="Q19" s="62"/>
      <c r="R19" s="62"/>
      <c r="S19" s="62"/>
      <c r="T19" s="141"/>
      <c r="U19" s="141"/>
      <c r="V19" s="62">
        <f t="shared" si="9"/>
        <v>4.9</v>
      </c>
      <c r="W19" s="121">
        <v>8.0</v>
      </c>
      <c r="X19" s="123">
        <f>'PROY. INTER'!W19</f>
        <v>6</v>
      </c>
      <c r="Y19" s="62">
        <f t="shared" si="10"/>
        <v>7</v>
      </c>
      <c r="Z19" s="62">
        <f t="shared" si="11"/>
        <v>2.1</v>
      </c>
      <c r="AA19" s="64">
        <f t="shared" si="12"/>
        <v>7</v>
      </c>
      <c r="AC19" s="2"/>
      <c r="AE19" s="56">
        <v>8.0</v>
      </c>
      <c r="AF19" s="124" t="str">
        <f t="shared" ref="AF19:AG19" si="53">B19</f>
        <v/>
      </c>
      <c r="AG19" s="65" t="str">
        <f t="shared" si="53"/>
        <v>Castro De La Rosa Cristopher Ruben</v>
      </c>
      <c r="AH19" s="140"/>
      <c r="AI19" s="140"/>
      <c r="AJ19" s="139">
        <v>10.0</v>
      </c>
      <c r="AK19" s="140"/>
      <c r="AL19" s="139">
        <v>7.0</v>
      </c>
      <c r="AM19" s="140"/>
      <c r="AN19" s="139">
        <v>8.0</v>
      </c>
      <c r="AO19" s="140"/>
      <c r="AP19" s="62"/>
      <c r="AQ19" s="62"/>
      <c r="AR19" s="62"/>
      <c r="AS19" s="143"/>
      <c r="AT19" s="62"/>
      <c r="AU19" s="143"/>
      <c r="AV19" s="62"/>
      <c r="AW19" s="143"/>
      <c r="AX19" s="141"/>
      <c r="AY19" s="141"/>
      <c r="AZ19" s="62">
        <f t="shared" si="14"/>
        <v>5.831</v>
      </c>
      <c r="BA19" s="121">
        <v>10.0</v>
      </c>
      <c r="BB19" s="123">
        <f>'PROY. INTER'!AX19</f>
        <v>2</v>
      </c>
      <c r="BC19" s="62">
        <f t="shared" si="15"/>
        <v>6</v>
      </c>
      <c r="BD19" s="62">
        <f t="shared" si="16"/>
        <v>1.8</v>
      </c>
      <c r="BE19" s="64">
        <f t="shared" si="17"/>
        <v>7.63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62"/>
      <c r="BW19" s="143"/>
      <c r="BX19" s="62"/>
      <c r="BY19" s="143"/>
      <c r="BZ19" s="62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7</v>
      </c>
      <c r="CQ19" s="129">
        <f t="shared" si="25"/>
        <v>7.63</v>
      </c>
      <c r="CR19" s="129">
        <f t="shared" si="26"/>
        <v>0</v>
      </c>
      <c r="CS19" s="130">
        <f t="shared" si="27"/>
        <v>4.87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4.87</v>
      </c>
      <c r="DB19" s="136"/>
      <c r="DC19" s="137">
        <f t="shared" si="31"/>
        <v>4.87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7.0</v>
      </c>
      <c r="E20" s="140"/>
      <c r="F20" s="140"/>
      <c r="G20" s="140"/>
      <c r="H20" s="139">
        <v>7.0</v>
      </c>
      <c r="I20" s="120"/>
      <c r="J20" s="119">
        <v>7.0</v>
      </c>
      <c r="K20" s="120"/>
      <c r="L20" s="121">
        <v>7.0</v>
      </c>
      <c r="M20" s="62"/>
      <c r="N20" s="62"/>
      <c r="O20" s="62"/>
      <c r="P20" s="62"/>
      <c r="Q20" s="62"/>
      <c r="R20" s="62"/>
      <c r="S20" s="62"/>
      <c r="T20" s="141"/>
      <c r="U20" s="141"/>
      <c r="V20" s="62">
        <f t="shared" si="9"/>
        <v>4.9</v>
      </c>
      <c r="W20" s="121">
        <v>8.0</v>
      </c>
      <c r="X20" s="123">
        <f>'PROY. INTER'!W20</f>
        <v>6</v>
      </c>
      <c r="Y20" s="62">
        <f t="shared" si="10"/>
        <v>7</v>
      </c>
      <c r="Z20" s="62">
        <f t="shared" si="11"/>
        <v>2.1</v>
      </c>
      <c r="AA20" s="64">
        <f t="shared" si="12"/>
        <v>7</v>
      </c>
      <c r="AC20" s="2"/>
      <c r="AE20" s="56">
        <v>9.0</v>
      </c>
      <c r="AF20" s="124" t="str">
        <f t="shared" ref="AF20:AG20" si="57">B20</f>
        <v/>
      </c>
      <c r="AG20" s="65" t="str">
        <f t="shared" si="57"/>
        <v>Chamba Maurad Joshelyn Juleixi</v>
      </c>
      <c r="AH20" s="140"/>
      <c r="AI20" s="140"/>
      <c r="AJ20" s="139">
        <v>10.0</v>
      </c>
      <c r="AK20" s="140"/>
      <c r="AL20" s="139">
        <v>7.0</v>
      </c>
      <c r="AM20" s="140"/>
      <c r="AN20" s="139">
        <v>8.0</v>
      </c>
      <c r="AO20" s="140"/>
      <c r="AP20" s="62"/>
      <c r="AQ20" s="62"/>
      <c r="AR20" s="62"/>
      <c r="AS20" s="143"/>
      <c r="AT20" s="62"/>
      <c r="AU20" s="143"/>
      <c r="AV20" s="62"/>
      <c r="AW20" s="143"/>
      <c r="AX20" s="141"/>
      <c r="AY20" s="141"/>
      <c r="AZ20" s="62">
        <f t="shared" si="14"/>
        <v>5.831</v>
      </c>
      <c r="BA20" s="121">
        <v>8.0</v>
      </c>
      <c r="BB20" s="123">
        <f>'PROY. INTER'!AX20</f>
        <v>10</v>
      </c>
      <c r="BC20" s="62">
        <f t="shared" si="15"/>
        <v>9</v>
      </c>
      <c r="BD20" s="62">
        <f t="shared" si="16"/>
        <v>2.7</v>
      </c>
      <c r="BE20" s="64">
        <f t="shared" si="17"/>
        <v>8.53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62"/>
      <c r="BW20" s="143"/>
      <c r="BX20" s="62"/>
      <c r="BY20" s="143"/>
      <c r="BZ20" s="62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7</v>
      </c>
      <c r="CQ20" s="129">
        <f t="shared" si="25"/>
        <v>8.53</v>
      </c>
      <c r="CR20" s="129">
        <f t="shared" si="26"/>
        <v>0</v>
      </c>
      <c r="CS20" s="130">
        <f t="shared" si="27"/>
        <v>5.17</v>
      </c>
      <c r="CT20" s="131" t="str">
        <f t="shared" si="28"/>
        <v>SUPLETORIO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5.17</v>
      </c>
      <c r="DB20" s="136"/>
      <c r="DC20" s="137">
        <f t="shared" si="31"/>
        <v>5.17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7.0</v>
      </c>
      <c r="E21" s="140"/>
      <c r="F21" s="140"/>
      <c r="G21" s="140"/>
      <c r="H21" s="139">
        <v>7.0</v>
      </c>
      <c r="I21" s="120"/>
      <c r="J21" s="119">
        <v>7.0</v>
      </c>
      <c r="K21" s="120"/>
      <c r="L21" s="121">
        <v>7.0</v>
      </c>
      <c r="M21" s="62"/>
      <c r="N21" s="62"/>
      <c r="O21" s="62"/>
      <c r="P21" s="62"/>
      <c r="Q21" s="62"/>
      <c r="R21" s="62"/>
      <c r="S21" s="62"/>
      <c r="T21" s="141"/>
      <c r="U21" s="141"/>
      <c r="V21" s="62">
        <f t="shared" si="9"/>
        <v>4.9</v>
      </c>
      <c r="W21" s="121">
        <v>8.0</v>
      </c>
      <c r="X21" s="123">
        <f>'PROY. INTER'!W21</f>
        <v>6</v>
      </c>
      <c r="Y21" s="62">
        <f t="shared" si="10"/>
        <v>7</v>
      </c>
      <c r="Z21" s="62">
        <f t="shared" si="11"/>
        <v>2.1</v>
      </c>
      <c r="AA21" s="64">
        <f t="shared" si="12"/>
        <v>7</v>
      </c>
      <c r="AC21" s="2"/>
      <c r="AE21" s="56">
        <v>10.0</v>
      </c>
      <c r="AF21" s="124" t="str">
        <f t="shared" ref="AF21:AG21" si="61">B21</f>
        <v/>
      </c>
      <c r="AG21" s="65" t="str">
        <f t="shared" si="61"/>
        <v>Cedeño Sanchez Josué</v>
      </c>
      <c r="AH21" s="140"/>
      <c r="AI21" s="140"/>
      <c r="AJ21" s="139">
        <v>8.0</v>
      </c>
      <c r="AK21" s="140"/>
      <c r="AL21" s="139">
        <v>8.0</v>
      </c>
      <c r="AM21" s="140"/>
      <c r="AN21" s="139">
        <v>8.0</v>
      </c>
      <c r="AO21" s="140"/>
      <c r="AP21" s="62"/>
      <c r="AQ21" s="62"/>
      <c r="AR21" s="62"/>
      <c r="AS21" s="143"/>
      <c r="AT21" s="62"/>
      <c r="AU21" s="143"/>
      <c r="AV21" s="62"/>
      <c r="AW21" s="143"/>
      <c r="AX21" s="141"/>
      <c r="AY21" s="141"/>
      <c r="AZ21" s="62">
        <f t="shared" si="14"/>
        <v>5.6</v>
      </c>
      <c r="BA21" s="121">
        <v>10.0</v>
      </c>
      <c r="BB21" s="123">
        <f>'PROY. INTER'!AX21</f>
        <v>2</v>
      </c>
      <c r="BC21" s="62">
        <f t="shared" si="15"/>
        <v>6</v>
      </c>
      <c r="BD21" s="62">
        <f t="shared" si="16"/>
        <v>1.8</v>
      </c>
      <c r="BE21" s="64">
        <f t="shared" si="17"/>
        <v>7.4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62"/>
      <c r="BW21" s="143"/>
      <c r="BX21" s="62"/>
      <c r="BY21" s="143"/>
      <c r="BZ21" s="62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7</v>
      </c>
      <c r="CQ21" s="129">
        <f t="shared" si="25"/>
        <v>7.4</v>
      </c>
      <c r="CR21" s="129">
        <f t="shared" si="26"/>
        <v>0</v>
      </c>
      <c r="CS21" s="130">
        <f t="shared" si="27"/>
        <v>4.8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4.8</v>
      </c>
      <c r="DB21" s="136"/>
      <c r="DC21" s="137">
        <f t="shared" si="31"/>
        <v>4.8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40"/>
      <c r="F22" s="140"/>
      <c r="G22" s="140"/>
      <c r="H22" s="139">
        <v>9.0</v>
      </c>
      <c r="I22" s="120"/>
      <c r="J22" s="119">
        <v>10.0</v>
      </c>
      <c r="K22" s="120"/>
      <c r="L22" s="121">
        <v>10.0</v>
      </c>
      <c r="M22" s="62"/>
      <c r="N22" s="62"/>
      <c r="O22" s="62"/>
      <c r="P22" s="62"/>
      <c r="Q22" s="62"/>
      <c r="R22" s="62"/>
      <c r="S22" s="62"/>
      <c r="T22" s="141"/>
      <c r="U22" s="141"/>
      <c r="V22" s="62">
        <f t="shared" si="9"/>
        <v>6.825</v>
      </c>
      <c r="W22" s="121">
        <v>8.0</v>
      </c>
      <c r="X22" s="123">
        <f>'PROY. INTER'!W22</f>
        <v>10</v>
      </c>
      <c r="Y22" s="62">
        <f t="shared" si="10"/>
        <v>9</v>
      </c>
      <c r="Z22" s="62">
        <f t="shared" si="11"/>
        <v>2.7</v>
      </c>
      <c r="AA22" s="64">
        <f t="shared" si="12"/>
        <v>9.52</v>
      </c>
      <c r="AC22" s="2"/>
      <c r="AE22" s="56">
        <v>11.0</v>
      </c>
      <c r="AF22" s="124" t="str">
        <f t="shared" ref="AF22:AG22" si="65">B22</f>
        <v/>
      </c>
      <c r="AG22" s="65" t="str">
        <f t="shared" si="65"/>
        <v>Espinoza Martinez Stefano Juliano</v>
      </c>
      <c r="AH22" s="140"/>
      <c r="AI22" s="140"/>
      <c r="AJ22" s="139">
        <v>9.0</v>
      </c>
      <c r="AK22" s="140"/>
      <c r="AL22" s="139">
        <v>10.0</v>
      </c>
      <c r="AM22" s="140"/>
      <c r="AN22" s="139">
        <v>10.0</v>
      </c>
      <c r="AO22" s="140"/>
      <c r="AP22" s="62"/>
      <c r="AQ22" s="62"/>
      <c r="AR22" s="62"/>
      <c r="AS22" s="143"/>
      <c r="AT22" s="62"/>
      <c r="AU22" s="143"/>
      <c r="AV22" s="62"/>
      <c r="AW22" s="143"/>
      <c r="AX22" s="141"/>
      <c r="AY22" s="141"/>
      <c r="AZ22" s="62">
        <f t="shared" si="14"/>
        <v>6.762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9.76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62"/>
      <c r="BW22" s="143"/>
      <c r="BX22" s="62"/>
      <c r="BY22" s="143"/>
      <c r="BZ22" s="62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9.52</v>
      </c>
      <c r="CQ22" s="129">
        <f t="shared" si="25"/>
        <v>9.76</v>
      </c>
      <c r="CR22" s="129">
        <f t="shared" si="26"/>
        <v>0</v>
      </c>
      <c r="CS22" s="130">
        <f t="shared" si="27"/>
        <v>6.42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6.42</v>
      </c>
      <c r="DB22" s="136"/>
      <c r="DC22" s="137">
        <f t="shared" si="31"/>
        <v>6.42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9.0</v>
      </c>
      <c r="E23" s="140"/>
      <c r="F23" s="140"/>
      <c r="G23" s="140"/>
      <c r="H23" s="139">
        <v>10.0</v>
      </c>
      <c r="I23" s="120"/>
      <c r="J23" s="119">
        <v>9.0</v>
      </c>
      <c r="K23" s="120"/>
      <c r="L23" s="121">
        <v>10.0</v>
      </c>
      <c r="M23" s="62"/>
      <c r="N23" s="62"/>
      <c r="O23" s="62"/>
      <c r="P23" s="62"/>
      <c r="Q23" s="62"/>
      <c r="R23" s="62"/>
      <c r="S23" s="62"/>
      <c r="T23" s="141"/>
      <c r="U23" s="141"/>
      <c r="V23" s="62">
        <f t="shared" si="9"/>
        <v>6.65</v>
      </c>
      <c r="W23" s="121">
        <v>9.0</v>
      </c>
      <c r="X23" s="123">
        <f>'PROY. INTER'!W23</f>
        <v>7.2</v>
      </c>
      <c r="Y23" s="62">
        <f t="shared" si="10"/>
        <v>8.1</v>
      </c>
      <c r="Z23" s="62">
        <f t="shared" si="11"/>
        <v>2.43</v>
      </c>
      <c r="AA23" s="64">
        <f t="shared" si="12"/>
        <v>9.08</v>
      </c>
      <c r="AC23" s="2"/>
      <c r="AE23" s="56">
        <v>12.0</v>
      </c>
      <c r="AF23" s="124" t="str">
        <f t="shared" ref="AF23:AG23" si="69">B23</f>
        <v/>
      </c>
      <c r="AG23" s="65" t="str">
        <f t="shared" si="69"/>
        <v>Espinoza Morante Melany Ginger</v>
      </c>
      <c r="AH23" s="140"/>
      <c r="AI23" s="140"/>
      <c r="AJ23" s="139">
        <v>10.0</v>
      </c>
      <c r="AK23" s="140"/>
      <c r="AL23" s="139">
        <v>9.0</v>
      </c>
      <c r="AM23" s="140"/>
      <c r="AN23" s="139">
        <v>9.0</v>
      </c>
      <c r="AO23" s="140"/>
      <c r="AP23" s="62"/>
      <c r="AQ23" s="62"/>
      <c r="AR23" s="62"/>
      <c r="AS23" s="143"/>
      <c r="AT23" s="62"/>
      <c r="AU23" s="143"/>
      <c r="AV23" s="62"/>
      <c r="AW23" s="143"/>
      <c r="AX23" s="141"/>
      <c r="AY23" s="141"/>
      <c r="AZ23" s="62">
        <f t="shared" si="14"/>
        <v>6.531</v>
      </c>
      <c r="BA23" s="121">
        <v>9.0</v>
      </c>
      <c r="BB23" s="123">
        <f>'PROY. INTER'!AX23</f>
        <v>10</v>
      </c>
      <c r="BC23" s="62">
        <f t="shared" si="15"/>
        <v>9.5</v>
      </c>
      <c r="BD23" s="62">
        <f t="shared" si="16"/>
        <v>2.85</v>
      </c>
      <c r="BE23" s="64">
        <f t="shared" si="17"/>
        <v>9.38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62"/>
      <c r="BW23" s="143"/>
      <c r="BX23" s="62"/>
      <c r="BY23" s="143"/>
      <c r="BZ23" s="62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9.08</v>
      </c>
      <c r="CQ23" s="129">
        <f t="shared" si="25"/>
        <v>9.38</v>
      </c>
      <c r="CR23" s="129">
        <f t="shared" si="26"/>
        <v>0</v>
      </c>
      <c r="CS23" s="130">
        <f t="shared" si="27"/>
        <v>6.15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6.15</v>
      </c>
      <c r="DB23" s="136"/>
      <c r="DC23" s="137">
        <f t="shared" si="31"/>
        <v>6.15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10.0</v>
      </c>
      <c r="E24" s="140"/>
      <c r="F24" s="140"/>
      <c r="G24" s="140"/>
      <c r="H24" s="139">
        <v>8.0</v>
      </c>
      <c r="I24" s="120"/>
      <c r="J24" s="119">
        <v>10.0</v>
      </c>
      <c r="K24" s="120"/>
      <c r="L24" s="121">
        <v>8.0</v>
      </c>
      <c r="M24" s="62"/>
      <c r="N24" s="62"/>
      <c r="O24" s="62"/>
      <c r="P24" s="62"/>
      <c r="Q24" s="62"/>
      <c r="R24" s="62"/>
      <c r="S24" s="62"/>
      <c r="T24" s="141"/>
      <c r="U24" s="141"/>
      <c r="V24" s="62">
        <f t="shared" si="9"/>
        <v>6.3</v>
      </c>
      <c r="W24" s="121">
        <v>8.0</v>
      </c>
      <c r="X24" s="123">
        <f>'PROY. INTER'!W24</f>
        <v>9</v>
      </c>
      <c r="Y24" s="62">
        <f t="shared" si="10"/>
        <v>8.5</v>
      </c>
      <c r="Z24" s="62">
        <f t="shared" si="11"/>
        <v>2.55</v>
      </c>
      <c r="AA24" s="64">
        <f t="shared" si="12"/>
        <v>8.85</v>
      </c>
      <c r="AC24" s="2"/>
      <c r="AE24" s="56">
        <v>13.0</v>
      </c>
      <c r="AF24" s="124" t="str">
        <f t="shared" ref="AF24:AG24" si="73">B24</f>
        <v/>
      </c>
      <c r="AG24" s="65" t="str">
        <f t="shared" si="73"/>
        <v>Garrido franco Génesis Lissette</v>
      </c>
      <c r="AH24" s="140"/>
      <c r="AI24" s="140"/>
      <c r="AJ24" s="139">
        <v>8.0</v>
      </c>
      <c r="AK24" s="140"/>
      <c r="AL24" s="139">
        <v>9.0</v>
      </c>
      <c r="AM24" s="140"/>
      <c r="AN24" s="139">
        <v>10.0</v>
      </c>
      <c r="AO24" s="140"/>
      <c r="AP24" s="62"/>
      <c r="AQ24" s="62"/>
      <c r="AR24" s="62"/>
      <c r="AS24" s="143"/>
      <c r="AT24" s="62"/>
      <c r="AU24" s="143"/>
      <c r="AV24" s="62"/>
      <c r="AW24" s="143"/>
      <c r="AX24" s="141"/>
      <c r="AY24" s="141"/>
      <c r="AZ24" s="62">
        <f t="shared" si="14"/>
        <v>6.3</v>
      </c>
      <c r="BA24" s="121">
        <v>9.0</v>
      </c>
      <c r="BB24" s="123">
        <f>'PROY. INTER'!AX24</f>
        <v>10</v>
      </c>
      <c r="BC24" s="62">
        <f t="shared" si="15"/>
        <v>9.5</v>
      </c>
      <c r="BD24" s="62">
        <f t="shared" si="16"/>
        <v>2.85</v>
      </c>
      <c r="BE24" s="64">
        <f t="shared" si="17"/>
        <v>9.15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62"/>
      <c r="BW24" s="143"/>
      <c r="BX24" s="62"/>
      <c r="BY24" s="143"/>
      <c r="BZ24" s="62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8.85</v>
      </c>
      <c r="CQ24" s="129">
        <f t="shared" si="25"/>
        <v>9.15</v>
      </c>
      <c r="CR24" s="129">
        <f t="shared" si="26"/>
        <v>0</v>
      </c>
      <c r="CS24" s="130">
        <f t="shared" si="27"/>
        <v>6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</v>
      </c>
      <c r="DB24" s="136"/>
      <c r="DC24" s="137">
        <f t="shared" si="31"/>
        <v>6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7.0</v>
      </c>
      <c r="E25" s="140"/>
      <c r="F25" s="140"/>
      <c r="G25" s="140"/>
      <c r="H25" s="139">
        <v>7.0</v>
      </c>
      <c r="I25" s="140"/>
      <c r="J25" s="139">
        <v>7.0</v>
      </c>
      <c r="K25" s="140"/>
      <c r="L25" s="121">
        <v>7.0</v>
      </c>
      <c r="M25" s="62"/>
      <c r="N25" s="143"/>
      <c r="O25" s="143"/>
      <c r="P25" s="143"/>
      <c r="Q25" s="143"/>
      <c r="R25" s="143"/>
      <c r="S25" s="143"/>
      <c r="T25" s="141"/>
      <c r="U25" s="141"/>
      <c r="V25" s="62">
        <f t="shared" si="9"/>
        <v>4.9</v>
      </c>
      <c r="W25" s="121">
        <v>8.0</v>
      </c>
      <c r="X25" s="123">
        <f>'PROY. INTER'!W25</f>
        <v>6</v>
      </c>
      <c r="Y25" s="62">
        <f t="shared" si="10"/>
        <v>7</v>
      </c>
      <c r="Z25" s="62">
        <f t="shared" si="11"/>
        <v>2.1</v>
      </c>
      <c r="AA25" s="64">
        <f t="shared" si="12"/>
        <v>7</v>
      </c>
      <c r="AC25" s="2"/>
      <c r="AE25" s="56">
        <v>14.0</v>
      </c>
      <c r="AF25" s="124" t="str">
        <f t="shared" ref="AF25:AG25" si="77">B25</f>
        <v/>
      </c>
      <c r="AG25" s="65" t="str">
        <f t="shared" si="77"/>
        <v>Gonzalez Gonzalez Jean Carlos</v>
      </c>
      <c r="AH25" s="140"/>
      <c r="AI25" s="140"/>
      <c r="AJ25" s="139">
        <v>10.0</v>
      </c>
      <c r="AK25" s="140"/>
      <c r="AL25" s="139">
        <v>8.0</v>
      </c>
      <c r="AM25" s="140"/>
      <c r="AN25" s="139">
        <v>8.0</v>
      </c>
      <c r="AO25" s="140"/>
      <c r="AP25" s="62"/>
      <c r="AQ25" s="62"/>
      <c r="AR25" s="62"/>
      <c r="AS25" s="143"/>
      <c r="AT25" s="62"/>
      <c r="AU25" s="143"/>
      <c r="AV25" s="62"/>
      <c r="AW25" s="143"/>
      <c r="AX25" s="141"/>
      <c r="AY25" s="141"/>
      <c r="AZ25" s="62">
        <f t="shared" si="14"/>
        <v>6.062</v>
      </c>
      <c r="BA25" s="121">
        <v>9.0</v>
      </c>
      <c r="BB25" s="123">
        <f>'PROY. INTER'!AX25</f>
        <v>10</v>
      </c>
      <c r="BC25" s="62">
        <f t="shared" si="15"/>
        <v>9.5</v>
      </c>
      <c r="BD25" s="62">
        <f t="shared" si="16"/>
        <v>2.85</v>
      </c>
      <c r="BE25" s="64">
        <f t="shared" si="17"/>
        <v>8.91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62"/>
      <c r="BW25" s="143"/>
      <c r="BX25" s="62"/>
      <c r="BY25" s="143"/>
      <c r="BZ25" s="62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7</v>
      </c>
      <c r="CQ25" s="129">
        <f t="shared" si="25"/>
        <v>8.91</v>
      </c>
      <c r="CR25" s="129">
        <f t="shared" si="26"/>
        <v>0</v>
      </c>
      <c r="CS25" s="130">
        <f t="shared" si="27"/>
        <v>5.3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5.3</v>
      </c>
      <c r="DB25" s="136"/>
      <c r="DC25" s="137">
        <f t="shared" si="31"/>
        <v>5.3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9.0</v>
      </c>
      <c r="E26" s="140"/>
      <c r="F26" s="140"/>
      <c r="G26" s="140"/>
      <c r="H26" s="139">
        <v>7.0</v>
      </c>
      <c r="I26" s="120"/>
      <c r="J26" s="119">
        <v>8.0</v>
      </c>
      <c r="K26" s="120"/>
      <c r="L26" s="121">
        <v>9.0</v>
      </c>
      <c r="M26" s="62"/>
      <c r="N26" s="62"/>
      <c r="O26" s="62"/>
      <c r="P26" s="62"/>
      <c r="Q26" s="62"/>
      <c r="R26" s="62"/>
      <c r="S26" s="62"/>
      <c r="T26" s="141"/>
      <c r="U26" s="141"/>
      <c r="V26" s="62">
        <f t="shared" si="9"/>
        <v>5.775</v>
      </c>
      <c r="W26" s="121">
        <v>9.0</v>
      </c>
      <c r="X26" s="123">
        <f>'PROY. INTER'!W26</f>
        <v>7.73</v>
      </c>
      <c r="Y26" s="62">
        <f t="shared" si="10"/>
        <v>8.365</v>
      </c>
      <c r="Z26" s="62">
        <f t="shared" si="11"/>
        <v>2.5095</v>
      </c>
      <c r="AA26" s="64">
        <f t="shared" si="12"/>
        <v>8.28</v>
      </c>
      <c r="AC26" s="2"/>
      <c r="AE26" s="56">
        <v>15.0</v>
      </c>
      <c r="AF26" s="124" t="str">
        <f t="shared" ref="AF26:AG26" si="81">B26</f>
        <v/>
      </c>
      <c r="AG26" s="65" t="str">
        <f t="shared" si="81"/>
        <v>Guevara Benites Jean Pierre</v>
      </c>
      <c r="AH26" s="140"/>
      <c r="AI26" s="140"/>
      <c r="AJ26" s="139">
        <v>9.0</v>
      </c>
      <c r="AK26" s="140"/>
      <c r="AL26" s="139">
        <v>9.0</v>
      </c>
      <c r="AM26" s="140"/>
      <c r="AN26" s="139">
        <v>8.0</v>
      </c>
      <c r="AO26" s="140"/>
      <c r="AP26" s="62"/>
      <c r="AQ26" s="62"/>
      <c r="AR26" s="62"/>
      <c r="AS26" s="143"/>
      <c r="AT26" s="62"/>
      <c r="AU26" s="143"/>
      <c r="AV26" s="62"/>
      <c r="AW26" s="143"/>
      <c r="AX26" s="141"/>
      <c r="AY26" s="141"/>
      <c r="AZ26" s="62">
        <f t="shared" si="14"/>
        <v>6.062</v>
      </c>
      <c r="BA26" s="121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8.91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62"/>
      <c r="BW26" s="143"/>
      <c r="BX26" s="62"/>
      <c r="BY26" s="143"/>
      <c r="BZ26" s="62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8.28</v>
      </c>
      <c r="CQ26" s="129">
        <f t="shared" si="25"/>
        <v>8.91</v>
      </c>
      <c r="CR26" s="129">
        <f t="shared" si="26"/>
        <v>0</v>
      </c>
      <c r="CS26" s="130">
        <f t="shared" si="27"/>
        <v>5.73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5.73</v>
      </c>
      <c r="DB26" s="136"/>
      <c r="DC26" s="137">
        <f t="shared" si="31"/>
        <v>5.73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7.0</v>
      </c>
      <c r="E27" s="140"/>
      <c r="F27" s="140"/>
      <c r="G27" s="140"/>
      <c r="H27" s="139">
        <v>7.0</v>
      </c>
      <c r="I27" s="120"/>
      <c r="J27" s="119">
        <v>7.0</v>
      </c>
      <c r="K27" s="120"/>
      <c r="L27" s="121">
        <v>8.0</v>
      </c>
      <c r="M27" s="62"/>
      <c r="N27" s="62"/>
      <c r="O27" s="62"/>
      <c r="P27" s="62"/>
      <c r="Q27" s="62"/>
      <c r="R27" s="62"/>
      <c r="S27" s="62"/>
      <c r="T27" s="141"/>
      <c r="U27" s="141"/>
      <c r="V27" s="62">
        <f t="shared" si="9"/>
        <v>5.075</v>
      </c>
      <c r="W27" s="121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12"/>
        <v>7.02</v>
      </c>
      <c r="AC27" s="2"/>
      <c r="AE27" s="56">
        <v>16.0</v>
      </c>
      <c r="AF27" s="124" t="str">
        <f t="shared" ref="AF27:AG27" si="85">B27</f>
        <v/>
      </c>
      <c r="AG27" s="65" t="str">
        <f t="shared" si="85"/>
        <v>Mero Carcamo Adriana Carolina</v>
      </c>
      <c r="AH27" s="140"/>
      <c r="AI27" s="140"/>
      <c r="AJ27" s="139">
        <v>8.0</v>
      </c>
      <c r="AK27" s="140"/>
      <c r="AL27" s="139">
        <v>9.0</v>
      </c>
      <c r="AM27" s="140"/>
      <c r="AN27" s="139">
        <v>9.0</v>
      </c>
      <c r="AO27" s="140"/>
      <c r="AP27" s="62"/>
      <c r="AQ27" s="62"/>
      <c r="AR27" s="62"/>
      <c r="AS27" s="143"/>
      <c r="AT27" s="62"/>
      <c r="AU27" s="143"/>
      <c r="AV27" s="62"/>
      <c r="AW27" s="143"/>
      <c r="AX27" s="141"/>
      <c r="AY27" s="141"/>
      <c r="AZ27" s="62">
        <f t="shared" si="14"/>
        <v>6.062</v>
      </c>
      <c r="BA27" s="121">
        <v>9.0</v>
      </c>
      <c r="BB27" s="123">
        <f>'PROY. INTER'!AX27</f>
        <v>2</v>
      </c>
      <c r="BC27" s="62">
        <f t="shared" si="15"/>
        <v>5.5</v>
      </c>
      <c r="BD27" s="62">
        <f t="shared" si="16"/>
        <v>1.65</v>
      </c>
      <c r="BE27" s="64">
        <f t="shared" si="17"/>
        <v>7.71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62"/>
      <c r="BW27" s="143"/>
      <c r="BX27" s="62"/>
      <c r="BY27" s="143"/>
      <c r="BZ27" s="62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7.02</v>
      </c>
      <c r="CQ27" s="129">
        <f t="shared" si="25"/>
        <v>7.71</v>
      </c>
      <c r="CR27" s="129">
        <f t="shared" si="26"/>
        <v>0</v>
      </c>
      <c r="CS27" s="130">
        <f t="shared" si="27"/>
        <v>4.91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4.91</v>
      </c>
      <c r="DB27" s="136"/>
      <c r="DC27" s="137">
        <f t="shared" si="31"/>
        <v>4.91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9.0</v>
      </c>
      <c r="E28" s="140"/>
      <c r="F28" s="140"/>
      <c r="G28" s="140"/>
      <c r="H28" s="139">
        <v>10.0</v>
      </c>
      <c r="I28" s="120"/>
      <c r="J28" s="119">
        <v>10.0</v>
      </c>
      <c r="K28" s="120"/>
      <c r="L28" s="121">
        <v>10.0</v>
      </c>
      <c r="M28" s="62"/>
      <c r="N28" s="62"/>
      <c r="O28" s="62"/>
      <c r="P28" s="62"/>
      <c r="Q28" s="62"/>
      <c r="R28" s="62"/>
      <c r="S28" s="62"/>
      <c r="T28" s="141"/>
      <c r="U28" s="141"/>
      <c r="V28" s="62">
        <f t="shared" si="9"/>
        <v>6.825</v>
      </c>
      <c r="W28" s="121">
        <v>9.0</v>
      </c>
      <c r="X28" s="123">
        <f>'PROY. INTER'!W28</f>
        <v>9.73</v>
      </c>
      <c r="Y28" s="62">
        <f t="shared" si="10"/>
        <v>9.365</v>
      </c>
      <c r="Z28" s="62">
        <f t="shared" si="11"/>
        <v>2.8095</v>
      </c>
      <c r="AA28" s="64">
        <f t="shared" si="12"/>
        <v>9.63</v>
      </c>
      <c r="AC28" s="2"/>
      <c r="AE28" s="56">
        <v>17.0</v>
      </c>
      <c r="AF28" s="124" t="str">
        <f t="shared" ref="AF28:AG28" si="89">B28</f>
        <v/>
      </c>
      <c r="AG28" s="65" t="str">
        <f t="shared" si="89"/>
        <v>Moreira Villamar Darwin Matias</v>
      </c>
      <c r="AH28" s="140"/>
      <c r="AI28" s="140"/>
      <c r="AJ28" s="139">
        <v>10.0</v>
      </c>
      <c r="AK28" s="140"/>
      <c r="AL28" s="139">
        <v>10.0</v>
      </c>
      <c r="AM28" s="140"/>
      <c r="AN28" s="139">
        <v>10.0</v>
      </c>
      <c r="AO28" s="140"/>
      <c r="AP28" s="62"/>
      <c r="AQ28" s="62"/>
      <c r="AR28" s="62"/>
      <c r="AS28" s="143"/>
      <c r="AT28" s="62"/>
      <c r="AU28" s="143"/>
      <c r="AV28" s="62"/>
      <c r="AW28" s="143"/>
      <c r="AX28" s="141"/>
      <c r="AY28" s="141"/>
      <c r="AZ28" s="62">
        <f t="shared" si="14"/>
        <v>7</v>
      </c>
      <c r="BA28" s="121">
        <v>10.0</v>
      </c>
      <c r="BB28" s="123">
        <f>'PROY. INTER'!AX28</f>
        <v>10</v>
      </c>
      <c r="BC28" s="62">
        <f t="shared" si="15"/>
        <v>10</v>
      </c>
      <c r="BD28" s="62">
        <f t="shared" si="16"/>
        <v>3</v>
      </c>
      <c r="BE28" s="64">
        <f t="shared" si="17"/>
        <v>10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62"/>
      <c r="BW28" s="143"/>
      <c r="BX28" s="62"/>
      <c r="BY28" s="143"/>
      <c r="BZ28" s="62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9.63</v>
      </c>
      <c r="CQ28" s="129">
        <f t="shared" si="25"/>
        <v>10</v>
      </c>
      <c r="CR28" s="129">
        <f t="shared" si="26"/>
        <v>0</v>
      </c>
      <c r="CS28" s="130">
        <f t="shared" si="27"/>
        <v>6.54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6.54</v>
      </c>
      <c r="DB28" s="136"/>
      <c r="DC28" s="137">
        <f t="shared" si="31"/>
        <v>6.54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40"/>
      <c r="F29" s="140"/>
      <c r="G29" s="140"/>
      <c r="H29" s="139">
        <v>10.0</v>
      </c>
      <c r="I29" s="120"/>
      <c r="J29" s="119">
        <v>10.0</v>
      </c>
      <c r="K29" s="120"/>
      <c r="L29" s="121">
        <v>10.0</v>
      </c>
      <c r="M29" s="62"/>
      <c r="N29" s="62"/>
      <c r="O29" s="62"/>
      <c r="P29" s="62"/>
      <c r="Q29" s="62"/>
      <c r="R29" s="62"/>
      <c r="S29" s="62"/>
      <c r="T29" s="141"/>
      <c r="U29" s="141"/>
      <c r="V29" s="62">
        <f t="shared" si="9"/>
        <v>7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9.88</v>
      </c>
      <c r="AC29" s="2"/>
      <c r="AE29" s="56">
        <v>18.0</v>
      </c>
      <c r="AF29" s="124" t="str">
        <f t="shared" ref="AF29:AG29" si="93">B29</f>
        <v/>
      </c>
      <c r="AG29" s="65" t="str">
        <f t="shared" si="93"/>
        <v>Peña Macias Enrique Alexander</v>
      </c>
      <c r="AH29" s="140"/>
      <c r="AI29" s="140"/>
      <c r="AJ29" s="139">
        <v>10.0</v>
      </c>
      <c r="AK29" s="140"/>
      <c r="AL29" s="139">
        <v>9.0</v>
      </c>
      <c r="AM29" s="140"/>
      <c r="AN29" s="139">
        <v>9.0</v>
      </c>
      <c r="AO29" s="140"/>
      <c r="AP29" s="62"/>
      <c r="AQ29" s="62"/>
      <c r="AR29" s="62"/>
      <c r="AS29" s="143"/>
      <c r="AT29" s="62"/>
      <c r="AU29" s="143"/>
      <c r="AV29" s="62"/>
      <c r="AW29" s="143"/>
      <c r="AX29" s="141"/>
      <c r="AY29" s="141"/>
      <c r="AZ29" s="62">
        <f t="shared" si="14"/>
        <v>6.531</v>
      </c>
      <c r="BA29" s="121">
        <v>10.0</v>
      </c>
      <c r="BB29" s="123">
        <f>'PROY. INTER'!AX29</f>
        <v>10</v>
      </c>
      <c r="BC29" s="62">
        <f t="shared" si="15"/>
        <v>10</v>
      </c>
      <c r="BD29" s="62">
        <f t="shared" si="16"/>
        <v>3</v>
      </c>
      <c r="BE29" s="64">
        <f t="shared" si="17"/>
        <v>9.53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62"/>
      <c r="BW29" s="143"/>
      <c r="BX29" s="62"/>
      <c r="BY29" s="143"/>
      <c r="BZ29" s="62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9.88</v>
      </c>
      <c r="CQ29" s="129">
        <f t="shared" si="25"/>
        <v>9.53</v>
      </c>
      <c r="CR29" s="129">
        <f t="shared" si="26"/>
        <v>0</v>
      </c>
      <c r="CS29" s="130">
        <f t="shared" si="27"/>
        <v>6.47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6.47</v>
      </c>
      <c r="DB29" s="136"/>
      <c r="DC29" s="137">
        <f t="shared" si="31"/>
        <v>6.47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10.0</v>
      </c>
      <c r="E30" s="140"/>
      <c r="F30" s="140"/>
      <c r="G30" s="140"/>
      <c r="H30" s="139">
        <v>9.0</v>
      </c>
      <c r="I30" s="120"/>
      <c r="J30" s="119">
        <v>10.0</v>
      </c>
      <c r="K30" s="120"/>
      <c r="L30" s="121">
        <v>9.0</v>
      </c>
      <c r="M30" s="62"/>
      <c r="N30" s="62"/>
      <c r="O30" s="62"/>
      <c r="P30" s="62"/>
      <c r="Q30" s="62"/>
      <c r="R30" s="62"/>
      <c r="S30" s="62"/>
      <c r="T30" s="141"/>
      <c r="U30" s="141"/>
      <c r="V30" s="62">
        <f t="shared" si="9"/>
        <v>6.65</v>
      </c>
      <c r="W30" s="121">
        <v>8.0</v>
      </c>
      <c r="X30" s="123">
        <f>'PROY. INTER'!W30</f>
        <v>9.47</v>
      </c>
      <c r="Y30" s="62">
        <f t="shared" si="10"/>
        <v>8.735</v>
      </c>
      <c r="Z30" s="62">
        <f t="shared" si="11"/>
        <v>2.6205</v>
      </c>
      <c r="AA30" s="64">
        <f t="shared" si="12"/>
        <v>9.27</v>
      </c>
      <c r="AC30" s="2"/>
      <c r="AE30" s="56">
        <v>19.0</v>
      </c>
      <c r="AF30" s="124" t="str">
        <f t="shared" ref="AF30:AG30" si="97">B30</f>
        <v/>
      </c>
      <c r="AG30" s="65" t="str">
        <f t="shared" si="97"/>
        <v>Roman Arreaga Stefani Asley</v>
      </c>
      <c r="AH30" s="140"/>
      <c r="AI30" s="140"/>
      <c r="AJ30" s="139">
        <v>9.0</v>
      </c>
      <c r="AK30" s="140"/>
      <c r="AL30" s="139">
        <v>10.0</v>
      </c>
      <c r="AM30" s="140"/>
      <c r="AN30" s="139">
        <v>9.0</v>
      </c>
      <c r="AO30" s="140"/>
      <c r="AP30" s="62"/>
      <c r="AQ30" s="62"/>
      <c r="AR30" s="62"/>
      <c r="AS30" s="143"/>
      <c r="AT30" s="62"/>
      <c r="AU30" s="143"/>
      <c r="AV30" s="62"/>
      <c r="AW30" s="143"/>
      <c r="AX30" s="141"/>
      <c r="AY30" s="141"/>
      <c r="AZ30" s="62">
        <f t="shared" si="14"/>
        <v>6.531</v>
      </c>
      <c r="BA30" s="121">
        <v>10.0</v>
      </c>
      <c r="BB30" s="123">
        <f>'PROY. INTER'!AX30</f>
        <v>10</v>
      </c>
      <c r="BC30" s="62">
        <f t="shared" si="15"/>
        <v>10</v>
      </c>
      <c r="BD30" s="62">
        <f t="shared" si="16"/>
        <v>3</v>
      </c>
      <c r="BE30" s="64">
        <f t="shared" si="17"/>
        <v>9.53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62"/>
      <c r="BW30" s="143"/>
      <c r="BX30" s="62"/>
      <c r="BY30" s="143"/>
      <c r="BZ30" s="62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9.27</v>
      </c>
      <c r="CQ30" s="129">
        <f t="shared" si="25"/>
        <v>9.53</v>
      </c>
      <c r="CR30" s="129">
        <f t="shared" si="26"/>
        <v>0</v>
      </c>
      <c r="CS30" s="130">
        <f t="shared" si="27"/>
        <v>6.26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6.26</v>
      </c>
      <c r="DB30" s="136"/>
      <c r="DC30" s="137">
        <f t="shared" si="31"/>
        <v>6.26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40"/>
      <c r="F31" s="140"/>
      <c r="G31" s="140"/>
      <c r="H31" s="139">
        <v>10.0</v>
      </c>
      <c r="I31" s="120"/>
      <c r="J31" s="119">
        <v>10.0</v>
      </c>
      <c r="K31" s="120"/>
      <c r="L31" s="121">
        <v>10.0</v>
      </c>
      <c r="M31" s="62"/>
      <c r="N31" s="62"/>
      <c r="O31" s="62"/>
      <c r="P31" s="62"/>
      <c r="Q31" s="62"/>
      <c r="R31" s="62"/>
      <c r="S31" s="62"/>
      <c r="T31" s="141"/>
      <c r="U31" s="141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65" t="str">
        <f t="shared" si="101"/>
        <v>Sánchez Ponce Sandra Stefania</v>
      </c>
      <c r="AH31" s="140"/>
      <c r="AI31" s="140"/>
      <c r="AJ31" s="139">
        <v>10.0</v>
      </c>
      <c r="AK31" s="140"/>
      <c r="AL31" s="139">
        <v>10.0</v>
      </c>
      <c r="AM31" s="140"/>
      <c r="AN31" s="139">
        <v>10.0</v>
      </c>
      <c r="AO31" s="140"/>
      <c r="AP31" s="62"/>
      <c r="AQ31" s="62"/>
      <c r="AR31" s="62"/>
      <c r="AS31" s="143"/>
      <c r="AT31" s="62"/>
      <c r="AU31" s="143"/>
      <c r="AV31" s="62"/>
      <c r="AW31" s="143"/>
      <c r="AX31" s="141"/>
      <c r="AY31" s="141"/>
      <c r="AZ31" s="62">
        <f t="shared" si="14"/>
        <v>7</v>
      </c>
      <c r="BA31" s="121">
        <v>8.0</v>
      </c>
      <c r="BB31" s="123">
        <f>'PROY. INTER'!AX31</f>
        <v>10</v>
      </c>
      <c r="BC31" s="62">
        <f t="shared" si="15"/>
        <v>9</v>
      </c>
      <c r="BD31" s="62">
        <f t="shared" si="16"/>
        <v>2.7</v>
      </c>
      <c r="BE31" s="64">
        <f t="shared" si="17"/>
        <v>9.7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62"/>
      <c r="BW31" s="143"/>
      <c r="BX31" s="62"/>
      <c r="BY31" s="143"/>
      <c r="BZ31" s="62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9.7</v>
      </c>
      <c r="CR31" s="129">
        <f t="shared" si="26"/>
        <v>0</v>
      </c>
      <c r="CS31" s="130">
        <f t="shared" si="27"/>
        <v>6.56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6.56</v>
      </c>
      <c r="DB31" s="136"/>
      <c r="DC31" s="137">
        <f t="shared" si="31"/>
        <v>6.56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8.0</v>
      </c>
      <c r="E32" s="140"/>
      <c r="F32" s="140"/>
      <c r="G32" s="140"/>
      <c r="H32" s="139">
        <v>8.0</v>
      </c>
      <c r="I32" s="120"/>
      <c r="J32" s="119">
        <v>8.0</v>
      </c>
      <c r="K32" s="120"/>
      <c r="L32" s="121">
        <v>9.0</v>
      </c>
      <c r="M32" s="62"/>
      <c r="N32" s="62"/>
      <c r="O32" s="62"/>
      <c r="P32" s="62"/>
      <c r="Q32" s="62"/>
      <c r="R32" s="62"/>
      <c r="S32" s="62"/>
      <c r="T32" s="141"/>
      <c r="U32" s="141"/>
      <c r="V32" s="62">
        <f t="shared" si="9"/>
        <v>5.775</v>
      </c>
      <c r="W32" s="121">
        <v>10.0</v>
      </c>
      <c r="X32" s="123">
        <f>'PROY. INTER'!W32</f>
        <v>6.47</v>
      </c>
      <c r="Y32" s="62">
        <f t="shared" si="10"/>
        <v>8.235</v>
      </c>
      <c r="Z32" s="62">
        <f t="shared" si="11"/>
        <v>2.4705</v>
      </c>
      <c r="AA32" s="64">
        <f t="shared" si="12"/>
        <v>8.24</v>
      </c>
      <c r="AC32" s="2"/>
      <c r="AE32" s="56">
        <v>21.0</v>
      </c>
      <c r="AF32" s="124" t="str">
        <f t="shared" ref="AF32:AG32" si="105">B32</f>
        <v/>
      </c>
      <c r="AG32" s="65" t="str">
        <f t="shared" si="105"/>
        <v>Torres Vera Anderson</v>
      </c>
      <c r="AH32" s="140"/>
      <c r="AI32" s="140"/>
      <c r="AJ32" s="139">
        <v>10.0</v>
      </c>
      <c r="AK32" s="140"/>
      <c r="AL32" s="139">
        <v>8.0</v>
      </c>
      <c r="AM32" s="140"/>
      <c r="AN32" s="139">
        <v>8.0</v>
      </c>
      <c r="AO32" s="140"/>
      <c r="AP32" s="62"/>
      <c r="AQ32" s="62"/>
      <c r="AR32" s="62"/>
      <c r="AS32" s="143"/>
      <c r="AT32" s="62"/>
      <c r="AU32" s="143"/>
      <c r="AV32" s="62"/>
      <c r="AW32" s="143"/>
      <c r="AX32" s="141"/>
      <c r="AY32" s="141"/>
      <c r="AZ32" s="62">
        <f t="shared" si="14"/>
        <v>6.062</v>
      </c>
      <c r="BA32" s="121">
        <v>10.0</v>
      </c>
      <c r="BB32" s="123">
        <f>'PROY. INTER'!AX32</f>
        <v>10</v>
      </c>
      <c r="BC32" s="62">
        <f t="shared" si="15"/>
        <v>10</v>
      </c>
      <c r="BD32" s="62">
        <f t="shared" si="16"/>
        <v>3</v>
      </c>
      <c r="BE32" s="64">
        <f t="shared" si="17"/>
        <v>9.06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62"/>
      <c r="BW32" s="143"/>
      <c r="BX32" s="62"/>
      <c r="BY32" s="143"/>
      <c r="BZ32" s="62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8.24</v>
      </c>
      <c r="CQ32" s="129">
        <f t="shared" si="25"/>
        <v>9.06</v>
      </c>
      <c r="CR32" s="129">
        <f t="shared" si="26"/>
        <v>0</v>
      </c>
      <c r="CS32" s="130">
        <f t="shared" si="27"/>
        <v>5.76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5.76</v>
      </c>
      <c r="DB32" s="136"/>
      <c r="DC32" s="137">
        <f t="shared" si="31"/>
        <v>5.76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7.0</v>
      </c>
      <c r="E33" s="140"/>
      <c r="F33" s="140"/>
      <c r="G33" s="140"/>
      <c r="H33" s="139">
        <v>7.0</v>
      </c>
      <c r="I33" s="120"/>
      <c r="J33" s="119">
        <v>7.0</v>
      </c>
      <c r="K33" s="120"/>
      <c r="L33" s="121">
        <v>7.0</v>
      </c>
      <c r="M33" s="62"/>
      <c r="N33" s="62"/>
      <c r="O33" s="62"/>
      <c r="P33" s="62"/>
      <c r="Q33" s="62"/>
      <c r="R33" s="62"/>
      <c r="S33" s="62"/>
      <c r="T33" s="141"/>
      <c r="U33" s="141"/>
      <c r="V33" s="62">
        <f t="shared" si="9"/>
        <v>4.9</v>
      </c>
      <c r="W33" s="121">
        <v>8.5</v>
      </c>
      <c r="X33" s="123">
        <f>'PROY. INTER'!W33</f>
        <v>9.2</v>
      </c>
      <c r="Y33" s="62">
        <f t="shared" si="10"/>
        <v>8.85</v>
      </c>
      <c r="Z33" s="62">
        <f t="shared" si="11"/>
        <v>2.655</v>
      </c>
      <c r="AA33" s="64">
        <f t="shared" si="12"/>
        <v>7.55</v>
      </c>
      <c r="AC33" s="2"/>
      <c r="AE33" s="56">
        <v>22.0</v>
      </c>
      <c r="AF33" s="124" t="str">
        <f t="shared" ref="AF33:AG33" si="109">B33</f>
        <v/>
      </c>
      <c r="AG33" s="65" t="str">
        <f t="shared" si="109"/>
        <v>Valero Pefiafiel Carlos José</v>
      </c>
      <c r="AH33" s="140"/>
      <c r="AI33" s="140"/>
      <c r="AJ33" s="139">
        <v>10.0</v>
      </c>
      <c r="AK33" s="140"/>
      <c r="AL33" s="139">
        <v>8.0</v>
      </c>
      <c r="AM33" s="140"/>
      <c r="AN33" s="139">
        <v>9.0</v>
      </c>
      <c r="AO33" s="140"/>
      <c r="AP33" s="62"/>
      <c r="AQ33" s="62"/>
      <c r="AR33" s="62"/>
      <c r="AS33" s="143"/>
      <c r="AT33" s="62"/>
      <c r="AU33" s="143"/>
      <c r="AV33" s="62"/>
      <c r="AW33" s="143"/>
      <c r="AX33" s="141"/>
      <c r="AY33" s="141"/>
      <c r="AZ33" s="62">
        <f t="shared" si="14"/>
        <v>6.3</v>
      </c>
      <c r="BA33" s="121">
        <v>10.0</v>
      </c>
      <c r="BB33" s="123">
        <f>'PROY. INTER'!AX33</f>
        <v>10</v>
      </c>
      <c r="BC33" s="62">
        <f t="shared" si="15"/>
        <v>10</v>
      </c>
      <c r="BD33" s="62">
        <f t="shared" si="16"/>
        <v>3</v>
      </c>
      <c r="BE33" s="64">
        <f t="shared" si="17"/>
        <v>9.3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62"/>
      <c r="BW33" s="143"/>
      <c r="BX33" s="62"/>
      <c r="BY33" s="143"/>
      <c r="BZ33" s="62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7.55</v>
      </c>
      <c r="CQ33" s="129">
        <f t="shared" si="25"/>
        <v>9.3</v>
      </c>
      <c r="CR33" s="129">
        <f t="shared" si="26"/>
        <v>0</v>
      </c>
      <c r="CS33" s="130">
        <f t="shared" si="27"/>
        <v>5.61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5.61</v>
      </c>
      <c r="DB33" s="136"/>
      <c r="DC33" s="137">
        <f t="shared" si="31"/>
        <v>5.61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7.0</v>
      </c>
      <c r="E34" s="140"/>
      <c r="F34" s="140"/>
      <c r="G34" s="140"/>
      <c r="H34" s="139">
        <v>7.0</v>
      </c>
      <c r="I34" s="120"/>
      <c r="J34" s="119">
        <v>7.0</v>
      </c>
      <c r="K34" s="120"/>
      <c r="L34" s="121">
        <v>7.0</v>
      </c>
      <c r="M34" s="62"/>
      <c r="N34" s="62"/>
      <c r="O34" s="62"/>
      <c r="P34" s="62"/>
      <c r="Q34" s="62"/>
      <c r="R34" s="62"/>
      <c r="S34" s="62"/>
      <c r="T34" s="141"/>
      <c r="U34" s="141"/>
      <c r="V34" s="62">
        <f t="shared" si="9"/>
        <v>4.9</v>
      </c>
      <c r="W34" s="121">
        <v>9.0</v>
      </c>
      <c r="X34" s="123">
        <f>'PROY. INTER'!W34</f>
        <v>7.33</v>
      </c>
      <c r="Y34" s="62">
        <f t="shared" si="10"/>
        <v>8.165</v>
      </c>
      <c r="Z34" s="62">
        <f t="shared" si="11"/>
        <v>2.4495</v>
      </c>
      <c r="AA34" s="64">
        <f t="shared" si="12"/>
        <v>7.34</v>
      </c>
      <c r="AC34" s="2"/>
      <c r="AE34" s="56">
        <v>23.0</v>
      </c>
      <c r="AF34" s="124" t="str">
        <f t="shared" ref="AF34:AG34" si="113">B34</f>
        <v/>
      </c>
      <c r="AG34" s="65" t="str">
        <f t="shared" si="113"/>
        <v>Veliz chicaiza Alex isaac</v>
      </c>
      <c r="AH34" s="140"/>
      <c r="AI34" s="140"/>
      <c r="AJ34" s="139">
        <v>8.0</v>
      </c>
      <c r="AK34" s="140"/>
      <c r="AL34" s="139">
        <v>8.0</v>
      </c>
      <c r="AM34" s="140"/>
      <c r="AN34" s="139">
        <v>9.0</v>
      </c>
      <c r="AO34" s="140"/>
      <c r="AP34" s="62"/>
      <c r="AQ34" s="62"/>
      <c r="AR34" s="62"/>
      <c r="AS34" s="143"/>
      <c r="AT34" s="62"/>
      <c r="AU34" s="143"/>
      <c r="AV34" s="62"/>
      <c r="AW34" s="143"/>
      <c r="AX34" s="141"/>
      <c r="AY34" s="141"/>
      <c r="AZ34" s="62">
        <f t="shared" si="14"/>
        <v>5.831</v>
      </c>
      <c r="BA34" s="121">
        <v>9.0</v>
      </c>
      <c r="BB34" s="123">
        <f>'PROY. INTER'!AX34</f>
        <v>10</v>
      </c>
      <c r="BC34" s="62">
        <f t="shared" si="15"/>
        <v>9.5</v>
      </c>
      <c r="BD34" s="62">
        <f t="shared" si="16"/>
        <v>2.85</v>
      </c>
      <c r="BE34" s="64">
        <f t="shared" si="17"/>
        <v>8.68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62"/>
      <c r="BW34" s="143"/>
      <c r="BX34" s="62"/>
      <c r="BY34" s="143"/>
      <c r="BZ34" s="62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7.34</v>
      </c>
      <c r="CQ34" s="129">
        <f t="shared" si="25"/>
        <v>8.68</v>
      </c>
      <c r="CR34" s="129">
        <f t="shared" si="26"/>
        <v>0</v>
      </c>
      <c r="CS34" s="130">
        <f t="shared" si="27"/>
        <v>5.34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5.34</v>
      </c>
      <c r="DB34" s="136"/>
      <c r="DC34" s="137">
        <f t="shared" si="31"/>
        <v>5.34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10.0</v>
      </c>
      <c r="E35" s="140"/>
      <c r="F35" s="140"/>
      <c r="G35" s="140"/>
      <c r="H35" s="139">
        <v>10.0</v>
      </c>
      <c r="I35" s="120"/>
      <c r="J35" s="119">
        <v>9.0</v>
      </c>
      <c r="K35" s="120"/>
      <c r="L35" s="121">
        <v>10.0</v>
      </c>
      <c r="M35" s="62"/>
      <c r="N35" s="62"/>
      <c r="O35" s="62"/>
      <c r="P35" s="62"/>
      <c r="Q35" s="62"/>
      <c r="R35" s="62"/>
      <c r="S35" s="62"/>
      <c r="T35" s="141"/>
      <c r="U35" s="141"/>
      <c r="V35" s="62">
        <f t="shared" si="9"/>
        <v>6.825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9.78</v>
      </c>
      <c r="AC35" s="2"/>
      <c r="AE35" s="56">
        <v>24.0</v>
      </c>
      <c r="AF35" s="124" t="str">
        <f t="shared" ref="AF35:AG35" si="117">B35</f>
        <v/>
      </c>
      <c r="AG35" s="65" t="str">
        <f t="shared" si="117"/>
        <v>Zambrano Zhicay Victor Humberto</v>
      </c>
      <c r="AH35" s="140"/>
      <c r="AI35" s="140"/>
      <c r="AJ35" s="139">
        <v>9.0</v>
      </c>
      <c r="AK35" s="140"/>
      <c r="AL35" s="139">
        <v>10.0</v>
      </c>
      <c r="AM35" s="140"/>
      <c r="AN35" s="139">
        <v>10.0</v>
      </c>
      <c r="AO35" s="140"/>
      <c r="AP35" s="62"/>
      <c r="AQ35" s="62"/>
      <c r="AR35" s="62"/>
      <c r="AS35" s="143"/>
      <c r="AT35" s="62"/>
      <c r="AU35" s="143"/>
      <c r="AV35" s="62"/>
      <c r="AW35" s="143"/>
      <c r="AX35" s="141"/>
      <c r="AY35" s="141"/>
      <c r="AZ35" s="62">
        <f t="shared" si="14"/>
        <v>6.762</v>
      </c>
      <c r="BA35" s="121">
        <v>10.0</v>
      </c>
      <c r="BB35" s="123">
        <f>'PROY. INTER'!AX35</f>
        <v>10</v>
      </c>
      <c r="BC35" s="62">
        <f t="shared" si="15"/>
        <v>10</v>
      </c>
      <c r="BD35" s="62">
        <f t="shared" si="16"/>
        <v>3</v>
      </c>
      <c r="BE35" s="64">
        <f t="shared" si="17"/>
        <v>9.76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62"/>
      <c r="BW35" s="143"/>
      <c r="BX35" s="62"/>
      <c r="BY35" s="143"/>
      <c r="BZ35" s="62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9.78</v>
      </c>
      <c r="CQ35" s="129">
        <f t="shared" si="25"/>
        <v>9.76</v>
      </c>
      <c r="CR35" s="129">
        <f t="shared" si="26"/>
        <v>0</v>
      </c>
      <c r="CS35" s="130">
        <f t="shared" si="27"/>
        <v>6.51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6.51</v>
      </c>
      <c r="DB35" s="136"/>
      <c r="DC35" s="137">
        <f t="shared" si="31"/>
        <v>6.51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20"/>
      <c r="J36" s="120"/>
      <c r="K36" s="120"/>
      <c r="L36" s="62"/>
      <c r="M36" s="62"/>
      <c r="N36" s="62"/>
      <c r="O36" s="62"/>
      <c r="P36" s="62"/>
      <c r="Q36" s="62"/>
      <c r="R36" s="62"/>
      <c r="S36" s="62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6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143"/>
      <c r="AT36" s="62"/>
      <c r="AU36" s="143"/>
      <c r="AV36" s="62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62"/>
      <c r="BW36" s="143"/>
      <c r="BX36" s="62"/>
      <c r="BY36" s="143"/>
      <c r="BZ36" s="62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20"/>
      <c r="J37" s="120"/>
      <c r="K37" s="120"/>
      <c r="L37" s="62"/>
      <c r="M37" s="62"/>
      <c r="N37" s="62"/>
      <c r="O37" s="62"/>
      <c r="P37" s="62"/>
      <c r="Q37" s="62"/>
      <c r="R37" s="62"/>
      <c r="S37" s="62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6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143"/>
      <c r="AT37" s="62"/>
      <c r="AU37" s="143"/>
      <c r="AV37" s="62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62"/>
      <c r="BW37" s="143"/>
      <c r="BX37" s="62"/>
      <c r="BY37" s="143"/>
      <c r="BZ37" s="62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20"/>
      <c r="J38" s="120"/>
      <c r="K38" s="120"/>
      <c r="L38" s="62"/>
      <c r="M38" s="62"/>
      <c r="N38" s="62"/>
      <c r="O38" s="62"/>
      <c r="P38" s="62"/>
      <c r="Q38" s="62"/>
      <c r="R38" s="62"/>
      <c r="S38" s="62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6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143"/>
      <c r="AT38" s="62"/>
      <c r="AU38" s="143"/>
      <c r="AV38" s="62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62"/>
      <c r="BW38" s="143"/>
      <c r="BX38" s="62"/>
      <c r="BY38" s="143"/>
      <c r="BZ38" s="62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6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143"/>
      <c r="AT39" s="62"/>
      <c r="AU39" s="143"/>
      <c r="AV39" s="62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62"/>
      <c r="BW39" s="143"/>
      <c r="BX39" s="62"/>
      <c r="BY39" s="143"/>
      <c r="BZ39" s="62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62"/>
      <c r="O40" s="62"/>
      <c r="P40" s="62"/>
      <c r="Q40" s="62"/>
      <c r="R40" s="62"/>
      <c r="S40" s="62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6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143"/>
      <c r="AT40" s="62"/>
      <c r="AU40" s="143"/>
      <c r="AV40" s="62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62"/>
      <c r="BW40" s="143"/>
      <c r="BX40" s="62"/>
      <c r="BY40" s="143"/>
      <c r="BZ40" s="62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6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5.825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 AH12:AH40 AJ12:AJ40 AL12:AL40 AN12:AN40 BL12:BL40 BL12:BS61 BN12:BN40 BP12:BP40 BR12:BR40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CT12:CT61">
    <cfRule type="containsText" dxfId="1" priority="3" operator="containsText" text="REPROBADO">
      <formula>NOT(ISERROR(SEARCH(("REPROBADO"),(CT12))))</formula>
    </cfRule>
  </conditionalFormatting>
  <conditionalFormatting sqref="CT12:CT61">
    <cfRule type="containsText" dxfId="2" priority="4" operator="containsText" text="SUPLETORIO">
      <formula>NOT(ISERROR(SEARCH(("SUPLETORIO"),(CT12))))</formula>
    </cfRule>
  </conditionalFormatting>
  <conditionalFormatting sqref="CT12:CT61">
    <cfRule type="containsText" dxfId="3" priority="5" operator="containsText" text="APROBADO">
      <formula>NOT(ISERROR(SEARCH(("APROBADO"),(CT12))))</formula>
    </cfRule>
  </conditionalFormatting>
  <conditionalFormatting sqref="CT12:CT61">
    <cfRule type="containsText" dxfId="4" priority="6" operator="containsText" text="REMEDIAL">
      <formula>NOT(ISERROR(SEARCH(("REMEDIAL"),(CT12))))</formula>
    </cfRule>
  </conditionalFormatting>
  <conditionalFormatting sqref="CT12:CT61">
    <cfRule type="containsText" dxfId="5" priority="7" operator="containsText" text="SUPLETORIO">
      <formula>NOT(ISERROR(SEARCH(("SUPLETORIO"),(CT12))))</formula>
    </cfRule>
  </conditionalFormatting>
  <conditionalFormatting sqref="CT12:CT61">
    <cfRule type="containsText" dxfId="6" priority="8" operator="containsText" text="APROBADO">
      <formula>NOT(ISERROR(SEARCH(("APROBADO"),(CT12))))</formula>
    </cfRule>
  </conditionalFormatting>
  <conditionalFormatting sqref="DC12:DC61">
    <cfRule type="expression" dxfId="7" priority="9">
      <formula>ISERROR(DC12)</formula>
    </cfRule>
  </conditionalFormatting>
  <conditionalFormatting sqref="DD12:DD61">
    <cfRule type="containsText" dxfId="0" priority="10" operator="containsText" text="NO PROMOVIDO">
      <formula>NOT(ISERROR(SEARCH(("NO PROMOVIDO"),(DD12))))</formula>
    </cfRule>
  </conditionalFormatting>
  <conditionalFormatting sqref="DD12:DD61">
    <cfRule type="containsText" dxfId="8" priority="11" operator="containsText" text="PROMOVIDO">
      <formula>NOT(ISERROR(SEARCH(("PROMOVIDO"),(DD12))))</formula>
    </cfRule>
  </conditionalFormatting>
  <dataValidations>
    <dataValidation type="decimal" allowBlank="1" showInputMessage="1" showErrorMessage="1" prompt="EL VALOR DEBER SER ENTRE 0 Y 10 PTS" sqref="W12:W61">
      <formula1>0.0</formula1>
      <formula2>10.0</formula2>
    </dataValidation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 DEBE SER ENTRE 0 Y 10 PTS" sqref="D12:U61 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162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ING. ROLANDO OCHOA MENDOZA MSC.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ING. ROLANDO OCHOA MENDOZA MSC.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ING. ROLANDO OCHOA MENDOZA MSC.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ING. ROLANDO OCHOA MENDOZA MSC.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163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CONTABILIDAD GENERAL 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CONTABILIDAD GENERAL 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CONTABILIDAD GENERAL 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CONTABILIDAD GENERAL 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164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165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166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254" t="s">
        <v>167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20"/>
      <c r="F12" s="119">
        <v>10.0</v>
      </c>
      <c r="G12" s="120"/>
      <c r="H12" s="119">
        <v>10.0</v>
      </c>
      <c r="I12" s="120"/>
      <c r="J12" s="120"/>
      <c r="K12" s="120"/>
      <c r="L12" s="62"/>
      <c r="M12" s="62"/>
      <c r="N12" s="62"/>
      <c r="O12" s="62"/>
      <c r="P12" s="62"/>
      <c r="Q12" s="62"/>
      <c r="R12" s="62"/>
      <c r="S12" s="62"/>
      <c r="T12" s="122"/>
      <c r="U12" s="122"/>
      <c r="V12" s="62">
        <f t="shared" ref="V12:V61" si="9">IFERROR(TRUNC(AVERAGE(D12:U12),2),"")*70/100</f>
        <v>7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10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19">
        <v>10.0</v>
      </c>
      <c r="AI12" s="120"/>
      <c r="AJ12" s="119">
        <v>9.0</v>
      </c>
      <c r="AK12" s="120"/>
      <c r="AL12" s="120"/>
      <c r="AM12" s="120"/>
      <c r="AN12" s="120"/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6.65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9.65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10</v>
      </c>
      <c r="CQ12" s="129">
        <f t="shared" ref="CQ12:CQ61" si="25">BE12</f>
        <v>9.65</v>
      </c>
      <c r="CR12" s="129">
        <f t="shared" ref="CR12:CR61" si="26">CI12</f>
        <v>0</v>
      </c>
      <c r="CS12" s="130">
        <f t="shared" ref="CS12:CS61" si="27">IFERROR(TRUNC(AVERAGE(CP12:CR12),2),"")*100/100</f>
        <v>6.55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6.55</v>
      </c>
      <c r="DB12" s="136"/>
      <c r="DC12" s="137">
        <f t="shared" ref="DC12:DC61" si="31">IF(DA12&gt;=7,DA12,IF(DA12="","",IF(DB12="",AVERAGE(DA12:DB12),IF(AND(DA12&lt;4.01,DB12&lt;&gt;""),DA12,IF(DB12&lt;7,DA12,7)))))</f>
        <v>6.55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 ht="17.25" customHeight="1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10.0</v>
      </c>
      <c r="E13" s="140"/>
      <c r="F13" s="139">
        <v>10.0</v>
      </c>
      <c r="G13" s="140"/>
      <c r="H13" s="139">
        <v>10.0</v>
      </c>
      <c r="I13" s="140"/>
      <c r="J13" s="140"/>
      <c r="K13" s="140"/>
      <c r="L13" s="62"/>
      <c r="M13" s="62"/>
      <c r="N13" s="62"/>
      <c r="O13" s="62"/>
      <c r="P13" s="62"/>
      <c r="Q13" s="62"/>
      <c r="R13" s="62"/>
      <c r="S13" s="62"/>
      <c r="T13" s="141"/>
      <c r="U13" s="141"/>
      <c r="V13" s="62">
        <f t="shared" si="9"/>
        <v>7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10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10.0</v>
      </c>
      <c r="AI13" s="140"/>
      <c r="AJ13" s="139">
        <v>10.0</v>
      </c>
      <c r="AK13" s="140"/>
      <c r="AL13" s="140"/>
      <c r="AM13" s="140"/>
      <c r="AN13" s="140"/>
      <c r="AO13" s="140"/>
      <c r="AP13" s="62"/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10</v>
      </c>
      <c r="CQ13" s="129">
        <f t="shared" si="25"/>
        <v>10</v>
      </c>
      <c r="CR13" s="129">
        <f t="shared" si="26"/>
        <v>0</v>
      </c>
      <c r="CS13" s="130">
        <f t="shared" si="27"/>
        <v>6.66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6.66</v>
      </c>
      <c r="DB13" s="142"/>
      <c r="DC13" s="137">
        <f t="shared" si="31"/>
        <v>6.66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10.0</v>
      </c>
      <c r="E14" s="140"/>
      <c r="F14" s="139">
        <v>10.0</v>
      </c>
      <c r="G14" s="140"/>
      <c r="H14" s="139">
        <v>10.0</v>
      </c>
      <c r="I14" s="140"/>
      <c r="J14" s="140"/>
      <c r="K14" s="140"/>
      <c r="L14" s="62"/>
      <c r="M14" s="62"/>
      <c r="N14" s="62"/>
      <c r="O14" s="62"/>
      <c r="P14" s="62"/>
      <c r="Q14" s="62"/>
      <c r="R14" s="62"/>
      <c r="S14" s="62"/>
      <c r="T14" s="141"/>
      <c r="U14" s="141"/>
      <c r="V14" s="62">
        <f t="shared" si="9"/>
        <v>7</v>
      </c>
      <c r="W14" s="121">
        <v>9.0</v>
      </c>
      <c r="X14" s="123">
        <f>'PROY. INTER'!W14</f>
        <v>8.2</v>
      </c>
      <c r="Y14" s="62">
        <f t="shared" si="10"/>
        <v>8.6</v>
      </c>
      <c r="Z14" s="62">
        <f t="shared" si="11"/>
        <v>2.58</v>
      </c>
      <c r="AA14" s="64">
        <f t="shared" si="12"/>
        <v>9.58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39">
        <v>10.0</v>
      </c>
      <c r="AI14" s="140"/>
      <c r="AJ14" s="139">
        <v>9.0</v>
      </c>
      <c r="AK14" s="140"/>
      <c r="AL14" s="140"/>
      <c r="AM14" s="140"/>
      <c r="AN14" s="140"/>
      <c r="AO14" s="140"/>
      <c r="AP14" s="62"/>
      <c r="AQ14" s="62"/>
      <c r="AR14" s="62"/>
      <c r="AS14" s="62"/>
      <c r="AT14" s="62"/>
      <c r="AU14" s="62"/>
      <c r="AV14" s="62"/>
      <c r="AW14" s="62"/>
      <c r="AX14" s="141"/>
      <c r="AY14" s="141"/>
      <c r="AZ14" s="62">
        <f t="shared" si="14"/>
        <v>6.65</v>
      </c>
      <c r="BA14" s="121">
        <v>9.0</v>
      </c>
      <c r="BB14" s="123">
        <f>'PROY. INTER'!AX14</f>
        <v>10</v>
      </c>
      <c r="BC14" s="62">
        <f t="shared" si="15"/>
        <v>9.5</v>
      </c>
      <c r="BD14" s="62">
        <f t="shared" si="16"/>
        <v>2.85</v>
      </c>
      <c r="BE14" s="64">
        <f t="shared" si="17"/>
        <v>9.5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62"/>
      <c r="BW14" s="62"/>
      <c r="BX14" s="62"/>
      <c r="BY14" s="62"/>
      <c r="BZ14" s="62"/>
      <c r="CA14" s="62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9.58</v>
      </c>
      <c r="CQ14" s="129">
        <f t="shared" si="25"/>
        <v>9.5</v>
      </c>
      <c r="CR14" s="129">
        <f t="shared" si="26"/>
        <v>0</v>
      </c>
      <c r="CS14" s="130">
        <f t="shared" si="27"/>
        <v>6.36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6.36</v>
      </c>
      <c r="DB14" s="136"/>
      <c r="DC14" s="137">
        <f t="shared" si="31"/>
        <v>6.36</v>
      </c>
      <c r="DD14" s="138" t="str">
        <f t="shared" si="32"/>
        <v>NO PROMOVIDO</v>
      </c>
    </row>
    <row r="15" ht="19.5" customHeight="1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2.0</v>
      </c>
      <c r="E15" s="140"/>
      <c r="F15" s="139">
        <v>8.75</v>
      </c>
      <c r="G15" s="140"/>
      <c r="H15" s="139">
        <v>6.0</v>
      </c>
      <c r="I15" s="140"/>
      <c r="J15" s="140"/>
      <c r="K15" s="140"/>
      <c r="L15" s="62"/>
      <c r="M15" s="62"/>
      <c r="N15" s="143"/>
      <c r="O15" s="143"/>
      <c r="P15" s="143"/>
      <c r="Q15" s="143"/>
      <c r="R15" s="143"/>
      <c r="S15" s="143"/>
      <c r="T15" s="141"/>
      <c r="U15" s="141"/>
      <c r="V15" s="62">
        <f t="shared" si="9"/>
        <v>3.906</v>
      </c>
      <c r="W15" s="121">
        <v>8.8</v>
      </c>
      <c r="X15" s="123">
        <f>'PROY. INTER'!W15</f>
        <v>6.73</v>
      </c>
      <c r="Y15" s="62">
        <f t="shared" si="10"/>
        <v>7.765</v>
      </c>
      <c r="Z15" s="62">
        <f t="shared" si="11"/>
        <v>2.3295</v>
      </c>
      <c r="AA15" s="64">
        <f t="shared" si="12"/>
        <v>6.23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39">
        <v>8.0</v>
      </c>
      <c r="AI15" s="140"/>
      <c r="AJ15" s="139">
        <v>8.0</v>
      </c>
      <c r="AK15" s="140"/>
      <c r="AL15" s="140"/>
      <c r="AM15" s="140"/>
      <c r="AN15" s="140"/>
      <c r="AO15" s="140"/>
      <c r="AP15" s="62"/>
      <c r="AQ15" s="62"/>
      <c r="AR15" s="143"/>
      <c r="AS15" s="143"/>
      <c r="AT15" s="143"/>
      <c r="AU15" s="143"/>
      <c r="AV15" s="143"/>
      <c r="AW15" s="143"/>
      <c r="AX15" s="141"/>
      <c r="AY15" s="141"/>
      <c r="AZ15" s="62">
        <f t="shared" si="14"/>
        <v>5.6</v>
      </c>
      <c r="BA15" s="121">
        <v>8.0</v>
      </c>
      <c r="BB15" s="123">
        <f>'PROY. INTER'!AX15</f>
        <v>10</v>
      </c>
      <c r="BC15" s="62">
        <f t="shared" si="15"/>
        <v>9</v>
      </c>
      <c r="BD15" s="62">
        <f t="shared" si="16"/>
        <v>2.7</v>
      </c>
      <c r="BE15" s="64">
        <f t="shared" si="17"/>
        <v>8.3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6.23</v>
      </c>
      <c r="CQ15" s="129">
        <f t="shared" si="25"/>
        <v>8.3</v>
      </c>
      <c r="CR15" s="129">
        <f t="shared" si="26"/>
        <v>0</v>
      </c>
      <c r="CS15" s="130">
        <f t="shared" si="27"/>
        <v>4.84</v>
      </c>
      <c r="CT15" s="131" t="str">
        <f t="shared" si="28"/>
        <v>REPROBADO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4.84</v>
      </c>
      <c r="DB15" s="136"/>
      <c r="DC15" s="137">
        <f t="shared" si="31"/>
        <v>4.84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10.0</v>
      </c>
      <c r="E16" s="140"/>
      <c r="F16" s="139">
        <v>8.5</v>
      </c>
      <c r="G16" s="140"/>
      <c r="H16" s="139">
        <v>10.0</v>
      </c>
      <c r="I16" s="140"/>
      <c r="J16" s="140"/>
      <c r="K16" s="140"/>
      <c r="L16" s="62"/>
      <c r="M16" s="62"/>
      <c r="N16" s="143"/>
      <c r="O16" s="143"/>
      <c r="P16" s="143"/>
      <c r="Q16" s="143"/>
      <c r="R16" s="143"/>
      <c r="S16" s="143"/>
      <c r="T16" s="141"/>
      <c r="U16" s="141"/>
      <c r="V16" s="62">
        <f t="shared" si="9"/>
        <v>6.65</v>
      </c>
      <c r="W16" s="121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9.05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39">
        <v>7.0</v>
      </c>
      <c r="AI16" s="140"/>
      <c r="AJ16" s="139">
        <v>6.0</v>
      </c>
      <c r="AK16" s="140"/>
      <c r="AL16" s="140"/>
      <c r="AM16" s="140"/>
      <c r="AN16" s="140"/>
      <c r="AO16" s="140"/>
      <c r="AP16" s="62"/>
      <c r="AQ16" s="62"/>
      <c r="AR16" s="143"/>
      <c r="AS16" s="143"/>
      <c r="AT16" s="143"/>
      <c r="AU16" s="143"/>
      <c r="AV16" s="143"/>
      <c r="AW16" s="143"/>
      <c r="AX16" s="141"/>
      <c r="AY16" s="141"/>
      <c r="AZ16" s="62">
        <f t="shared" si="14"/>
        <v>4.55</v>
      </c>
      <c r="BA16" s="121">
        <v>7.0</v>
      </c>
      <c r="BB16" s="123">
        <f>'PROY. INTER'!AX16</f>
        <v>2</v>
      </c>
      <c r="BC16" s="62">
        <f t="shared" si="15"/>
        <v>4.5</v>
      </c>
      <c r="BD16" s="62">
        <f t="shared" si="16"/>
        <v>1.35</v>
      </c>
      <c r="BE16" s="64">
        <f t="shared" si="17"/>
        <v>5.9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9.05</v>
      </c>
      <c r="CQ16" s="129">
        <f t="shared" si="25"/>
        <v>5.9</v>
      </c>
      <c r="CR16" s="129">
        <f t="shared" si="26"/>
        <v>0</v>
      </c>
      <c r="CS16" s="130">
        <f t="shared" si="27"/>
        <v>4.98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4.98</v>
      </c>
      <c r="DB16" s="136"/>
      <c r="DC16" s="137">
        <f t="shared" si="31"/>
        <v>4.98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10.0</v>
      </c>
      <c r="E17" s="140"/>
      <c r="F17" s="139">
        <v>8.75</v>
      </c>
      <c r="G17" s="140"/>
      <c r="H17" s="139">
        <v>10.0</v>
      </c>
      <c r="I17" s="140"/>
      <c r="J17" s="140"/>
      <c r="K17" s="140"/>
      <c r="L17" s="62"/>
      <c r="M17" s="62"/>
      <c r="N17" s="143"/>
      <c r="O17" s="143"/>
      <c r="P17" s="143"/>
      <c r="Q17" s="143"/>
      <c r="R17" s="143"/>
      <c r="S17" s="143"/>
      <c r="T17" s="141"/>
      <c r="U17" s="141"/>
      <c r="V17" s="62">
        <f t="shared" si="9"/>
        <v>6.706</v>
      </c>
      <c r="W17" s="121">
        <v>9.0</v>
      </c>
      <c r="X17" s="123">
        <f>'PROY. INTER'!W17</f>
        <v>9.87</v>
      </c>
      <c r="Y17" s="62">
        <f t="shared" si="10"/>
        <v>9.435</v>
      </c>
      <c r="Z17" s="62">
        <f t="shared" si="11"/>
        <v>2.8305</v>
      </c>
      <c r="AA17" s="64">
        <f t="shared" si="12"/>
        <v>9.53</v>
      </c>
      <c r="AC17" s="2"/>
      <c r="AE17" s="56">
        <v>6.0</v>
      </c>
      <c r="AF17" s="124" t="str">
        <f t="shared" ref="AF17:AG17" si="45">B17</f>
        <v/>
      </c>
      <c r="AG17" s="125" t="str">
        <f t="shared" si="45"/>
        <v>Cantos Zúñiga a Hernán Snayder</v>
      </c>
      <c r="AH17" s="139">
        <v>10.0</v>
      </c>
      <c r="AI17" s="140"/>
      <c r="AJ17" s="139">
        <v>8.0</v>
      </c>
      <c r="AK17" s="140"/>
      <c r="AL17" s="140"/>
      <c r="AM17" s="140"/>
      <c r="AN17" s="140"/>
      <c r="AO17" s="140"/>
      <c r="AP17" s="62"/>
      <c r="AQ17" s="62"/>
      <c r="AR17" s="143"/>
      <c r="AS17" s="143"/>
      <c r="AT17" s="143"/>
      <c r="AU17" s="143"/>
      <c r="AV17" s="143"/>
      <c r="AW17" s="143"/>
      <c r="AX17" s="141"/>
      <c r="AY17" s="141"/>
      <c r="AZ17" s="62">
        <f t="shared" si="14"/>
        <v>6.3</v>
      </c>
      <c r="BA17" s="121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8.85</v>
      </c>
      <c r="BG17" s="2"/>
      <c r="BI17" s="56">
        <v>6.0</v>
      </c>
      <c r="BJ17" s="124" t="str">
        <f t="shared" ref="BJ17:BK17" si="46">B17</f>
        <v/>
      </c>
      <c r="BK17" s="12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9.53</v>
      </c>
      <c r="CQ17" s="129">
        <f t="shared" si="25"/>
        <v>8.85</v>
      </c>
      <c r="CR17" s="129">
        <f t="shared" si="26"/>
        <v>0</v>
      </c>
      <c r="CS17" s="130">
        <f t="shared" si="27"/>
        <v>6.12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6.12</v>
      </c>
      <c r="DB17" s="136"/>
      <c r="DC17" s="137">
        <f t="shared" si="31"/>
        <v>6.12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10.0</v>
      </c>
      <c r="E18" s="140"/>
      <c r="F18" s="139">
        <v>8.75</v>
      </c>
      <c r="G18" s="140"/>
      <c r="H18" s="139">
        <v>10.0</v>
      </c>
      <c r="I18" s="140"/>
      <c r="J18" s="140"/>
      <c r="K18" s="140"/>
      <c r="L18" s="62"/>
      <c r="M18" s="62"/>
      <c r="N18" s="143"/>
      <c r="O18" s="143"/>
      <c r="P18" s="143"/>
      <c r="Q18" s="143"/>
      <c r="R18" s="143"/>
      <c r="S18" s="143"/>
      <c r="T18" s="141"/>
      <c r="U18" s="141"/>
      <c r="V18" s="62">
        <f t="shared" si="9"/>
        <v>6.706</v>
      </c>
      <c r="W18" s="121">
        <v>9.25</v>
      </c>
      <c r="X18" s="123">
        <f>'PROY. INTER'!W18</f>
        <v>9</v>
      </c>
      <c r="Y18" s="62">
        <f t="shared" si="10"/>
        <v>9.125</v>
      </c>
      <c r="Z18" s="62">
        <f t="shared" si="11"/>
        <v>2.7375</v>
      </c>
      <c r="AA18" s="64">
        <f t="shared" si="12"/>
        <v>9.44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39">
        <v>10.0</v>
      </c>
      <c r="AI18" s="140"/>
      <c r="AJ18" s="139">
        <v>7.0</v>
      </c>
      <c r="AK18" s="140"/>
      <c r="AL18" s="140"/>
      <c r="AM18" s="140"/>
      <c r="AN18" s="140"/>
      <c r="AO18" s="140"/>
      <c r="AP18" s="62"/>
      <c r="AQ18" s="62"/>
      <c r="AR18" s="143"/>
      <c r="AS18" s="143"/>
      <c r="AT18" s="143"/>
      <c r="AU18" s="143"/>
      <c r="AV18" s="143"/>
      <c r="AW18" s="143"/>
      <c r="AX18" s="141"/>
      <c r="AY18" s="141"/>
      <c r="AZ18" s="62">
        <f t="shared" si="14"/>
        <v>5.95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7.45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9.44</v>
      </c>
      <c r="CQ18" s="129">
        <f t="shared" si="25"/>
        <v>7.45</v>
      </c>
      <c r="CR18" s="129">
        <f t="shared" si="26"/>
        <v>0</v>
      </c>
      <c r="CS18" s="130">
        <f t="shared" si="27"/>
        <v>5.63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5.63</v>
      </c>
      <c r="DB18" s="136"/>
      <c r="DC18" s="137">
        <f t="shared" si="31"/>
        <v>5.63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4.0</v>
      </c>
      <c r="E19" s="140"/>
      <c r="F19" s="139">
        <v>2.0</v>
      </c>
      <c r="G19" s="140"/>
      <c r="H19" s="139">
        <v>6.0</v>
      </c>
      <c r="I19" s="140"/>
      <c r="J19" s="140"/>
      <c r="K19" s="140"/>
      <c r="L19" s="62"/>
      <c r="M19" s="62"/>
      <c r="N19" s="143"/>
      <c r="O19" s="143"/>
      <c r="P19" s="143"/>
      <c r="Q19" s="143"/>
      <c r="R19" s="143"/>
      <c r="S19" s="143"/>
      <c r="T19" s="141"/>
      <c r="U19" s="141"/>
      <c r="V19" s="62">
        <f t="shared" si="9"/>
        <v>2.8</v>
      </c>
      <c r="W19" s="121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5.2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9.0</v>
      </c>
      <c r="AI19" s="140"/>
      <c r="AJ19" s="139">
        <v>7.0</v>
      </c>
      <c r="AK19" s="140"/>
      <c r="AL19" s="140"/>
      <c r="AM19" s="140"/>
      <c r="AN19" s="140"/>
      <c r="AO19" s="140"/>
      <c r="AP19" s="62"/>
      <c r="AQ19" s="62"/>
      <c r="AR19" s="143"/>
      <c r="AS19" s="143"/>
      <c r="AT19" s="143"/>
      <c r="AU19" s="143"/>
      <c r="AV19" s="143"/>
      <c r="AW19" s="143"/>
      <c r="AX19" s="141"/>
      <c r="AY19" s="141"/>
      <c r="AZ19" s="62">
        <f t="shared" si="14"/>
        <v>5.6</v>
      </c>
      <c r="BA19" s="121">
        <v>8.0</v>
      </c>
      <c r="BB19" s="123">
        <f>'PROY. INTER'!AX19</f>
        <v>2</v>
      </c>
      <c r="BC19" s="62">
        <f t="shared" si="15"/>
        <v>5</v>
      </c>
      <c r="BD19" s="62">
        <f t="shared" si="16"/>
        <v>1.5</v>
      </c>
      <c r="BE19" s="64">
        <f t="shared" si="17"/>
        <v>7.1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5.2</v>
      </c>
      <c r="CQ19" s="129">
        <f t="shared" si="25"/>
        <v>7.1</v>
      </c>
      <c r="CR19" s="129">
        <f t="shared" si="26"/>
        <v>0</v>
      </c>
      <c r="CS19" s="130">
        <f t="shared" si="27"/>
        <v>4.1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4.1</v>
      </c>
      <c r="DB19" s="136"/>
      <c r="DC19" s="137">
        <f t="shared" si="31"/>
        <v>4.1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8.0</v>
      </c>
      <c r="E20" s="140"/>
      <c r="F20" s="139">
        <v>2.0</v>
      </c>
      <c r="G20" s="140"/>
      <c r="H20" s="139">
        <v>8.0</v>
      </c>
      <c r="I20" s="140"/>
      <c r="J20" s="140"/>
      <c r="K20" s="140"/>
      <c r="L20" s="62"/>
      <c r="M20" s="62"/>
      <c r="N20" s="143"/>
      <c r="O20" s="143"/>
      <c r="P20" s="143"/>
      <c r="Q20" s="143"/>
      <c r="R20" s="143"/>
      <c r="S20" s="143"/>
      <c r="T20" s="141"/>
      <c r="U20" s="141"/>
      <c r="V20" s="62">
        <f t="shared" si="9"/>
        <v>4.2</v>
      </c>
      <c r="W20" s="62"/>
      <c r="X20" s="123">
        <f>'PROY. INTER'!W20</f>
        <v>6</v>
      </c>
      <c r="Y20" s="62">
        <f t="shared" si="10"/>
        <v>6</v>
      </c>
      <c r="Z20" s="62">
        <f t="shared" si="11"/>
        <v>1.8</v>
      </c>
      <c r="AA20" s="64">
        <f t="shared" si="12"/>
        <v>6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39">
        <v>10.0</v>
      </c>
      <c r="AI20" s="140"/>
      <c r="AJ20" s="139">
        <v>7.33</v>
      </c>
      <c r="AK20" s="140"/>
      <c r="AL20" s="140"/>
      <c r="AM20" s="140"/>
      <c r="AN20" s="140"/>
      <c r="AO20" s="140"/>
      <c r="AP20" s="62"/>
      <c r="AQ20" s="62"/>
      <c r="AR20" s="143"/>
      <c r="AS20" s="143"/>
      <c r="AT20" s="143"/>
      <c r="AU20" s="143"/>
      <c r="AV20" s="143"/>
      <c r="AW20" s="143"/>
      <c r="AX20" s="141"/>
      <c r="AY20" s="141"/>
      <c r="AZ20" s="62">
        <f t="shared" si="14"/>
        <v>6.062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8.61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</v>
      </c>
      <c r="CQ20" s="129">
        <f t="shared" si="25"/>
        <v>8.61</v>
      </c>
      <c r="CR20" s="129">
        <f t="shared" si="26"/>
        <v>0</v>
      </c>
      <c r="CS20" s="130">
        <f t="shared" si="27"/>
        <v>4.87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4.87</v>
      </c>
      <c r="DB20" s="136"/>
      <c r="DC20" s="137">
        <f t="shared" si="31"/>
        <v>4.87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2.0</v>
      </c>
      <c r="E21" s="140"/>
      <c r="F21" s="139">
        <v>6.0</v>
      </c>
      <c r="G21" s="140"/>
      <c r="H21" s="139">
        <v>6.0</v>
      </c>
      <c r="I21" s="140"/>
      <c r="J21" s="140"/>
      <c r="K21" s="140"/>
      <c r="L21" s="62"/>
      <c r="M21" s="62"/>
      <c r="N21" s="143"/>
      <c r="O21" s="143"/>
      <c r="P21" s="143"/>
      <c r="Q21" s="143"/>
      <c r="R21" s="143"/>
      <c r="S21" s="143"/>
      <c r="T21" s="141"/>
      <c r="U21" s="141"/>
      <c r="V21" s="62">
        <f t="shared" si="9"/>
        <v>3.262</v>
      </c>
      <c r="W21" s="121">
        <v>6.5</v>
      </c>
      <c r="X21" s="123">
        <f>'PROY. INTER'!W21</f>
        <v>6</v>
      </c>
      <c r="Y21" s="62">
        <f t="shared" si="10"/>
        <v>6.25</v>
      </c>
      <c r="Z21" s="62">
        <f t="shared" si="11"/>
        <v>1.875</v>
      </c>
      <c r="AA21" s="64">
        <f t="shared" si="12"/>
        <v>5.13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39">
        <v>3.0</v>
      </c>
      <c r="AI21" s="140"/>
      <c r="AJ21" s="139">
        <v>7.0</v>
      </c>
      <c r="AK21" s="140"/>
      <c r="AL21" s="140"/>
      <c r="AM21" s="140"/>
      <c r="AN21" s="140"/>
      <c r="AO21" s="140"/>
      <c r="AP21" s="62"/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3.5</v>
      </c>
      <c r="BA21" s="62"/>
      <c r="BB21" s="123">
        <f>'PROY. INTER'!AX21</f>
        <v>2</v>
      </c>
      <c r="BC21" s="62">
        <f t="shared" si="15"/>
        <v>2</v>
      </c>
      <c r="BD21" s="62">
        <f t="shared" si="16"/>
        <v>0.6</v>
      </c>
      <c r="BE21" s="64">
        <f t="shared" si="17"/>
        <v>4.1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5.13</v>
      </c>
      <c r="CQ21" s="129">
        <f t="shared" si="25"/>
        <v>4.1</v>
      </c>
      <c r="CR21" s="129">
        <f t="shared" si="26"/>
        <v>0</v>
      </c>
      <c r="CS21" s="130">
        <f t="shared" si="27"/>
        <v>3.07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3.07</v>
      </c>
      <c r="DB21" s="136"/>
      <c r="DC21" s="137">
        <f t="shared" si="31"/>
        <v>3.07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40"/>
      <c r="F22" s="139">
        <v>8.75</v>
      </c>
      <c r="G22" s="140"/>
      <c r="H22" s="139">
        <v>10.0</v>
      </c>
      <c r="I22" s="140"/>
      <c r="J22" s="140"/>
      <c r="K22" s="140"/>
      <c r="L22" s="62"/>
      <c r="M22" s="62"/>
      <c r="N22" s="143"/>
      <c r="O22" s="143"/>
      <c r="P22" s="143"/>
      <c r="Q22" s="143"/>
      <c r="R22" s="143"/>
      <c r="S22" s="143"/>
      <c r="T22" s="141"/>
      <c r="U22" s="141"/>
      <c r="V22" s="62">
        <f t="shared" si="9"/>
        <v>6.706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9.7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39">
        <v>10.0</v>
      </c>
      <c r="AI22" s="140"/>
      <c r="AJ22" s="139">
        <v>10.0</v>
      </c>
      <c r="AK22" s="140"/>
      <c r="AL22" s="140"/>
      <c r="AM22" s="140"/>
      <c r="AN22" s="140"/>
      <c r="AO22" s="140"/>
      <c r="AP22" s="62"/>
      <c r="AQ22" s="62"/>
      <c r="AR22" s="143"/>
      <c r="AS22" s="143"/>
      <c r="AT22" s="143"/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9.7</v>
      </c>
      <c r="CQ22" s="129">
        <f t="shared" si="25"/>
        <v>10</v>
      </c>
      <c r="CR22" s="129">
        <f t="shared" si="26"/>
        <v>0</v>
      </c>
      <c r="CS22" s="130">
        <f t="shared" si="27"/>
        <v>6.56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6.56</v>
      </c>
      <c r="DB22" s="136"/>
      <c r="DC22" s="137">
        <f t="shared" si="31"/>
        <v>6.56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10.0</v>
      </c>
      <c r="E23" s="140"/>
      <c r="F23" s="139">
        <v>9.25</v>
      </c>
      <c r="G23" s="140"/>
      <c r="H23" s="139">
        <v>10.0</v>
      </c>
      <c r="I23" s="140"/>
      <c r="J23" s="140"/>
      <c r="K23" s="140"/>
      <c r="L23" s="62"/>
      <c r="M23" s="62"/>
      <c r="N23" s="143"/>
      <c r="O23" s="143"/>
      <c r="P23" s="143"/>
      <c r="Q23" s="143"/>
      <c r="R23" s="143"/>
      <c r="S23" s="143"/>
      <c r="T23" s="141"/>
      <c r="U23" s="141"/>
      <c r="V23" s="62">
        <f t="shared" si="9"/>
        <v>6.825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9.4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39">
        <v>10.0</v>
      </c>
      <c r="AI23" s="140"/>
      <c r="AJ23" s="139">
        <v>9.5</v>
      </c>
      <c r="AK23" s="140"/>
      <c r="AL23" s="140"/>
      <c r="AM23" s="140"/>
      <c r="AN23" s="140"/>
      <c r="AO23" s="140"/>
      <c r="AP23" s="62"/>
      <c r="AQ23" s="62"/>
      <c r="AR23" s="143"/>
      <c r="AS23" s="143"/>
      <c r="AT23" s="143"/>
      <c r="AU23" s="143"/>
      <c r="AV23" s="143"/>
      <c r="AW23" s="143"/>
      <c r="AX23" s="141"/>
      <c r="AY23" s="141"/>
      <c r="AZ23" s="62">
        <f t="shared" si="14"/>
        <v>6.825</v>
      </c>
      <c r="BA23" s="121">
        <v>8.0</v>
      </c>
      <c r="BB23" s="123">
        <f>'PROY. INTER'!AX23</f>
        <v>10</v>
      </c>
      <c r="BC23" s="62">
        <f t="shared" si="15"/>
        <v>9</v>
      </c>
      <c r="BD23" s="62">
        <f t="shared" si="16"/>
        <v>2.7</v>
      </c>
      <c r="BE23" s="64">
        <f t="shared" si="17"/>
        <v>9.52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9.4</v>
      </c>
      <c r="CQ23" s="129">
        <f t="shared" si="25"/>
        <v>9.52</v>
      </c>
      <c r="CR23" s="129">
        <f t="shared" si="26"/>
        <v>0</v>
      </c>
      <c r="CS23" s="130">
        <f t="shared" si="27"/>
        <v>6.3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6.3</v>
      </c>
      <c r="DB23" s="136"/>
      <c r="DC23" s="137">
        <f t="shared" si="31"/>
        <v>6.3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10.0</v>
      </c>
      <c r="E24" s="140"/>
      <c r="F24" s="139">
        <v>9.25</v>
      </c>
      <c r="G24" s="140"/>
      <c r="H24" s="139">
        <v>10.0</v>
      </c>
      <c r="I24" s="140"/>
      <c r="J24" s="140"/>
      <c r="K24" s="140"/>
      <c r="L24" s="62"/>
      <c r="M24" s="62"/>
      <c r="N24" s="143"/>
      <c r="O24" s="143"/>
      <c r="P24" s="143"/>
      <c r="Q24" s="143"/>
      <c r="R24" s="143"/>
      <c r="S24" s="143"/>
      <c r="T24" s="141"/>
      <c r="U24" s="141"/>
      <c r="V24" s="62">
        <f t="shared" si="9"/>
        <v>6.825</v>
      </c>
      <c r="W24" s="121">
        <v>8.35</v>
      </c>
      <c r="X24" s="123">
        <f>'PROY. INTER'!W24</f>
        <v>9</v>
      </c>
      <c r="Y24" s="62">
        <f t="shared" si="10"/>
        <v>8.675</v>
      </c>
      <c r="Z24" s="62">
        <f t="shared" si="11"/>
        <v>2.6025</v>
      </c>
      <c r="AA24" s="64">
        <f t="shared" si="12"/>
        <v>9.42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39">
        <v>10.0</v>
      </c>
      <c r="AI24" s="140"/>
      <c r="AJ24" s="139">
        <v>8.0</v>
      </c>
      <c r="AK24" s="140"/>
      <c r="AL24" s="140"/>
      <c r="AM24" s="140"/>
      <c r="AN24" s="140"/>
      <c r="AO24" s="140"/>
      <c r="AP24" s="62"/>
      <c r="AQ24" s="62"/>
      <c r="AR24" s="143"/>
      <c r="AS24" s="143"/>
      <c r="AT24" s="143"/>
      <c r="AU24" s="143"/>
      <c r="AV24" s="143"/>
      <c r="AW24" s="143"/>
      <c r="AX24" s="141"/>
      <c r="AY24" s="141"/>
      <c r="AZ24" s="62">
        <f t="shared" si="14"/>
        <v>6.3</v>
      </c>
      <c r="BA24" s="121">
        <v>7.0</v>
      </c>
      <c r="BB24" s="123">
        <f>'PROY. INTER'!AX24</f>
        <v>10</v>
      </c>
      <c r="BC24" s="62">
        <f t="shared" si="15"/>
        <v>8.5</v>
      </c>
      <c r="BD24" s="62">
        <f t="shared" si="16"/>
        <v>2.55</v>
      </c>
      <c r="BE24" s="64">
        <f t="shared" si="17"/>
        <v>8.85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9.42</v>
      </c>
      <c r="CQ24" s="129">
        <f t="shared" si="25"/>
        <v>8.85</v>
      </c>
      <c r="CR24" s="129">
        <f t="shared" si="26"/>
        <v>0</v>
      </c>
      <c r="CS24" s="130">
        <f t="shared" si="27"/>
        <v>6.09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6.09</v>
      </c>
      <c r="DB24" s="136"/>
      <c r="DC24" s="137">
        <f t="shared" si="31"/>
        <v>6.09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10.0</v>
      </c>
      <c r="E25" s="140"/>
      <c r="F25" s="139">
        <v>7.75</v>
      </c>
      <c r="G25" s="140"/>
      <c r="H25" s="139">
        <v>10.0</v>
      </c>
      <c r="I25" s="140"/>
      <c r="J25" s="140"/>
      <c r="K25" s="140"/>
      <c r="L25" s="62"/>
      <c r="M25" s="62"/>
      <c r="N25" s="143"/>
      <c r="O25" s="143"/>
      <c r="P25" s="143"/>
      <c r="Q25" s="143"/>
      <c r="R25" s="143"/>
      <c r="S25" s="143"/>
      <c r="T25" s="141"/>
      <c r="U25" s="141"/>
      <c r="V25" s="62">
        <f t="shared" si="9"/>
        <v>6.475</v>
      </c>
      <c r="W25" s="121">
        <v>5.8</v>
      </c>
      <c r="X25" s="123">
        <f>'PROY. INTER'!W25</f>
        <v>6</v>
      </c>
      <c r="Y25" s="62">
        <f t="shared" si="10"/>
        <v>5.9</v>
      </c>
      <c r="Z25" s="62">
        <f t="shared" si="11"/>
        <v>1.77</v>
      </c>
      <c r="AA25" s="64">
        <f t="shared" si="12"/>
        <v>8.24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8.0</v>
      </c>
      <c r="AI25" s="140"/>
      <c r="AJ25" s="139">
        <v>8.0</v>
      </c>
      <c r="AK25" s="140"/>
      <c r="AL25" s="140"/>
      <c r="AM25" s="140"/>
      <c r="AN25" s="140"/>
      <c r="AO25" s="140"/>
      <c r="AP25" s="62"/>
      <c r="AQ25" s="62"/>
      <c r="AR25" s="143"/>
      <c r="AS25" s="143"/>
      <c r="AT25" s="143"/>
      <c r="AU25" s="143"/>
      <c r="AV25" s="143"/>
      <c r="AW25" s="143"/>
      <c r="AX25" s="141"/>
      <c r="AY25" s="141"/>
      <c r="AZ25" s="62">
        <f t="shared" si="14"/>
        <v>5.6</v>
      </c>
      <c r="BA25" s="121">
        <v>8.0</v>
      </c>
      <c r="BB25" s="123">
        <f>'PROY. INTER'!AX25</f>
        <v>10</v>
      </c>
      <c r="BC25" s="62">
        <f t="shared" si="15"/>
        <v>9</v>
      </c>
      <c r="BD25" s="62">
        <f t="shared" si="16"/>
        <v>2.7</v>
      </c>
      <c r="BE25" s="64">
        <f t="shared" si="17"/>
        <v>8.3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8.24</v>
      </c>
      <c r="CQ25" s="129">
        <f t="shared" si="25"/>
        <v>8.3</v>
      </c>
      <c r="CR25" s="129">
        <f t="shared" si="26"/>
        <v>0</v>
      </c>
      <c r="CS25" s="130">
        <f t="shared" si="27"/>
        <v>5.51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5.51</v>
      </c>
      <c r="DB25" s="136"/>
      <c r="DC25" s="137">
        <f t="shared" si="31"/>
        <v>5.51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10.0</v>
      </c>
      <c r="E26" s="140"/>
      <c r="F26" s="139">
        <v>8.0</v>
      </c>
      <c r="G26" s="140"/>
      <c r="H26" s="139">
        <v>10.0</v>
      </c>
      <c r="I26" s="140"/>
      <c r="J26" s="140"/>
      <c r="K26" s="140"/>
      <c r="L26" s="62"/>
      <c r="M26" s="62"/>
      <c r="N26" s="143"/>
      <c r="O26" s="143"/>
      <c r="P26" s="143"/>
      <c r="Q26" s="143"/>
      <c r="R26" s="143"/>
      <c r="S26" s="143"/>
      <c r="T26" s="141"/>
      <c r="U26" s="141"/>
      <c r="V26" s="62">
        <f t="shared" si="9"/>
        <v>6.531</v>
      </c>
      <c r="W26" s="121">
        <v>8.0</v>
      </c>
      <c r="X26" s="123">
        <f>'PROY. INTER'!W26</f>
        <v>7.73</v>
      </c>
      <c r="Y26" s="62">
        <f t="shared" si="10"/>
        <v>7.865</v>
      </c>
      <c r="Z26" s="62">
        <f t="shared" si="11"/>
        <v>2.3595</v>
      </c>
      <c r="AA26" s="64">
        <f t="shared" si="12"/>
        <v>8.89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39">
        <v>10.0</v>
      </c>
      <c r="AI26" s="140"/>
      <c r="AJ26" s="139">
        <v>8.0</v>
      </c>
      <c r="AK26" s="140"/>
      <c r="AL26" s="140"/>
      <c r="AM26" s="140"/>
      <c r="AN26" s="140"/>
      <c r="AO26" s="140"/>
      <c r="AP26" s="62"/>
      <c r="AQ26" s="62"/>
      <c r="AR26" s="143"/>
      <c r="AS26" s="143"/>
      <c r="AT26" s="143"/>
      <c r="AU26" s="143"/>
      <c r="AV26" s="143"/>
      <c r="AW26" s="143"/>
      <c r="AX26" s="141"/>
      <c r="AY26" s="141"/>
      <c r="AZ26" s="62">
        <f t="shared" si="14"/>
        <v>6.3</v>
      </c>
      <c r="BA26" s="121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9.15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8.89</v>
      </c>
      <c r="CQ26" s="129">
        <f t="shared" si="25"/>
        <v>9.15</v>
      </c>
      <c r="CR26" s="129">
        <f t="shared" si="26"/>
        <v>0</v>
      </c>
      <c r="CS26" s="130">
        <f t="shared" si="27"/>
        <v>6.01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6.01</v>
      </c>
      <c r="DB26" s="136"/>
      <c r="DC26" s="137">
        <f t="shared" si="31"/>
        <v>6.01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10.0</v>
      </c>
      <c r="E27" s="140"/>
      <c r="F27" s="139">
        <v>9.75</v>
      </c>
      <c r="G27" s="140"/>
      <c r="H27" s="139">
        <v>10.0</v>
      </c>
      <c r="I27" s="140"/>
      <c r="J27" s="140"/>
      <c r="K27" s="140"/>
      <c r="L27" s="62"/>
      <c r="M27" s="62"/>
      <c r="N27" s="143"/>
      <c r="O27" s="143"/>
      <c r="P27" s="143"/>
      <c r="Q27" s="143"/>
      <c r="R27" s="143"/>
      <c r="S27" s="143"/>
      <c r="T27" s="141"/>
      <c r="U27" s="141"/>
      <c r="V27" s="62">
        <f t="shared" si="9"/>
        <v>6.937</v>
      </c>
      <c r="W27" s="121">
        <v>8.6</v>
      </c>
      <c r="X27" s="123">
        <f>'PROY. INTER'!W27</f>
        <v>6</v>
      </c>
      <c r="Y27" s="62">
        <f t="shared" si="10"/>
        <v>7.3</v>
      </c>
      <c r="Z27" s="62">
        <f t="shared" si="11"/>
        <v>2.19</v>
      </c>
      <c r="AA27" s="64">
        <f t="shared" si="12"/>
        <v>9.12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39">
        <v>10.0</v>
      </c>
      <c r="AI27" s="140"/>
      <c r="AJ27" s="139">
        <v>8.0</v>
      </c>
      <c r="AK27" s="140"/>
      <c r="AL27" s="140"/>
      <c r="AM27" s="140"/>
      <c r="AN27" s="140"/>
      <c r="AO27" s="140"/>
      <c r="AP27" s="62"/>
      <c r="AQ27" s="62"/>
      <c r="AR27" s="143"/>
      <c r="AS27" s="143"/>
      <c r="AT27" s="143"/>
      <c r="AU27" s="143"/>
      <c r="AV27" s="143"/>
      <c r="AW27" s="143"/>
      <c r="AX27" s="141"/>
      <c r="AY27" s="141"/>
      <c r="AZ27" s="62">
        <f t="shared" si="14"/>
        <v>6.3</v>
      </c>
      <c r="BA27" s="121">
        <v>10.0</v>
      </c>
      <c r="BB27" s="123">
        <f>'PROY. INTER'!AX27</f>
        <v>2</v>
      </c>
      <c r="BC27" s="62">
        <f t="shared" si="15"/>
        <v>6</v>
      </c>
      <c r="BD27" s="62">
        <f t="shared" si="16"/>
        <v>1.8</v>
      </c>
      <c r="BE27" s="64">
        <f t="shared" si="17"/>
        <v>8.1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9.12</v>
      </c>
      <c r="CQ27" s="129">
        <f t="shared" si="25"/>
        <v>8.1</v>
      </c>
      <c r="CR27" s="129">
        <f t="shared" si="26"/>
        <v>0</v>
      </c>
      <c r="CS27" s="130">
        <f t="shared" si="27"/>
        <v>5.74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5.74</v>
      </c>
      <c r="DB27" s="136"/>
      <c r="DC27" s="137">
        <f t="shared" si="31"/>
        <v>5.74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10.0</v>
      </c>
      <c r="E28" s="140"/>
      <c r="F28" s="139">
        <v>2.0</v>
      </c>
      <c r="G28" s="140"/>
      <c r="H28" s="139">
        <v>10.0</v>
      </c>
      <c r="I28" s="140"/>
      <c r="J28" s="140"/>
      <c r="K28" s="140"/>
      <c r="L28" s="62"/>
      <c r="M28" s="62"/>
      <c r="N28" s="143"/>
      <c r="O28" s="143"/>
      <c r="P28" s="143"/>
      <c r="Q28" s="143"/>
      <c r="R28" s="143"/>
      <c r="S28" s="143"/>
      <c r="T28" s="141"/>
      <c r="U28" s="141"/>
      <c r="V28" s="62">
        <f t="shared" si="9"/>
        <v>5.131</v>
      </c>
      <c r="W28" s="121">
        <v>8.25</v>
      </c>
      <c r="X28" s="123">
        <f>'PROY. INTER'!W28</f>
        <v>9.73</v>
      </c>
      <c r="Y28" s="62">
        <f t="shared" si="10"/>
        <v>8.99</v>
      </c>
      <c r="Z28" s="62">
        <f t="shared" si="11"/>
        <v>2.697</v>
      </c>
      <c r="AA28" s="64">
        <f t="shared" si="12"/>
        <v>7.82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39">
        <v>10.0</v>
      </c>
      <c r="AI28" s="140"/>
      <c r="AJ28" s="139">
        <v>8.0</v>
      </c>
      <c r="AK28" s="140"/>
      <c r="AL28" s="140"/>
      <c r="AM28" s="140"/>
      <c r="AN28" s="140"/>
      <c r="AO28" s="140"/>
      <c r="AP28" s="62"/>
      <c r="AQ28" s="62"/>
      <c r="AR28" s="143"/>
      <c r="AS28" s="143"/>
      <c r="AT28" s="143"/>
      <c r="AU28" s="143"/>
      <c r="AV28" s="143"/>
      <c r="AW28" s="143"/>
      <c r="AX28" s="141"/>
      <c r="AY28" s="141"/>
      <c r="AZ28" s="62">
        <f t="shared" si="14"/>
        <v>6.3</v>
      </c>
      <c r="BA28" s="121">
        <v>8.0</v>
      </c>
      <c r="BB28" s="123">
        <f>'PROY. INTER'!AX28</f>
        <v>10</v>
      </c>
      <c r="BC28" s="62">
        <f t="shared" si="15"/>
        <v>9</v>
      </c>
      <c r="BD28" s="62">
        <f t="shared" si="16"/>
        <v>2.7</v>
      </c>
      <c r="BE28" s="64">
        <f t="shared" si="17"/>
        <v>9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7.82</v>
      </c>
      <c r="CQ28" s="129">
        <f t="shared" si="25"/>
        <v>9</v>
      </c>
      <c r="CR28" s="129">
        <f t="shared" si="26"/>
        <v>0</v>
      </c>
      <c r="CS28" s="130">
        <f t="shared" si="27"/>
        <v>5.6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5.6</v>
      </c>
      <c r="DB28" s="136"/>
      <c r="DC28" s="137">
        <f t="shared" si="31"/>
        <v>5.6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40"/>
      <c r="F29" s="139">
        <v>9.75</v>
      </c>
      <c r="G29" s="140"/>
      <c r="H29" s="139">
        <v>10.0</v>
      </c>
      <c r="I29" s="140"/>
      <c r="J29" s="140"/>
      <c r="K29" s="140"/>
      <c r="L29" s="62"/>
      <c r="M29" s="62"/>
      <c r="N29" s="143"/>
      <c r="O29" s="143"/>
      <c r="P29" s="143"/>
      <c r="Q29" s="143"/>
      <c r="R29" s="143"/>
      <c r="S29" s="143"/>
      <c r="T29" s="141"/>
      <c r="U29" s="141"/>
      <c r="V29" s="62">
        <f t="shared" si="9"/>
        <v>6.937</v>
      </c>
      <c r="W29" s="121">
        <v>7.45</v>
      </c>
      <c r="X29" s="123">
        <f>'PROY. INTER'!W29</f>
        <v>9.2</v>
      </c>
      <c r="Y29" s="62">
        <f t="shared" si="10"/>
        <v>8.325</v>
      </c>
      <c r="Z29" s="62">
        <f t="shared" si="11"/>
        <v>2.4975</v>
      </c>
      <c r="AA29" s="64">
        <f t="shared" si="12"/>
        <v>9.43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39">
        <v>9.0</v>
      </c>
      <c r="AI29" s="140"/>
      <c r="AJ29" s="139">
        <v>6.0</v>
      </c>
      <c r="AK29" s="140"/>
      <c r="AL29" s="140"/>
      <c r="AM29" s="140"/>
      <c r="AN29" s="140"/>
      <c r="AO29" s="140"/>
      <c r="AP29" s="62"/>
      <c r="AQ29" s="62"/>
      <c r="AR29" s="143"/>
      <c r="AS29" s="143"/>
      <c r="AT29" s="143"/>
      <c r="AU29" s="143"/>
      <c r="AV29" s="143"/>
      <c r="AW29" s="143"/>
      <c r="AX29" s="141"/>
      <c r="AY29" s="141"/>
      <c r="AZ29" s="62">
        <f t="shared" si="14"/>
        <v>5.25</v>
      </c>
      <c r="BA29" s="121">
        <v>10.0</v>
      </c>
      <c r="BB29" s="123">
        <f>'PROY. INTER'!AX29</f>
        <v>10</v>
      </c>
      <c r="BC29" s="62">
        <f t="shared" si="15"/>
        <v>10</v>
      </c>
      <c r="BD29" s="62">
        <f t="shared" si="16"/>
        <v>3</v>
      </c>
      <c r="BE29" s="64">
        <f t="shared" si="17"/>
        <v>8.25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9.43</v>
      </c>
      <c r="CQ29" s="129">
        <f t="shared" si="25"/>
        <v>8.25</v>
      </c>
      <c r="CR29" s="129">
        <f t="shared" si="26"/>
        <v>0</v>
      </c>
      <c r="CS29" s="130">
        <f t="shared" si="27"/>
        <v>5.89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5.89</v>
      </c>
      <c r="DB29" s="136"/>
      <c r="DC29" s="137">
        <f t="shared" si="31"/>
        <v>5.89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10.0</v>
      </c>
      <c r="E30" s="140"/>
      <c r="F30" s="139">
        <v>10.0</v>
      </c>
      <c r="G30" s="140"/>
      <c r="H30" s="139">
        <v>10.0</v>
      </c>
      <c r="I30" s="140"/>
      <c r="J30" s="140"/>
      <c r="K30" s="140"/>
      <c r="L30" s="62"/>
      <c r="M30" s="62"/>
      <c r="N30" s="143"/>
      <c r="O30" s="143"/>
      <c r="P30" s="143"/>
      <c r="Q30" s="143"/>
      <c r="R30" s="143"/>
      <c r="S30" s="143"/>
      <c r="T30" s="141"/>
      <c r="U30" s="141"/>
      <c r="V30" s="62">
        <f t="shared" si="9"/>
        <v>7</v>
      </c>
      <c r="W30" s="121">
        <v>8.75</v>
      </c>
      <c r="X30" s="123">
        <f>'PROY. INTER'!W30</f>
        <v>9.47</v>
      </c>
      <c r="Y30" s="62">
        <f t="shared" si="10"/>
        <v>9.11</v>
      </c>
      <c r="Z30" s="62">
        <f t="shared" si="11"/>
        <v>2.733</v>
      </c>
      <c r="AA30" s="64">
        <f t="shared" si="12"/>
        <v>9.73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39">
        <v>10.0</v>
      </c>
      <c r="AI30" s="140"/>
      <c r="AJ30" s="139">
        <v>8.5</v>
      </c>
      <c r="AK30" s="140"/>
      <c r="AL30" s="140"/>
      <c r="AM30" s="140"/>
      <c r="AN30" s="140"/>
      <c r="AO30" s="140"/>
      <c r="AP30" s="62"/>
      <c r="AQ30" s="62"/>
      <c r="AR30" s="143"/>
      <c r="AS30" s="143"/>
      <c r="AT30" s="143"/>
      <c r="AU30" s="143"/>
      <c r="AV30" s="143"/>
      <c r="AW30" s="143"/>
      <c r="AX30" s="141"/>
      <c r="AY30" s="141"/>
      <c r="AZ30" s="62">
        <f t="shared" si="14"/>
        <v>6.475</v>
      </c>
      <c r="BA30" s="121">
        <v>8.0</v>
      </c>
      <c r="BB30" s="123">
        <f>'PROY. INTER'!AX30</f>
        <v>10</v>
      </c>
      <c r="BC30" s="62">
        <f t="shared" si="15"/>
        <v>9</v>
      </c>
      <c r="BD30" s="62">
        <f t="shared" si="16"/>
        <v>2.7</v>
      </c>
      <c r="BE30" s="64">
        <f t="shared" si="17"/>
        <v>9.17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9.73</v>
      </c>
      <c r="CQ30" s="129">
        <f t="shared" si="25"/>
        <v>9.17</v>
      </c>
      <c r="CR30" s="129">
        <f t="shared" si="26"/>
        <v>0</v>
      </c>
      <c r="CS30" s="130">
        <f t="shared" si="27"/>
        <v>6.3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6.3</v>
      </c>
      <c r="DB30" s="136"/>
      <c r="DC30" s="137">
        <f t="shared" si="31"/>
        <v>6.3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40"/>
      <c r="F31" s="139">
        <v>10.0</v>
      </c>
      <c r="G31" s="140"/>
      <c r="H31" s="139">
        <v>10.0</v>
      </c>
      <c r="I31" s="140"/>
      <c r="J31" s="140"/>
      <c r="K31" s="140"/>
      <c r="L31" s="62"/>
      <c r="M31" s="62"/>
      <c r="N31" s="143"/>
      <c r="O31" s="143"/>
      <c r="P31" s="143"/>
      <c r="Q31" s="143"/>
      <c r="R31" s="143"/>
      <c r="S31" s="143"/>
      <c r="T31" s="141"/>
      <c r="U31" s="141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39">
        <v>10.0</v>
      </c>
      <c r="AI31" s="140"/>
      <c r="AJ31" s="139">
        <v>10.0</v>
      </c>
      <c r="AK31" s="140"/>
      <c r="AL31" s="140"/>
      <c r="AM31" s="140"/>
      <c r="AN31" s="140"/>
      <c r="AO31" s="140"/>
      <c r="AP31" s="62"/>
      <c r="AQ31" s="62"/>
      <c r="AR31" s="143"/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7.0</v>
      </c>
      <c r="E32" s="140"/>
      <c r="F32" s="139">
        <v>6.5</v>
      </c>
      <c r="G32" s="140"/>
      <c r="H32" s="139">
        <v>6.0</v>
      </c>
      <c r="I32" s="140"/>
      <c r="J32" s="140"/>
      <c r="K32" s="140"/>
      <c r="L32" s="62"/>
      <c r="M32" s="62"/>
      <c r="N32" s="143"/>
      <c r="O32" s="143"/>
      <c r="P32" s="143"/>
      <c r="Q32" s="143"/>
      <c r="R32" s="143"/>
      <c r="S32" s="143"/>
      <c r="T32" s="141"/>
      <c r="U32" s="141"/>
      <c r="V32" s="62">
        <f t="shared" si="9"/>
        <v>4.55</v>
      </c>
      <c r="W32" s="121">
        <v>7.6</v>
      </c>
      <c r="X32" s="123">
        <f>'PROY. INTER'!W32</f>
        <v>6.47</v>
      </c>
      <c r="Y32" s="62">
        <f t="shared" si="10"/>
        <v>7.035</v>
      </c>
      <c r="Z32" s="62">
        <f t="shared" si="11"/>
        <v>2.1105</v>
      </c>
      <c r="AA32" s="64">
        <f t="shared" si="12"/>
        <v>6.66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39">
        <v>10.0</v>
      </c>
      <c r="AI32" s="140"/>
      <c r="AJ32" s="139">
        <v>8.0</v>
      </c>
      <c r="AK32" s="140"/>
      <c r="AL32" s="140"/>
      <c r="AM32" s="140"/>
      <c r="AN32" s="140"/>
      <c r="AO32" s="140"/>
      <c r="AP32" s="62"/>
      <c r="AQ32" s="62"/>
      <c r="AR32" s="143"/>
      <c r="AS32" s="143"/>
      <c r="AT32" s="143"/>
      <c r="AU32" s="143"/>
      <c r="AV32" s="143"/>
      <c r="AW32" s="143"/>
      <c r="AX32" s="141"/>
      <c r="AY32" s="141"/>
      <c r="AZ32" s="62">
        <f t="shared" si="14"/>
        <v>6.3</v>
      </c>
      <c r="BA32" s="121">
        <v>7.0</v>
      </c>
      <c r="BB32" s="123">
        <f>'PROY. INTER'!AX32</f>
        <v>10</v>
      </c>
      <c r="BC32" s="62">
        <f t="shared" si="15"/>
        <v>8.5</v>
      </c>
      <c r="BD32" s="62">
        <f t="shared" si="16"/>
        <v>2.55</v>
      </c>
      <c r="BE32" s="64">
        <f t="shared" si="17"/>
        <v>8.85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6.66</v>
      </c>
      <c r="CQ32" s="129">
        <f t="shared" si="25"/>
        <v>8.85</v>
      </c>
      <c r="CR32" s="129">
        <f t="shared" si="26"/>
        <v>0</v>
      </c>
      <c r="CS32" s="130">
        <f t="shared" si="27"/>
        <v>5.17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5.17</v>
      </c>
      <c r="DB32" s="136"/>
      <c r="DC32" s="137">
        <f t="shared" si="31"/>
        <v>5.17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10.0</v>
      </c>
      <c r="E33" s="140"/>
      <c r="F33" s="139">
        <v>7.75</v>
      </c>
      <c r="G33" s="140"/>
      <c r="H33" s="139">
        <v>10.0</v>
      </c>
      <c r="I33" s="140"/>
      <c r="J33" s="140"/>
      <c r="K33" s="140"/>
      <c r="L33" s="62"/>
      <c r="M33" s="62"/>
      <c r="N33" s="143"/>
      <c r="O33" s="143"/>
      <c r="P33" s="143"/>
      <c r="Q33" s="143"/>
      <c r="R33" s="143"/>
      <c r="S33" s="143"/>
      <c r="T33" s="141"/>
      <c r="U33" s="141"/>
      <c r="V33" s="62">
        <f t="shared" si="9"/>
        <v>6.475</v>
      </c>
      <c r="W33" s="121">
        <v>9.1</v>
      </c>
      <c r="X33" s="123">
        <f>'PROY. INTER'!W33</f>
        <v>9.2</v>
      </c>
      <c r="Y33" s="62">
        <f t="shared" si="10"/>
        <v>9.15</v>
      </c>
      <c r="Z33" s="62">
        <f t="shared" si="11"/>
        <v>2.745</v>
      </c>
      <c r="AA33" s="64">
        <f t="shared" si="12"/>
        <v>9.22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39">
        <v>7.0</v>
      </c>
      <c r="AI33" s="140"/>
      <c r="AJ33" s="139">
        <v>8.0</v>
      </c>
      <c r="AK33" s="140"/>
      <c r="AL33" s="140"/>
      <c r="AM33" s="140"/>
      <c r="AN33" s="140"/>
      <c r="AO33" s="140"/>
      <c r="AP33" s="62"/>
      <c r="AQ33" s="62"/>
      <c r="AR33" s="143"/>
      <c r="AS33" s="143"/>
      <c r="AT33" s="143"/>
      <c r="AU33" s="143"/>
      <c r="AV33" s="143"/>
      <c r="AW33" s="143"/>
      <c r="AX33" s="141"/>
      <c r="AY33" s="141"/>
      <c r="AZ33" s="62">
        <f t="shared" si="14"/>
        <v>5.25</v>
      </c>
      <c r="BA33" s="121">
        <v>8.0</v>
      </c>
      <c r="BB33" s="123">
        <f>'PROY. INTER'!AX33</f>
        <v>10</v>
      </c>
      <c r="BC33" s="62">
        <f t="shared" si="15"/>
        <v>9</v>
      </c>
      <c r="BD33" s="62">
        <f t="shared" si="16"/>
        <v>2.7</v>
      </c>
      <c r="BE33" s="64">
        <f t="shared" si="17"/>
        <v>7.95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9.22</v>
      </c>
      <c r="CQ33" s="129">
        <f t="shared" si="25"/>
        <v>7.95</v>
      </c>
      <c r="CR33" s="129">
        <f t="shared" si="26"/>
        <v>0</v>
      </c>
      <c r="CS33" s="130">
        <f t="shared" si="27"/>
        <v>5.72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5.72</v>
      </c>
      <c r="DB33" s="136"/>
      <c r="DC33" s="137">
        <f t="shared" si="31"/>
        <v>5.72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10.0</v>
      </c>
      <c r="E34" s="140"/>
      <c r="F34" s="139">
        <v>9.25</v>
      </c>
      <c r="G34" s="140"/>
      <c r="H34" s="139">
        <v>10.0</v>
      </c>
      <c r="I34" s="140"/>
      <c r="J34" s="140"/>
      <c r="K34" s="140"/>
      <c r="L34" s="62"/>
      <c r="M34" s="62"/>
      <c r="N34" s="143"/>
      <c r="O34" s="143"/>
      <c r="P34" s="143"/>
      <c r="Q34" s="143"/>
      <c r="R34" s="143"/>
      <c r="S34" s="143"/>
      <c r="T34" s="141"/>
      <c r="U34" s="141"/>
      <c r="V34" s="62">
        <f t="shared" si="9"/>
        <v>6.825</v>
      </c>
      <c r="W34" s="121">
        <v>8.6</v>
      </c>
      <c r="X34" s="123">
        <f>'PROY. INTER'!W34</f>
        <v>7.33</v>
      </c>
      <c r="Y34" s="62">
        <f t="shared" si="10"/>
        <v>7.965</v>
      </c>
      <c r="Z34" s="62">
        <f t="shared" si="11"/>
        <v>2.3895</v>
      </c>
      <c r="AA34" s="64">
        <f t="shared" si="12"/>
        <v>9.21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39">
        <v>9.0</v>
      </c>
      <c r="AI34" s="140"/>
      <c r="AJ34" s="139">
        <v>9.0</v>
      </c>
      <c r="AK34" s="140"/>
      <c r="AL34" s="140"/>
      <c r="AM34" s="140"/>
      <c r="AN34" s="140"/>
      <c r="AO34" s="140"/>
      <c r="AP34" s="62"/>
      <c r="AQ34" s="62"/>
      <c r="AR34" s="143"/>
      <c r="AS34" s="143"/>
      <c r="AT34" s="143"/>
      <c r="AU34" s="143"/>
      <c r="AV34" s="143"/>
      <c r="AW34" s="143"/>
      <c r="AX34" s="141"/>
      <c r="AY34" s="141"/>
      <c r="AZ34" s="62">
        <f t="shared" si="14"/>
        <v>6.3</v>
      </c>
      <c r="BA34" s="121">
        <v>9.0</v>
      </c>
      <c r="BB34" s="123">
        <f>'PROY. INTER'!AX34</f>
        <v>10</v>
      </c>
      <c r="BC34" s="62">
        <f t="shared" si="15"/>
        <v>9.5</v>
      </c>
      <c r="BD34" s="62">
        <f t="shared" si="16"/>
        <v>2.85</v>
      </c>
      <c r="BE34" s="64">
        <f t="shared" si="17"/>
        <v>9.15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9.21</v>
      </c>
      <c r="CQ34" s="129">
        <f t="shared" si="25"/>
        <v>9.15</v>
      </c>
      <c r="CR34" s="129">
        <f t="shared" si="26"/>
        <v>0</v>
      </c>
      <c r="CS34" s="130">
        <f t="shared" si="27"/>
        <v>6.12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6.12</v>
      </c>
      <c r="DB34" s="136"/>
      <c r="DC34" s="137">
        <f t="shared" si="31"/>
        <v>6.12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10.0</v>
      </c>
      <c r="E35" s="140"/>
      <c r="F35" s="139">
        <v>7.75</v>
      </c>
      <c r="G35" s="140"/>
      <c r="H35" s="139">
        <v>10.0</v>
      </c>
      <c r="I35" s="140"/>
      <c r="J35" s="140"/>
      <c r="K35" s="140"/>
      <c r="L35" s="62"/>
      <c r="M35" s="62"/>
      <c r="N35" s="143"/>
      <c r="O35" s="143"/>
      <c r="P35" s="143"/>
      <c r="Q35" s="143"/>
      <c r="R35" s="143"/>
      <c r="S35" s="143"/>
      <c r="T35" s="141"/>
      <c r="U35" s="141"/>
      <c r="V35" s="62">
        <f t="shared" si="9"/>
        <v>6.475</v>
      </c>
      <c r="W35" s="121">
        <v>8.5</v>
      </c>
      <c r="X35" s="123">
        <f>'PROY. INTER'!W35</f>
        <v>9.73</v>
      </c>
      <c r="Y35" s="62">
        <f t="shared" si="10"/>
        <v>9.115</v>
      </c>
      <c r="Z35" s="62">
        <f t="shared" si="11"/>
        <v>2.7345</v>
      </c>
      <c r="AA35" s="64">
        <f t="shared" si="12"/>
        <v>9.2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39">
        <v>10.0</v>
      </c>
      <c r="AI35" s="140"/>
      <c r="AJ35" s="139">
        <v>8.0</v>
      </c>
      <c r="AK35" s="140"/>
      <c r="AL35" s="140"/>
      <c r="AM35" s="140"/>
      <c r="AN35" s="140"/>
      <c r="AO35" s="140"/>
      <c r="AP35" s="62"/>
      <c r="AQ35" s="62"/>
      <c r="AR35" s="143"/>
      <c r="AS35" s="143"/>
      <c r="AT35" s="143"/>
      <c r="AU35" s="143"/>
      <c r="AV35" s="143"/>
      <c r="AW35" s="143"/>
      <c r="AX35" s="141"/>
      <c r="AY35" s="141"/>
      <c r="AZ35" s="62">
        <f t="shared" si="14"/>
        <v>6.3</v>
      </c>
      <c r="BA35" s="121">
        <v>8.0</v>
      </c>
      <c r="BB35" s="123">
        <f>'PROY. INTER'!AX35</f>
        <v>10</v>
      </c>
      <c r="BC35" s="62">
        <f t="shared" si="15"/>
        <v>9</v>
      </c>
      <c r="BD35" s="62">
        <f t="shared" si="16"/>
        <v>2.7</v>
      </c>
      <c r="BE35" s="64">
        <f t="shared" si="17"/>
        <v>9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9.2</v>
      </c>
      <c r="CQ35" s="129">
        <f t="shared" si="25"/>
        <v>9</v>
      </c>
      <c r="CR35" s="129">
        <f t="shared" si="26"/>
        <v>0</v>
      </c>
      <c r="CS35" s="130">
        <f t="shared" si="27"/>
        <v>6.06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6.06</v>
      </c>
      <c r="DB35" s="136"/>
      <c r="DC35" s="137">
        <f t="shared" si="31"/>
        <v>6.06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5.704583333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23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1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 AH12:AO61">
    <cfRule type="cellIs" dxfId="0" priority="1" operator="lessThan">
      <formula>7</formula>
    </cfRule>
  </conditionalFormatting>
  <conditionalFormatting sqref="BL12:BS61">
    <cfRule type="cellIs" dxfId="0" priority="2" operator="lessThan">
      <formula>7</formula>
    </cfRule>
  </conditionalFormatting>
  <conditionalFormatting sqref="CT12:CT61">
    <cfRule type="containsText" dxfId="1" priority="3" operator="containsText" text="REPROBADO">
      <formula>NOT(ISERROR(SEARCH(("REPROBADO"),(CT12))))</formula>
    </cfRule>
  </conditionalFormatting>
  <conditionalFormatting sqref="CT12:CT61">
    <cfRule type="containsText" dxfId="2" priority="4" operator="containsText" text="SUPLETORIO">
      <formula>NOT(ISERROR(SEARCH(("SUPLETORIO"),(CT12))))</formula>
    </cfRule>
  </conditionalFormatting>
  <conditionalFormatting sqref="CT12:CT61">
    <cfRule type="containsText" dxfId="3" priority="5" operator="containsText" text="APROBADO">
      <formula>NOT(ISERROR(SEARCH(("APROBADO"),(CT12))))</formula>
    </cfRule>
  </conditionalFormatting>
  <conditionalFormatting sqref="CT12:CT61">
    <cfRule type="containsText" dxfId="4" priority="6" operator="containsText" text="REMEDIAL">
      <formula>NOT(ISERROR(SEARCH(("REMEDIAL"),(CT12))))</formula>
    </cfRule>
  </conditionalFormatting>
  <conditionalFormatting sqref="CT12:CT61">
    <cfRule type="containsText" dxfId="5" priority="7" operator="containsText" text="SUPLETORIO">
      <formula>NOT(ISERROR(SEARCH(("SUPLETORIO"),(CT12))))</formula>
    </cfRule>
  </conditionalFormatting>
  <conditionalFormatting sqref="CT12:CT61">
    <cfRule type="containsText" dxfId="6" priority="8" operator="containsText" text="APROBADO">
      <formula>NOT(ISERROR(SEARCH(("APROBADO"),(CT12))))</formula>
    </cfRule>
  </conditionalFormatting>
  <conditionalFormatting sqref="DC12:DC61">
    <cfRule type="expression" dxfId="7" priority="9">
      <formula>ISERROR(DC12)</formula>
    </cfRule>
  </conditionalFormatting>
  <conditionalFormatting sqref="DD12:DD61">
    <cfRule type="containsText" dxfId="0" priority="10" operator="containsText" text="NO PROMOVIDO">
      <formula>NOT(ISERROR(SEARCH(("NO PROMOVIDO"),(DD12))))</formula>
    </cfRule>
  </conditionalFormatting>
  <conditionalFormatting sqref="DD12:DD61">
    <cfRule type="containsText" dxfId="8" priority="11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 DEBE SER ENTRE 0 Y 10 PTS" sqref="D12:U61 W12:W61 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hidden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E1" s="255"/>
      <c r="F1" s="255"/>
      <c r="G1" s="255"/>
      <c r="W1" s="255"/>
      <c r="AA1" s="73"/>
      <c r="AC1" s="2"/>
      <c r="BG1" s="2"/>
      <c r="CK1" s="2"/>
      <c r="CV1" s="2"/>
    </row>
    <row r="2" ht="21.0" customHeight="1">
      <c r="A2" s="3" t="s">
        <v>0</v>
      </c>
      <c r="B2" s="4"/>
      <c r="C2" s="5" t="s">
        <v>168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>CO2</f>
        <v>UNIDAD EDUCATIVA EMILIO ISAÍAS ABIHANNA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169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REYNALDO LINDAO GALECIO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REYNALDO LINDAO GALECIO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REYNALDO LINDAO GALECIO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ref="CZ3:CZ4" si="4">C3</f>
        <v>REYNALDO LINDAO GALECIO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256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257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256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256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258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259" t="str">
        <f>G4</f>
        <v>B</v>
      </c>
    </row>
    <row r="5" ht="7.5" customHeight="1">
      <c r="E5" s="255"/>
      <c r="F5" s="255"/>
      <c r="G5" s="255"/>
      <c r="W5" s="255"/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170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HISTORIA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HISTORIA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HISTORIA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HISTORIA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60" t="s">
        <v>78</v>
      </c>
      <c r="X8" s="24" t="s">
        <v>16</v>
      </c>
      <c r="Y8" s="82" t="s">
        <v>79</v>
      </c>
      <c r="Z8" s="25">
        <v>0.3</v>
      </c>
      <c r="AA8" s="26" t="s">
        <v>171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172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173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HIST!CM10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261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262" t="s">
        <v>97</v>
      </c>
      <c r="F11" s="262" t="s">
        <v>96</v>
      </c>
      <c r="G11" s="262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263">
        <v>10.0</v>
      </c>
      <c r="E12" s="264">
        <v>10.0</v>
      </c>
      <c r="F12" s="264">
        <v>10.0</v>
      </c>
      <c r="G12" s="264">
        <v>10.0</v>
      </c>
      <c r="H12" s="120"/>
      <c r="I12" s="120"/>
      <c r="J12" s="120"/>
      <c r="K12" s="120"/>
      <c r="L12" s="62"/>
      <c r="M12" s="62"/>
      <c r="N12" s="62"/>
      <c r="O12" s="62"/>
      <c r="P12" s="62"/>
      <c r="Q12" s="62"/>
      <c r="R12" s="62"/>
      <c r="S12" s="62"/>
      <c r="T12" s="122"/>
      <c r="U12" s="122"/>
      <c r="V12" s="62">
        <f t="shared" ref="V12:V61" si="9">IFERROR(TRUNC(AVERAGE(D12:U12),2),"")*70/100</f>
        <v>7</v>
      </c>
      <c r="W12" s="264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10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19">
        <v>10.0</v>
      </c>
      <c r="AI12" s="119">
        <v>10.0</v>
      </c>
      <c r="AJ12" s="119">
        <v>10.0</v>
      </c>
      <c r="AK12" s="119">
        <v>10.0</v>
      </c>
      <c r="AL12" s="120"/>
      <c r="AM12" s="120"/>
      <c r="AN12" s="120"/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265">
        <v>10.0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10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6.66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6.66</v>
      </c>
      <c r="DB12" s="136"/>
      <c r="DC12" s="137">
        <f t="shared" ref="DC12:DC61" si="31">IF(DA12&gt;=7,DA12,IF(DA12="","",IF(DB12="",AVERAGE(DA12:DB12),IF(AND(DA12&lt;4.01,DB12&lt;&gt;""),DA12,IF(DB12&lt;7,DA12,7)))))</f>
        <v>6.66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263">
        <v>10.0</v>
      </c>
      <c r="E13" s="264">
        <v>10.0</v>
      </c>
      <c r="F13" s="264">
        <v>10.0</v>
      </c>
      <c r="G13" s="264">
        <v>10.0</v>
      </c>
      <c r="H13" s="140"/>
      <c r="I13" s="140"/>
      <c r="J13" s="140"/>
      <c r="K13" s="140"/>
      <c r="L13" s="62"/>
      <c r="M13" s="62"/>
      <c r="N13" s="62"/>
      <c r="O13" s="62"/>
      <c r="P13" s="62"/>
      <c r="Q13" s="62"/>
      <c r="R13" s="62"/>
      <c r="S13" s="62"/>
      <c r="T13" s="141"/>
      <c r="U13" s="141"/>
      <c r="V13" s="62">
        <f t="shared" si="9"/>
        <v>7</v>
      </c>
      <c r="W13" s="264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10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10.0</v>
      </c>
      <c r="AI13" s="139">
        <v>10.0</v>
      </c>
      <c r="AJ13" s="139">
        <v>10.0</v>
      </c>
      <c r="AK13" s="139">
        <v>10.0</v>
      </c>
      <c r="AL13" s="140"/>
      <c r="AM13" s="140"/>
      <c r="AN13" s="140"/>
      <c r="AO13" s="140"/>
      <c r="AP13" s="62"/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265">
        <v>10.0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10</v>
      </c>
      <c r="CQ13" s="129">
        <f t="shared" si="25"/>
        <v>10</v>
      </c>
      <c r="CR13" s="129">
        <f t="shared" si="26"/>
        <v>0</v>
      </c>
      <c r="CS13" s="130">
        <f t="shared" si="27"/>
        <v>6.66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6.66</v>
      </c>
      <c r="DB13" s="142"/>
      <c r="DC13" s="137">
        <f t="shared" si="31"/>
        <v>6.66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263">
        <v>10.0</v>
      </c>
      <c r="E14" s="264">
        <v>10.0</v>
      </c>
      <c r="F14" s="264">
        <v>10.0</v>
      </c>
      <c r="G14" s="264">
        <v>10.0</v>
      </c>
      <c r="H14" s="140"/>
      <c r="I14" s="140"/>
      <c r="J14" s="140"/>
      <c r="K14" s="140"/>
      <c r="L14" s="62"/>
      <c r="M14" s="62"/>
      <c r="N14" s="143"/>
      <c r="O14" s="143"/>
      <c r="P14" s="143"/>
      <c r="Q14" s="143"/>
      <c r="R14" s="143"/>
      <c r="S14" s="143"/>
      <c r="T14" s="141"/>
      <c r="U14" s="141"/>
      <c r="V14" s="62">
        <f t="shared" si="9"/>
        <v>7</v>
      </c>
      <c r="W14" s="264">
        <v>10.0</v>
      </c>
      <c r="X14" s="123">
        <f>'PROY. INTER'!W14</f>
        <v>8.2</v>
      </c>
      <c r="Y14" s="62">
        <f t="shared" si="10"/>
        <v>9.1</v>
      </c>
      <c r="Z14" s="62">
        <f t="shared" si="11"/>
        <v>2.73</v>
      </c>
      <c r="AA14" s="64">
        <f t="shared" si="12"/>
        <v>9.73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39">
        <v>10.0</v>
      </c>
      <c r="AI14" s="139">
        <v>9.0</v>
      </c>
      <c r="AJ14" s="139">
        <v>10.0</v>
      </c>
      <c r="AK14" s="139">
        <v>9.0</v>
      </c>
      <c r="AL14" s="140"/>
      <c r="AM14" s="140"/>
      <c r="AN14" s="140"/>
      <c r="AO14" s="140"/>
      <c r="AP14" s="62"/>
      <c r="AQ14" s="62"/>
      <c r="AR14" s="143"/>
      <c r="AS14" s="143"/>
      <c r="AT14" s="143"/>
      <c r="AU14" s="143"/>
      <c r="AV14" s="143"/>
      <c r="AW14" s="143"/>
      <c r="AX14" s="141"/>
      <c r="AY14" s="141"/>
      <c r="AZ14" s="62">
        <f t="shared" si="14"/>
        <v>6.65</v>
      </c>
      <c r="BA14" s="121">
        <v>10.0</v>
      </c>
      <c r="BB14" s="265">
        <v>10.0</v>
      </c>
      <c r="BC14" s="62">
        <f t="shared" si="15"/>
        <v>10</v>
      </c>
      <c r="BD14" s="62">
        <f t="shared" si="16"/>
        <v>3</v>
      </c>
      <c r="BE14" s="64">
        <f t="shared" si="17"/>
        <v>9.65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9.73</v>
      </c>
      <c r="CQ14" s="129">
        <f t="shared" si="25"/>
        <v>9.65</v>
      </c>
      <c r="CR14" s="129">
        <f t="shared" si="26"/>
        <v>0</v>
      </c>
      <c r="CS14" s="130">
        <f t="shared" si="27"/>
        <v>6.46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6.46</v>
      </c>
      <c r="DB14" s="136"/>
      <c r="DC14" s="137">
        <f t="shared" si="31"/>
        <v>6.46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263">
        <v>10.0</v>
      </c>
      <c r="E15" s="264">
        <v>1.0</v>
      </c>
      <c r="F15" s="264">
        <v>10.0</v>
      </c>
      <c r="G15" s="264">
        <v>10.0</v>
      </c>
      <c r="H15" s="140"/>
      <c r="I15" s="140"/>
      <c r="J15" s="140"/>
      <c r="K15" s="140"/>
      <c r="L15" s="62"/>
      <c r="M15" s="62"/>
      <c r="N15" s="143"/>
      <c r="O15" s="143"/>
      <c r="P15" s="143"/>
      <c r="Q15" s="143"/>
      <c r="R15" s="143"/>
      <c r="S15" s="143"/>
      <c r="T15" s="141"/>
      <c r="U15" s="141"/>
      <c r="V15" s="62">
        <f t="shared" si="9"/>
        <v>5.425</v>
      </c>
      <c r="W15" s="264">
        <v>10.0</v>
      </c>
      <c r="X15" s="123">
        <f>'PROY. INTER'!W15</f>
        <v>6.73</v>
      </c>
      <c r="Y15" s="62">
        <f t="shared" si="10"/>
        <v>8.365</v>
      </c>
      <c r="Z15" s="62">
        <f t="shared" si="11"/>
        <v>2.5095</v>
      </c>
      <c r="AA15" s="64">
        <f t="shared" si="12"/>
        <v>7.93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39">
        <v>10.0</v>
      </c>
      <c r="AI15" s="139">
        <v>10.0</v>
      </c>
      <c r="AJ15" s="139">
        <v>10.0</v>
      </c>
      <c r="AK15" s="139">
        <v>10.0</v>
      </c>
      <c r="AL15" s="140"/>
      <c r="AM15" s="140"/>
      <c r="AN15" s="140"/>
      <c r="AO15" s="140"/>
      <c r="AP15" s="62"/>
      <c r="AQ15" s="62"/>
      <c r="AR15" s="143"/>
      <c r="AS15" s="143"/>
      <c r="AT15" s="143"/>
      <c r="AU15" s="143"/>
      <c r="AV15" s="143"/>
      <c r="AW15" s="143"/>
      <c r="AX15" s="141"/>
      <c r="AY15" s="141"/>
      <c r="AZ15" s="62">
        <f t="shared" si="14"/>
        <v>7</v>
      </c>
      <c r="BA15" s="121">
        <v>10.0</v>
      </c>
      <c r="BB15" s="265">
        <v>10.0</v>
      </c>
      <c r="BC15" s="62">
        <f t="shared" si="15"/>
        <v>10</v>
      </c>
      <c r="BD15" s="62">
        <f t="shared" si="16"/>
        <v>3</v>
      </c>
      <c r="BE15" s="64">
        <f t="shared" si="17"/>
        <v>10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7.93</v>
      </c>
      <c r="CQ15" s="129">
        <f t="shared" si="25"/>
        <v>10</v>
      </c>
      <c r="CR15" s="129">
        <f t="shared" si="26"/>
        <v>0</v>
      </c>
      <c r="CS15" s="130">
        <f t="shared" si="27"/>
        <v>5.97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5.97</v>
      </c>
      <c r="DB15" s="136"/>
      <c r="DC15" s="137">
        <f t="shared" si="31"/>
        <v>5.97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266"/>
      <c r="E16" s="267"/>
      <c r="F16" s="267"/>
      <c r="G16" s="267"/>
      <c r="H16" s="140"/>
      <c r="I16" s="140"/>
      <c r="J16" s="140"/>
      <c r="K16" s="140"/>
      <c r="L16" s="62"/>
      <c r="M16" s="62"/>
      <c r="N16" s="143"/>
      <c r="O16" s="143"/>
      <c r="P16" s="143"/>
      <c r="Q16" s="143"/>
      <c r="R16" s="143"/>
      <c r="S16" s="143"/>
      <c r="T16" s="141"/>
      <c r="U16" s="141"/>
      <c r="V16" s="62">
        <f t="shared" si="9"/>
        <v>0</v>
      </c>
      <c r="W16" s="267"/>
      <c r="X16" s="123">
        <f>'PROY. INTER'!W16</f>
        <v>6</v>
      </c>
      <c r="Y16" s="62">
        <f t="shared" si="10"/>
        <v>6</v>
      </c>
      <c r="Z16" s="62">
        <f t="shared" si="11"/>
        <v>1.8</v>
      </c>
      <c r="AA16" s="64">
        <f t="shared" si="12"/>
        <v>1.8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39">
        <v>9.0</v>
      </c>
      <c r="AI16" s="139">
        <v>9.0</v>
      </c>
      <c r="AJ16" s="139">
        <v>9.0</v>
      </c>
      <c r="AK16" s="139">
        <v>9.0</v>
      </c>
      <c r="AL16" s="140"/>
      <c r="AM16" s="140"/>
      <c r="AN16" s="140"/>
      <c r="AO16" s="140"/>
      <c r="AP16" s="62"/>
      <c r="AQ16" s="62"/>
      <c r="AR16" s="143"/>
      <c r="AS16" s="143"/>
      <c r="AT16" s="143"/>
      <c r="AU16" s="143"/>
      <c r="AV16" s="143"/>
      <c r="AW16" s="143"/>
      <c r="AX16" s="141"/>
      <c r="AY16" s="141"/>
      <c r="AZ16" s="62">
        <f t="shared" si="14"/>
        <v>6.3</v>
      </c>
      <c r="BA16" s="121">
        <v>9.0</v>
      </c>
      <c r="BB16" s="265">
        <v>10.0</v>
      </c>
      <c r="BC16" s="62">
        <f t="shared" si="15"/>
        <v>9.5</v>
      </c>
      <c r="BD16" s="62">
        <f t="shared" si="16"/>
        <v>2.85</v>
      </c>
      <c r="BE16" s="64">
        <f t="shared" si="17"/>
        <v>9.15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1.8</v>
      </c>
      <c r="CQ16" s="129">
        <f t="shared" si="25"/>
        <v>9.15</v>
      </c>
      <c r="CR16" s="129">
        <f t="shared" si="26"/>
        <v>0</v>
      </c>
      <c r="CS16" s="130">
        <f t="shared" si="27"/>
        <v>3.65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3.65</v>
      </c>
      <c r="DB16" s="136"/>
      <c r="DC16" s="137">
        <f t="shared" si="31"/>
        <v>3.65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263">
        <v>10.0</v>
      </c>
      <c r="E17" s="264">
        <v>10.0</v>
      </c>
      <c r="F17" s="264">
        <v>10.0</v>
      </c>
      <c r="G17" s="264">
        <v>10.0</v>
      </c>
      <c r="H17" s="140"/>
      <c r="I17" s="140"/>
      <c r="J17" s="140"/>
      <c r="K17" s="140"/>
      <c r="L17" s="62"/>
      <c r="M17" s="62"/>
      <c r="N17" s="143"/>
      <c r="O17" s="143"/>
      <c r="P17" s="143"/>
      <c r="Q17" s="143"/>
      <c r="R17" s="143"/>
      <c r="S17" s="143"/>
      <c r="T17" s="141"/>
      <c r="U17" s="141"/>
      <c r="V17" s="62">
        <f t="shared" si="9"/>
        <v>7</v>
      </c>
      <c r="W17" s="264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9.98</v>
      </c>
      <c r="AC17" s="2"/>
      <c r="AE17" s="56">
        <v>6.0</v>
      </c>
      <c r="AF17" s="124" t="str">
        <f t="shared" ref="AF17:AG17" si="45">B17</f>
        <v/>
      </c>
      <c r="AG17" s="188" t="str">
        <f t="shared" si="45"/>
        <v>Cantos Zúñiga a Hernán Snayder</v>
      </c>
      <c r="AH17" s="139">
        <v>9.0</v>
      </c>
      <c r="AI17" s="139">
        <v>9.0</v>
      </c>
      <c r="AJ17" s="139">
        <v>9.0</v>
      </c>
      <c r="AK17" s="139">
        <v>9.0</v>
      </c>
      <c r="AL17" s="140"/>
      <c r="AM17" s="140"/>
      <c r="AN17" s="140"/>
      <c r="AO17" s="140"/>
      <c r="AP17" s="62"/>
      <c r="AQ17" s="62"/>
      <c r="AR17" s="143"/>
      <c r="AS17" s="143"/>
      <c r="AT17" s="143"/>
      <c r="AU17" s="143"/>
      <c r="AV17" s="143"/>
      <c r="AW17" s="143"/>
      <c r="AX17" s="141"/>
      <c r="AY17" s="141"/>
      <c r="AZ17" s="62">
        <f t="shared" si="14"/>
        <v>6.3</v>
      </c>
      <c r="BA17" s="121">
        <v>9.0</v>
      </c>
      <c r="BB17" s="265">
        <v>10.0</v>
      </c>
      <c r="BC17" s="62">
        <f t="shared" si="15"/>
        <v>9.5</v>
      </c>
      <c r="BD17" s="62">
        <f t="shared" si="16"/>
        <v>2.85</v>
      </c>
      <c r="BE17" s="64">
        <f t="shared" si="17"/>
        <v>9.15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9.98</v>
      </c>
      <c r="CQ17" s="129">
        <f t="shared" si="25"/>
        <v>9.15</v>
      </c>
      <c r="CR17" s="129">
        <f t="shared" si="26"/>
        <v>0</v>
      </c>
      <c r="CS17" s="130">
        <f t="shared" si="27"/>
        <v>6.37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6.37</v>
      </c>
      <c r="DB17" s="136"/>
      <c r="DC17" s="137">
        <f t="shared" si="31"/>
        <v>6.37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263">
        <v>10.0</v>
      </c>
      <c r="E18" s="264">
        <v>10.0</v>
      </c>
      <c r="F18" s="264">
        <v>10.0</v>
      </c>
      <c r="G18" s="264">
        <v>10.0</v>
      </c>
      <c r="H18" s="140"/>
      <c r="I18" s="140"/>
      <c r="J18" s="140"/>
      <c r="K18" s="140"/>
      <c r="L18" s="62"/>
      <c r="M18" s="62"/>
      <c r="N18" s="143"/>
      <c r="O18" s="143"/>
      <c r="P18" s="143"/>
      <c r="Q18" s="143"/>
      <c r="R18" s="143"/>
      <c r="S18" s="143"/>
      <c r="T18" s="141"/>
      <c r="U18" s="141"/>
      <c r="V18" s="62">
        <f t="shared" si="9"/>
        <v>7</v>
      </c>
      <c r="W18" s="264">
        <v>10.0</v>
      </c>
      <c r="X18" s="123">
        <f>'PROY. INTER'!W18</f>
        <v>9</v>
      </c>
      <c r="Y18" s="62">
        <f t="shared" si="10"/>
        <v>9.5</v>
      </c>
      <c r="Z18" s="62">
        <f t="shared" si="11"/>
        <v>2.85</v>
      </c>
      <c r="AA18" s="64">
        <f t="shared" si="12"/>
        <v>9.85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39">
        <v>7.0</v>
      </c>
      <c r="AI18" s="139">
        <v>7.0</v>
      </c>
      <c r="AJ18" s="139">
        <v>7.0</v>
      </c>
      <c r="AK18" s="139">
        <v>7.0</v>
      </c>
      <c r="AL18" s="140"/>
      <c r="AM18" s="140"/>
      <c r="AN18" s="140"/>
      <c r="AO18" s="140"/>
      <c r="AP18" s="62"/>
      <c r="AQ18" s="62"/>
      <c r="AR18" s="143"/>
      <c r="AS18" s="143"/>
      <c r="AT18" s="143"/>
      <c r="AU18" s="143"/>
      <c r="AV18" s="143"/>
      <c r="AW18" s="143"/>
      <c r="AX18" s="141"/>
      <c r="AY18" s="141"/>
      <c r="AZ18" s="62">
        <f t="shared" si="14"/>
        <v>4.9</v>
      </c>
      <c r="BA18" s="121">
        <v>7.0</v>
      </c>
      <c r="BB18" s="265">
        <v>7.0</v>
      </c>
      <c r="BC18" s="62">
        <f t="shared" si="15"/>
        <v>7</v>
      </c>
      <c r="BD18" s="62">
        <f t="shared" si="16"/>
        <v>2.1</v>
      </c>
      <c r="BE18" s="64">
        <f t="shared" si="17"/>
        <v>7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9.85</v>
      </c>
      <c r="CQ18" s="129">
        <f t="shared" si="25"/>
        <v>7</v>
      </c>
      <c r="CR18" s="129">
        <f t="shared" si="26"/>
        <v>0</v>
      </c>
      <c r="CS18" s="130">
        <f t="shared" si="27"/>
        <v>5.61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5.61</v>
      </c>
      <c r="DB18" s="136"/>
      <c r="DC18" s="137">
        <f t="shared" si="31"/>
        <v>5.61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263">
        <v>7.0</v>
      </c>
      <c r="E19" s="264">
        <v>8.0</v>
      </c>
      <c r="F19" s="264">
        <v>7.0</v>
      </c>
      <c r="G19" s="264">
        <v>7.0</v>
      </c>
      <c r="H19" s="140"/>
      <c r="I19" s="140"/>
      <c r="J19" s="140"/>
      <c r="K19" s="140"/>
      <c r="L19" s="62"/>
      <c r="M19" s="62"/>
      <c r="N19" s="143"/>
      <c r="O19" s="143"/>
      <c r="P19" s="143"/>
      <c r="Q19" s="143"/>
      <c r="R19" s="143"/>
      <c r="S19" s="143"/>
      <c r="T19" s="141"/>
      <c r="U19" s="141"/>
      <c r="V19" s="62">
        <f t="shared" si="9"/>
        <v>5.075</v>
      </c>
      <c r="W19" s="264">
        <v>8.0</v>
      </c>
      <c r="X19" s="123">
        <f>'PROY. INTER'!W19</f>
        <v>6</v>
      </c>
      <c r="Y19" s="62">
        <f t="shared" si="10"/>
        <v>7</v>
      </c>
      <c r="Z19" s="62">
        <f t="shared" si="11"/>
        <v>2.1</v>
      </c>
      <c r="AA19" s="64">
        <f t="shared" si="12"/>
        <v>7.17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7.0</v>
      </c>
      <c r="AI19" s="139">
        <v>7.0</v>
      </c>
      <c r="AJ19" s="139">
        <v>7.0</v>
      </c>
      <c r="AK19" s="139">
        <v>7.0</v>
      </c>
      <c r="AL19" s="140"/>
      <c r="AM19" s="140"/>
      <c r="AN19" s="140"/>
      <c r="AO19" s="140"/>
      <c r="AP19" s="62"/>
      <c r="AQ19" s="62"/>
      <c r="AR19" s="143"/>
      <c r="AS19" s="143"/>
      <c r="AT19" s="143"/>
      <c r="AU19" s="143"/>
      <c r="AV19" s="143"/>
      <c r="AW19" s="143"/>
      <c r="AX19" s="141"/>
      <c r="AY19" s="141"/>
      <c r="AZ19" s="62">
        <f t="shared" si="14"/>
        <v>4.9</v>
      </c>
      <c r="BA19" s="121">
        <v>7.0</v>
      </c>
      <c r="BB19" s="265">
        <v>7.0</v>
      </c>
      <c r="BC19" s="62">
        <f t="shared" si="15"/>
        <v>7</v>
      </c>
      <c r="BD19" s="62">
        <f t="shared" si="16"/>
        <v>2.1</v>
      </c>
      <c r="BE19" s="64">
        <f t="shared" si="17"/>
        <v>7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7.17</v>
      </c>
      <c r="CQ19" s="129">
        <f t="shared" si="25"/>
        <v>7</v>
      </c>
      <c r="CR19" s="129">
        <f t="shared" si="26"/>
        <v>0</v>
      </c>
      <c r="CS19" s="130">
        <f t="shared" si="27"/>
        <v>4.72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4.72</v>
      </c>
      <c r="DB19" s="136"/>
      <c r="DC19" s="137">
        <f t="shared" si="31"/>
        <v>4.72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266"/>
      <c r="E20" s="267"/>
      <c r="F20" s="267"/>
      <c r="G20" s="267"/>
      <c r="H20" s="140"/>
      <c r="I20" s="140"/>
      <c r="J20" s="140"/>
      <c r="K20" s="140"/>
      <c r="L20" s="62"/>
      <c r="M20" s="62"/>
      <c r="N20" s="143"/>
      <c r="O20" s="143"/>
      <c r="P20" s="143"/>
      <c r="Q20" s="143"/>
      <c r="R20" s="143"/>
      <c r="S20" s="143"/>
      <c r="T20" s="141"/>
      <c r="U20" s="141"/>
      <c r="V20" s="62">
        <f t="shared" si="9"/>
        <v>0</v>
      </c>
      <c r="W20" s="267"/>
      <c r="X20" s="123">
        <f>'PROY. INTER'!W20</f>
        <v>6</v>
      </c>
      <c r="Y20" s="62">
        <f t="shared" si="10"/>
        <v>6</v>
      </c>
      <c r="Z20" s="62">
        <f t="shared" si="11"/>
        <v>1.8</v>
      </c>
      <c r="AA20" s="64">
        <f t="shared" si="12"/>
        <v>1.8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39">
        <v>7.0</v>
      </c>
      <c r="AI20" s="139">
        <v>7.0</v>
      </c>
      <c r="AJ20" s="139">
        <v>7.0</v>
      </c>
      <c r="AK20" s="139">
        <v>7.0</v>
      </c>
      <c r="AL20" s="140"/>
      <c r="AM20" s="140"/>
      <c r="AN20" s="140"/>
      <c r="AO20" s="140"/>
      <c r="AP20" s="62"/>
      <c r="AQ20" s="62"/>
      <c r="AR20" s="143"/>
      <c r="AS20" s="143"/>
      <c r="AT20" s="143"/>
      <c r="AU20" s="143"/>
      <c r="AV20" s="143"/>
      <c r="AW20" s="143"/>
      <c r="AX20" s="141"/>
      <c r="AY20" s="141"/>
      <c r="AZ20" s="62">
        <f t="shared" si="14"/>
        <v>4.9</v>
      </c>
      <c r="BA20" s="121">
        <v>7.0</v>
      </c>
      <c r="BB20" s="265">
        <v>7.0</v>
      </c>
      <c r="BC20" s="62">
        <f t="shared" si="15"/>
        <v>7</v>
      </c>
      <c r="BD20" s="62">
        <f t="shared" si="16"/>
        <v>2.1</v>
      </c>
      <c r="BE20" s="64">
        <f t="shared" si="17"/>
        <v>7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1.8</v>
      </c>
      <c r="CQ20" s="129">
        <f t="shared" si="25"/>
        <v>7</v>
      </c>
      <c r="CR20" s="129">
        <f t="shared" si="26"/>
        <v>0</v>
      </c>
      <c r="CS20" s="130">
        <f t="shared" si="27"/>
        <v>2.93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2.93</v>
      </c>
      <c r="DB20" s="136"/>
      <c r="DC20" s="137">
        <f t="shared" si="31"/>
        <v>2.93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263">
        <v>7.0</v>
      </c>
      <c r="E21" s="264">
        <v>7.0</v>
      </c>
      <c r="F21" s="264">
        <v>7.0</v>
      </c>
      <c r="G21" s="264">
        <v>8.0</v>
      </c>
      <c r="H21" s="140"/>
      <c r="I21" s="140"/>
      <c r="J21" s="140"/>
      <c r="K21" s="140"/>
      <c r="L21" s="62"/>
      <c r="M21" s="62"/>
      <c r="N21" s="143"/>
      <c r="O21" s="143"/>
      <c r="P21" s="143"/>
      <c r="Q21" s="143"/>
      <c r="R21" s="143"/>
      <c r="S21" s="143"/>
      <c r="T21" s="141"/>
      <c r="U21" s="141"/>
      <c r="V21" s="62">
        <f t="shared" si="9"/>
        <v>5.075</v>
      </c>
      <c r="W21" s="264">
        <v>8.0</v>
      </c>
      <c r="X21" s="123">
        <f>'PROY. INTER'!W21</f>
        <v>6</v>
      </c>
      <c r="Y21" s="62">
        <f t="shared" si="10"/>
        <v>7</v>
      </c>
      <c r="Z21" s="62">
        <f t="shared" si="11"/>
        <v>2.1</v>
      </c>
      <c r="AA21" s="64">
        <f t="shared" si="12"/>
        <v>7.17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39">
        <v>8.0</v>
      </c>
      <c r="AI21" s="139">
        <v>8.0</v>
      </c>
      <c r="AJ21" s="139">
        <v>8.0</v>
      </c>
      <c r="AK21" s="139">
        <v>8.0</v>
      </c>
      <c r="AL21" s="140"/>
      <c r="AM21" s="140"/>
      <c r="AN21" s="140"/>
      <c r="AO21" s="140"/>
      <c r="AP21" s="62"/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5.6</v>
      </c>
      <c r="BA21" s="121">
        <v>7.0</v>
      </c>
      <c r="BB21" s="265">
        <v>8.0</v>
      </c>
      <c r="BC21" s="62">
        <f t="shared" si="15"/>
        <v>7.5</v>
      </c>
      <c r="BD21" s="62">
        <f t="shared" si="16"/>
        <v>2.25</v>
      </c>
      <c r="BE21" s="64">
        <f t="shared" si="17"/>
        <v>7.85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7.17</v>
      </c>
      <c r="CQ21" s="129">
        <f t="shared" si="25"/>
        <v>7.85</v>
      </c>
      <c r="CR21" s="129">
        <f t="shared" si="26"/>
        <v>0</v>
      </c>
      <c r="CS21" s="130">
        <f t="shared" si="27"/>
        <v>5</v>
      </c>
      <c r="CT21" s="131" t="str">
        <f t="shared" si="28"/>
        <v>SUPLETORIO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5</v>
      </c>
      <c r="DB21" s="136"/>
      <c r="DC21" s="137">
        <f t="shared" si="31"/>
        <v>5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263">
        <v>7.0</v>
      </c>
      <c r="E22" s="264">
        <v>7.0</v>
      </c>
      <c r="F22" s="264">
        <v>8.0</v>
      </c>
      <c r="G22" s="264">
        <v>8.0</v>
      </c>
      <c r="H22" s="140"/>
      <c r="I22" s="140"/>
      <c r="J22" s="140"/>
      <c r="K22" s="140"/>
      <c r="L22" s="62"/>
      <c r="M22" s="62"/>
      <c r="N22" s="143"/>
      <c r="O22" s="143"/>
      <c r="P22" s="143"/>
      <c r="Q22" s="143"/>
      <c r="R22" s="143"/>
      <c r="S22" s="143"/>
      <c r="T22" s="141"/>
      <c r="U22" s="141"/>
      <c r="V22" s="62">
        <f t="shared" si="9"/>
        <v>5.25</v>
      </c>
      <c r="W22" s="264">
        <v>8.0</v>
      </c>
      <c r="X22" s="123">
        <f>'PROY. INTER'!W22</f>
        <v>10</v>
      </c>
      <c r="Y22" s="62">
        <f t="shared" si="10"/>
        <v>9</v>
      </c>
      <c r="Z22" s="62">
        <f t="shared" si="11"/>
        <v>2.7</v>
      </c>
      <c r="AA22" s="64">
        <f t="shared" si="12"/>
        <v>7.95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39">
        <v>10.0</v>
      </c>
      <c r="AI22" s="139">
        <v>10.0</v>
      </c>
      <c r="AJ22" s="139">
        <v>10.0</v>
      </c>
      <c r="AK22" s="139">
        <v>10.0</v>
      </c>
      <c r="AL22" s="140"/>
      <c r="AM22" s="140"/>
      <c r="AN22" s="140"/>
      <c r="AO22" s="140"/>
      <c r="AP22" s="62"/>
      <c r="AQ22" s="62"/>
      <c r="AR22" s="143"/>
      <c r="AS22" s="143"/>
      <c r="AT22" s="143"/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265">
        <v>10.0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7.95</v>
      </c>
      <c r="CQ22" s="129">
        <f t="shared" si="25"/>
        <v>10</v>
      </c>
      <c r="CR22" s="129">
        <f t="shared" si="26"/>
        <v>0</v>
      </c>
      <c r="CS22" s="130">
        <f t="shared" si="27"/>
        <v>5.98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5.98</v>
      </c>
      <c r="DB22" s="136"/>
      <c r="DC22" s="137">
        <f t="shared" si="31"/>
        <v>5.98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263">
        <v>10.0</v>
      </c>
      <c r="E23" s="264">
        <v>10.0</v>
      </c>
      <c r="F23" s="264">
        <v>10.0</v>
      </c>
      <c r="G23" s="264">
        <v>10.0</v>
      </c>
      <c r="H23" s="140"/>
      <c r="I23" s="140"/>
      <c r="J23" s="140"/>
      <c r="K23" s="140"/>
      <c r="L23" s="62"/>
      <c r="M23" s="62"/>
      <c r="N23" s="143"/>
      <c r="O23" s="143"/>
      <c r="P23" s="143"/>
      <c r="Q23" s="143"/>
      <c r="R23" s="143"/>
      <c r="S23" s="143"/>
      <c r="T23" s="141"/>
      <c r="U23" s="141"/>
      <c r="V23" s="62">
        <f t="shared" si="9"/>
        <v>7</v>
      </c>
      <c r="W23" s="264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9.58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39">
        <v>10.0</v>
      </c>
      <c r="AI23" s="139">
        <v>10.0</v>
      </c>
      <c r="AJ23" s="139">
        <v>10.0</v>
      </c>
      <c r="AK23" s="139">
        <v>10.0</v>
      </c>
      <c r="AL23" s="140"/>
      <c r="AM23" s="140"/>
      <c r="AN23" s="140"/>
      <c r="AO23" s="140"/>
      <c r="AP23" s="62"/>
      <c r="AQ23" s="62"/>
      <c r="AR23" s="143"/>
      <c r="AS23" s="143"/>
      <c r="AT23" s="143"/>
      <c r="AU23" s="143"/>
      <c r="AV23" s="143"/>
      <c r="AW23" s="143"/>
      <c r="AX23" s="141"/>
      <c r="AY23" s="141"/>
      <c r="AZ23" s="62">
        <f t="shared" si="14"/>
        <v>7</v>
      </c>
      <c r="BA23" s="121">
        <v>10.0</v>
      </c>
      <c r="BB23" s="265">
        <v>10.0</v>
      </c>
      <c r="BC23" s="62">
        <f t="shared" si="15"/>
        <v>10</v>
      </c>
      <c r="BD23" s="62">
        <f t="shared" si="16"/>
        <v>3</v>
      </c>
      <c r="BE23" s="64">
        <f t="shared" si="17"/>
        <v>10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9.58</v>
      </c>
      <c r="CQ23" s="129">
        <f t="shared" si="25"/>
        <v>10</v>
      </c>
      <c r="CR23" s="129">
        <f t="shared" si="26"/>
        <v>0</v>
      </c>
      <c r="CS23" s="130">
        <f t="shared" si="27"/>
        <v>6.52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6.52</v>
      </c>
      <c r="DB23" s="136"/>
      <c r="DC23" s="137">
        <f t="shared" si="31"/>
        <v>6.52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263">
        <v>10.0</v>
      </c>
      <c r="E24" s="264">
        <v>10.0</v>
      </c>
      <c r="F24" s="264">
        <v>10.0</v>
      </c>
      <c r="G24" s="264">
        <v>10.0</v>
      </c>
      <c r="H24" s="140"/>
      <c r="I24" s="140"/>
      <c r="J24" s="140"/>
      <c r="K24" s="140"/>
      <c r="L24" s="62"/>
      <c r="M24" s="62"/>
      <c r="N24" s="143"/>
      <c r="O24" s="143"/>
      <c r="P24" s="143"/>
      <c r="Q24" s="143"/>
      <c r="R24" s="143"/>
      <c r="S24" s="143"/>
      <c r="T24" s="141"/>
      <c r="U24" s="141"/>
      <c r="V24" s="62">
        <f t="shared" si="9"/>
        <v>7</v>
      </c>
      <c r="W24" s="264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9.85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39">
        <v>10.0</v>
      </c>
      <c r="AI24" s="139">
        <v>10.0</v>
      </c>
      <c r="AJ24" s="139">
        <v>10.0</v>
      </c>
      <c r="AK24" s="139">
        <v>10.0</v>
      </c>
      <c r="AL24" s="140"/>
      <c r="AM24" s="140"/>
      <c r="AN24" s="140"/>
      <c r="AO24" s="140"/>
      <c r="AP24" s="62"/>
      <c r="AQ24" s="62"/>
      <c r="AR24" s="143"/>
      <c r="AS24" s="143"/>
      <c r="AT24" s="143"/>
      <c r="AU24" s="143"/>
      <c r="AV24" s="143"/>
      <c r="AW24" s="143"/>
      <c r="AX24" s="141"/>
      <c r="AY24" s="141"/>
      <c r="AZ24" s="62">
        <f t="shared" si="14"/>
        <v>7</v>
      </c>
      <c r="BA24" s="121">
        <v>10.0</v>
      </c>
      <c r="BB24" s="265">
        <v>10.0</v>
      </c>
      <c r="BC24" s="62">
        <f t="shared" si="15"/>
        <v>10</v>
      </c>
      <c r="BD24" s="62">
        <f t="shared" si="16"/>
        <v>3</v>
      </c>
      <c r="BE24" s="64">
        <f t="shared" si="17"/>
        <v>10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9.85</v>
      </c>
      <c r="CQ24" s="129">
        <f t="shared" si="25"/>
        <v>10</v>
      </c>
      <c r="CR24" s="129">
        <f t="shared" si="26"/>
        <v>0</v>
      </c>
      <c r="CS24" s="130">
        <f t="shared" si="27"/>
        <v>6.61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6.61</v>
      </c>
      <c r="DB24" s="136"/>
      <c r="DC24" s="137">
        <f t="shared" si="31"/>
        <v>6.61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263">
        <v>9.0</v>
      </c>
      <c r="E25" s="264">
        <v>10.0</v>
      </c>
      <c r="F25" s="264">
        <v>9.0</v>
      </c>
      <c r="G25" s="264">
        <v>9.0</v>
      </c>
      <c r="H25" s="140"/>
      <c r="I25" s="140"/>
      <c r="J25" s="140"/>
      <c r="K25" s="140"/>
      <c r="L25" s="62"/>
      <c r="M25" s="62"/>
      <c r="N25" s="143"/>
      <c r="O25" s="143"/>
      <c r="P25" s="143"/>
      <c r="Q25" s="143"/>
      <c r="R25" s="143"/>
      <c r="S25" s="143"/>
      <c r="T25" s="141"/>
      <c r="U25" s="141"/>
      <c r="V25" s="62">
        <f t="shared" si="9"/>
        <v>6.475</v>
      </c>
      <c r="W25" s="264">
        <v>9.0</v>
      </c>
      <c r="X25" s="123">
        <f>'PROY. INTER'!W25</f>
        <v>6</v>
      </c>
      <c r="Y25" s="62">
        <f t="shared" si="10"/>
        <v>7.5</v>
      </c>
      <c r="Z25" s="62">
        <f t="shared" si="11"/>
        <v>2.25</v>
      </c>
      <c r="AA25" s="64">
        <f t="shared" si="12"/>
        <v>8.72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8.0</v>
      </c>
      <c r="AI25" s="139">
        <v>8.0</v>
      </c>
      <c r="AJ25" s="139">
        <v>8.0</v>
      </c>
      <c r="AK25" s="139">
        <v>8.0</v>
      </c>
      <c r="AL25" s="140"/>
      <c r="AM25" s="140"/>
      <c r="AN25" s="140"/>
      <c r="AO25" s="140"/>
      <c r="AP25" s="62"/>
      <c r="AQ25" s="62"/>
      <c r="AR25" s="143"/>
      <c r="AS25" s="143"/>
      <c r="AT25" s="143"/>
      <c r="AU25" s="143"/>
      <c r="AV25" s="143"/>
      <c r="AW25" s="143"/>
      <c r="AX25" s="141"/>
      <c r="AY25" s="141"/>
      <c r="AZ25" s="62">
        <f t="shared" si="14"/>
        <v>5.6</v>
      </c>
      <c r="BA25" s="121">
        <v>8.0</v>
      </c>
      <c r="BB25" s="265">
        <v>9.0</v>
      </c>
      <c r="BC25" s="62">
        <f t="shared" si="15"/>
        <v>8.5</v>
      </c>
      <c r="BD25" s="62">
        <f t="shared" si="16"/>
        <v>2.55</v>
      </c>
      <c r="BE25" s="64">
        <f t="shared" si="17"/>
        <v>8.15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8.72</v>
      </c>
      <c r="CQ25" s="129">
        <f t="shared" si="25"/>
        <v>8.15</v>
      </c>
      <c r="CR25" s="129">
        <f t="shared" si="26"/>
        <v>0</v>
      </c>
      <c r="CS25" s="130">
        <f t="shared" si="27"/>
        <v>5.62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5.62</v>
      </c>
      <c r="DB25" s="136"/>
      <c r="DC25" s="137">
        <f t="shared" si="31"/>
        <v>5.62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263">
        <v>9.0</v>
      </c>
      <c r="E26" s="264">
        <v>9.0</v>
      </c>
      <c r="F26" s="264">
        <v>9.0</v>
      </c>
      <c r="G26" s="264">
        <v>9.0</v>
      </c>
      <c r="H26" s="140"/>
      <c r="I26" s="140"/>
      <c r="J26" s="140"/>
      <c r="K26" s="140"/>
      <c r="L26" s="62"/>
      <c r="M26" s="62"/>
      <c r="N26" s="143"/>
      <c r="O26" s="143"/>
      <c r="P26" s="143"/>
      <c r="Q26" s="143"/>
      <c r="R26" s="143"/>
      <c r="S26" s="143"/>
      <c r="T26" s="141"/>
      <c r="U26" s="141"/>
      <c r="V26" s="62">
        <f t="shared" si="9"/>
        <v>6.3</v>
      </c>
      <c r="W26" s="264">
        <v>9.0</v>
      </c>
      <c r="X26" s="123">
        <f>'PROY. INTER'!W26</f>
        <v>7.73</v>
      </c>
      <c r="Y26" s="62">
        <f t="shared" si="10"/>
        <v>8.365</v>
      </c>
      <c r="Z26" s="62">
        <f t="shared" si="11"/>
        <v>2.5095</v>
      </c>
      <c r="AA26" s="64">
        <f t="shared" si="12"/>
        <v>8.8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39">
        <v>8.0</v>
      </c>
      <c r="AI26" s="139">
        <v>8.0</v>
      </c>
      <c r="AJ26" s="139">
        <v>8.0</v>
      </c>
      <c r="AK26" s="139">
        <v>8.0</v>
      </c>
      <c r="AL26" s="140"/>
      <c r="AM26" s="140"/>
      <c r="AN26" s="140"/>
      <c r="AO26" s="140"/>
      <c r="AP26" s="62"/>
      <c r="AQ26" s="62"/>
      <c r="AR26" s="143"/>
      <c r="AS26" s="143"/>
      <c r="AT26" s="143"/>
      <c r="AU26" s="143"/>
      <c r="AV26" s="143"/>
      <c r="AW26" s="143"/>
      <c r="AX26" s="141"/>
      <c r="AY26" s="141"/>
      <c r="AZ26" s="62">
        <f t="shared" si="14"/>
        <v>5.6</v>
      </c>
      <c r="BA26" s="121">
        <v>10.0</v>
      </c>
      <c r="BB26" s="265">
        <v>10.0</v>
      </c>
      <c r="BC26" s="62">
        <f t="shared" si="15"/>
        <v>10</v>
      </c>
      <c r="BD26" s="62">
        <f t="shared" si="16"/>
        <v>3</v>
      </c>
      <c r="BE26" s="64">
        <f t="shared" si="17"/>
        <v>8.6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8.8</v>
      </c>
      <c r="CQ26" s="129">
        <f t="shared" si="25"/>
        <v>8.6</v>
      </c>
      <c r="CR26" s="129">
        <f t="shared" si="26"/>
        <v>0</v>
      </c>
      <c r="CS26" s="130">
        <f t="shared" si="27"/>
        <v>5.8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5.8</v>
      </c>
      <c r="DB26" s="136"/>
      <c r="DC26" s="137">
        <f t="shared" si="31"/>
        <v>5.8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263">
        <v>10.0</v>
      </c>
      <c r="E27" s="264">
        <v>10.0</v>
      </c>
      <c r="F27" s="264">
        <v>10.0</v>
      </c>
      <c r="G27" s="264">
        <v>10.0</v>
      </c>
      <c r="H27" s="140"/>
      <c r="I27" s="140"/>
      <c r="J27" s="140"/>
      <c r="K27" s="140"/>
      <c r="L27" s="62"/>
      <c r="M27" s="62"/>
      <c r="N27" s="143"/>
      <c r="O27" s="143"/>
      <c r="P27" s="143"/>
      <c r="Q27" s="143"/>
      <c r="R27" s="143"/>
      <c r="S27" s="143"/>
      <c r="T27" s="141"/>
      <c r="U27" s="141"/>
      <c r="V27" s="62">
        <f t="shared" si="9"/>
        <v>7</v>
      </c>
      <c r="W27" s="264">
        <v>10.0</v>
      </c>
      <c r="X27" s="123">
        <f>'PROY. INTER'!W27</f>
        <v>6</v>
      </c>
      <c r="Y27" s="62">
        <f t="shared" si="10"/>
        <v>8</v>
      </c>
      <c r="Z27" s="62">
        <f t="shared" si="11"/>
        <v>2.4</v>
      </c>
      <c r="AA27" s="64">
        <f t="shared" si="12"/>
        <v>9.4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39">
        <v>10.0</v>
      </c>
      <c r="AI27" s="139">
        <v>10.0</v>
      </c>
      <c r="AJ27" s="139">
        <v>10.0</v>
      </c>
      <c r="AK27" s="139">
        <v>10.0</v>
      </c>
      <c r="AL27" s="140"/>
      <c r="AM27" s="140"/>
      <c r="AN27" s="140"/>
      <c r="AO27" s="140"/>
      <c r="AP27" s="62"/>
      <c r="AQ27" s="62"/>
      <c r="AR27" s="143"/>
      <c r="AS27" s="143"/>
      <c r="AT27" s="143"/>
      <c r="AU27" s="143"/>
      <c r="AV27" s="143"/>
      <c r="AW27" s="143"/>
      <c r="AX27" s="141"/>
      <c r="AY27" s="141"/>
      <c r="AZ27" s="62">
        <f t="shared" si="14"/>
        <v>7</v>
      </c>
      <c r="BA27" s="121">
        <v>10.0</v>
      </c>
      <c r="BB27" s="265">
        <v>10.0</v>
      </c>
      <c r="BC27" s="62">
        <f t="shared" si="15"/>
        <v>10</v>
      </c>
      <c r="BD27" s="62">
        <f t="shared" si="16"/>
        <v>3</v>
      </c>
      <c r="BE27" s="64">
        <f t="shared" si="17"/>
        <v>10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9.4</v>
      </c>
      <c r="CQ27" s="129">
        <f t="shared" si="25"/>
        <v>10</v>
      </c>
      <c r="CR27" s="129">
        <f t="shared" si="26"/>
        <v>0</v>
      </c>
      <c r="CS27" s="130">
        <f t="shared" si="27"/>
        <v>6.46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6.46</v>
      </c>
      <c r="DB27" s="136"/>
      <c r="DC27" s="137">
        <f t="shared" si="31"/>
        <v>6.46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263">
        <v>10.0</v>
      </c>
      <c r="E28" s="264">
        <v>10.0</v>
      </c>
      <c r="F28" s="264">
        <v>10.0</v>
      </c>
      <c r="G28" s="264">
        <v>10.0</v>
      </c>
      <c r="H28" s="140"/>
      <c r="I28" s="140"/>
      <c r="J28" s="140"/>
      <c r="K28" s="140"/>
      <c r="L28" s="62"/>
      <c r="M28" s="62"/>
      <c r="N28" s="143"/>
      <c r="O28" s="143"/>
      <c r="P28" s="143"/>
      <c r="Q28" s="143"/>
      <c r="R28" s="143"/>
      <c r="S28" s="143"/>
      <c r="T28" s="141"/>
      <c r="U28" s="141"/>
      <c r="V28" s="62">
        <f t="shared" si="9"/>
        <v>7</v>
      </c>
      <c r="W28" s="264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9.95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39">
        <v>10.0</v>
      </c>
      <c r="AI28" s="139">
        <v>10.0</v>
      </c>
      <c r="AJ28" s="139">
        <v>10.0</v>
      </c>
      <c r="AK28" s="139">
        <v>10.0</v>
      </c>
      <c r="AL28" s="140"/>
      <c r="AM28" s="140"/>
      <c r="AN28" s="140"/>
      <c r="AO28" s="140"/>
      <c r="AP28" s="62"/>
      <c r="AQ28" s="62"/>
      <c r="AR28" s="143"/>
      <c r="AS28" s="143"/>
      <c r="AT28" s="143"/>
      <c r="AU28" s="143"/>
      <c r="AV28" s="143"/>
      <c r="AW28" s="143"/>
      <c r="AX28" s="141"/>
      <c r="AY28" s="141"/>
      <c r="AZ28" s="62">
        <f t="shared" si="14"/>
        <v>7</v>
      </c>
      <c r="BA28" s="121">
        <v>10.0</v>
      </c>
      <c r="BB28" s="265">
        <v>10.0</v>
      </c>
      <c r="BC28" s="62">
        <f t="shared" si="15"/>
        <v>10</v>
      </c>
      <c r="BD28" s="62">
        <f t="shared" si="16"/>
        <v>3</v>
      </c>
      <c r="BE28" s="64">
        <f t="shared" si="17"/>
        <v>10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9.95</v>
      </c>
      <c r="CQ28" s="129">
        <f t="shared" si="25"/>
        <v>10</v>
      </c>
      <c r="CR28" s="129">
        <f t="shared" si="26"/>
        <v>0</v>
      </c>
      <c r="CS28" s="130">
        <f t="shared" si="27"/>
        <v>6.65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6.65</v>
      </c>
      <c r="DB28" s="136"/>
      <c r="DC28" s="137">
        <f t="shared" si="31"/>
        <v>6.65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263">
        <v>10.0</v>
      </c>
      <c r="E29" s="264">
        <v>10.0</v>
      </c>
      <c r="F29" s="264">
        <v>10.0</v>
      </c>
      <c r="G29" s="264">
        <v>10.0</v>
      </c>
      <c r="H29" s="140"/>
      <c r="I29" s="140"/>
      <c r="J29" s="140"/>
      <c r="K29" s="140"/>
      <c r="L29" s="62"/>
      <c r="M29" s="62"/>
      <c r="N29" s="143"/>
      <c r="O29" s="143"/>
      <c r="P29" s="143"/>
      <c r="Q29" s="143"/>
      <c r="R29" s="143"/>
      <c r="S29" s="143"/>
      <c r="T29" s="141"/>
      <c r="U29" s="141"/>
      <c r="V29" s="62">
        <f t="shared" si="9"/>
        <v>7</v>
      </c>
      <c r="W29" s="264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9.88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39">
        <v>10.0</v>
      </c>
      <c r="AI29" s="139">
        <v>10.0</v>
      </c>
      <c r="AJ29" s="139">
        <v>10.0</v>
      </c>
      <c r="AK29" s="139">
        <v>10.0</v>
      </c>
      <c r="AL29" s="140"/>
      <c r="AM29" s="140"/>
      <c r="AN29" s="140"/>
      <c r="AO29" s="140"/>
      <c r="AP29" s="62"/>
      <c r="AQ29" s="62"/>
      <c r="AR29" s="143"/>
      <c r="AS29" s="143"/>
      <c r="AT29" s="143"/>
      <c r="AU29" s="143"/>
      <c r="AV29" s="143"/>
      <c r="AW29" s="143"/>
      <c r="AX29" s="141"/>
      <c r="AY29" s="141"/>
      <c r="AZ29" s="62">
        <f t="shared" si="14"/>
        <v>7</v>
      </c>
      <c r="BA29" s="121">
        <v>10.0</v>
      </c>
      <c r="BB29" s="265">
        <v>10.0</v>
      </c>
      <c r="BC29" s="62">
        <f t="shared" si="15"/>
        <v>10</v>
      </c>
      <c r="BD29" s="62">
        <f t="shared" si="16"/>
        <v>3</v>
      </c>
      <c r="BE29" s="64">
        <f t="shared" si="17"/>
        <v>10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9.88</v>
      </c>
      <c r="CQ29" s="129">
        <f t="shared" si="25"/>
        <v>10</v>
      </c>
      <c r="CR29" s="129">
        <f t="shared" si="26"/>
        <v>0</v>
      </c>
      <c r="CS29" s="130">
        <f t="shared" si="27"/>
        <v>6.62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6.62</v>
      </c>
      <c r="DB29" s="136"/>
      <c r="DC29" s="137">
        <f t="shared" si="31"/>
        <v>6.62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263">
        <v>10.0</v>
      </c>
      <c r="E30" s="264">
        <v>10.0</v>
      </c>
      <c r="F30" s="264">
        <v>10.0</v>
      </c>
      <c r="G30" s="264">
        <v>10.0</v>
      </c>
      <c r="H30" s="140"/>
      <c r="I30" s="140"/>
      <c r="J30" s="140"/>
      <c r="K30" s="140"/>
      <c r="L30" s="62"/>
      <c r="M30" s="62"/>
      <c r="N30" s="143"/>
      <c r="O30" s="143"/>
      <c r="P30" s="143"/>
      <c r="Q30" s="143"/>
      <c r="R30" s="143"/>
      <c r="S30" s="143"/>
      <c r="T30" s="141"/>
      <c r="U30" s="141"/>
      <c r="V30" s="62">
        <f t="shared" si="9"/>
        <v>7</v>
      </c>
      <c r="W30" s="264">
        <v>10.0</v>
      </c>
      <c r="X30" s="123">
        <f>'PROY. INTER'!W30</f>
        <v>9.47</v>
      </c>
      <c r="Y30" s="62">
        <f t="shared" si="10"/>
        <v>9.735</v>
      </c>
      <c r="Z30" s="62">
        <f t="shared" si="11"/>
        <v>2.9205</v>
      </c>
      <c r="AA30" s="64">
        <f t="shared" si="12"/>
        <v>9.92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39">
        <v>10.0</v>
      </c>
      <c r="AI30" s="139">
        <v>10.0</v>
      </c>
      <c r="AJ30" s="139">
        <v>10.0</v>
      </c>
      <c r="AK30" s="139">
        <v>10.0</v>
      </c>
      <c r="AL30" s="140"/>
      <c r="AM30" s="140"/>
      <c r="AN30" s="140"/>
      <c r="AO30" s="140"/>
      <c r="AP30" s="62"/>
      <c r="AQ30" s="62"/>
      <c r="AR30" s="143"/>
      <c r="AS30" s="143"/>
      <c r="AT30" s="143"/>
      <c r="AU30" s="143"/>
      <c r="AV30" s="143"/>
      <c r="AW30" s="143"/>
      <c r="AX30" s="141"/>
      <c r="AY30" s="141"/>
      <c r="AZ30" s="62">
        <f t="shared" si="14"/>
        <v>7</v>
      </c>
      <c r="BA30" s="121">
        <v>10.0</v>
      </c>
      <c r="BB30" s="265">
        <v>10.0</v>
      </c>
      <c r="BC30" s="62">
        <f t="shared" si="15"/>
        <v>10</v>
      </c>
      <c r="BD30" s="62">
        <f t="shared" si="16"/>
        <v>3</v>
      </c>
      <c r="BE30" s="64">
        <f t="shared" si="17"/>
        <v>10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9.92</v>
      </c>
      <c r="CQ30" s="129">
        <f t="shared" si="25"/>
        <v>10</v>
      </c>
      <c r="CR30" s="129">
        <f t="shared" si="26"/>
        <v>0</v>
      </c>
      <c r="CS30" s="130">
        <f t="shared" si="27"/>
        <v>6.64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6.64</v>
      </c>
      <c r="DB30" s="136"/>
      <c r="DC30" s="137">
        <f t="shared" si="31"/>
        <v>6.64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263">
        <v>10.0</v>
      </c>
      <c r="E31" s="264">
        <v>10.0</v>
      </c>
      <c r="F31" s="264">
        <v>10.0</v>
      </c>
      <c r="G31" s="264">
        <v>10.0</v>
      </c>
      <c r="H31" s="140"/>
      <c r="I31" s="140"/>
      <c r="J31" s="140"/>
      <c r="K31" s="140"/>
      <c r="L31" s="62"/>
      <c r="M31" s="62"/>
      <c r="N31" s="143"/>
      <c r="O31" s="143"/>
      <c r="P31" s="143"/>
      <c r="Q31" s="143"/>
      <c r="R31" s="143"/>
      <c r="S31" s="143"/>
      <c r="T31" s="141"/>
      <c r="U31" s="141"/>
      <c r="V31" s="62">
        <f t="shared" si="9"/>
        <v>7</v>
      </c>
      <c r="W31" s="264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39">
        <v>10.0</v>
      </c>
      <c r="AI31" s="139">
        <v>10.0</v>
      </c>
      <c r="AJ31" s="139">
        <v>10.0</v>
      </c>
      <c r="AK31" s="139">
        <v>10.0</v>
      </c>
      <c r="AL31" s="140"/>
      <c r="AM31" s="140"/>
      <c r="AN31" s="140"/>
      <c r="AO31" s="140"/>
      <c r="AP31" s="62"/>
      <c r="AQ31" s="62"/>
      <c r="AR31" s="143"/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265">
        <v>10.0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263">
        <v>7.0</v>
      </c>
      <c r="E32" s="264">
        <v>7.0</v>
      </c>
      <c r="F32" s="264">
        <v>8.0</v>
      </c>
      <c r="G32" s="264">
        <v>8.0</v>
      </c>
      <c r="H32" s="140"/>
      <c r="I32" s="140"/>
      <c r="J32" s="140"/>
      <c r="K32" s="140"/>
      <c r="L32" s="62"/>
      <c r="M32" s="62"/>
      <c r="N32" s="143"/>
      <c r="O32" s="143"/>
      <c r="P32" s="143"/>
      <c r="Q32" s="143"/>
      <c r="R32" s="143"/>
      <c r="S32" s="143"/>
      <c r="T32" s="141"/>
      <c r="U32" s="141"/>
      <c r="V32" s="62">
        <f t="shared" si="9"/>
        <v>5.25</v>
      </c>
      <c r="W32" s="264">
        <v>8.0</v>
      </c>
      <c r="X32" s="123">
        <f>'PROY. INTER'!W32</f>
        <v>6.47</v>
      </c>
      <c r="Y32" s="62">
        <f t="shared" si="10"/>
        <v>7.235</v>
      </c>
      <c r="Z32" s="62">
        <f t="shared" si="11"/>
        <v>2.1705</v>
      </c>
      <c r="AA32" s="64">
        <f t="shared" si="12"/>
        <v>7.42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39">
        <v>7.0</v>
      </c>
      <c r="AI32" s="139">
        <v>7.0</v>
      </c>
      <c r="AJ32" s="139">
        <v>7.0</v>
      </c>
      <c r="AK32" s="139">
        <v>7.0</v>
      </c>
      <c r="AL32" s="140"/>
      <c r="AM32" s="140"/>
      <c r="AN32" s="140"/>
      <c r="AO32" s="140"/>
      <c r="AP32" s="62"/>
      <c r="AQ32" s="62"/>
      <c r="AR32" s="143"/>
      <c r="AS32" s="143"/>
      <c r="AT32" s="143"/>
      <c r="AU32" s="143"/>
      <c r="AV32" s="143"/>
      <c r="AW32" s="143"/>
      <c r="AX32" s="141"/>
      <c r="AY32" s="141"/>
      <c r="AZ32" s="62">
        <f t="shared" si="14"/>
        <v>4.9</v>
      </c>
      <c r="BA32" s="121">
        <v>7.0</v>
      </c>
      <c r="BB32" s="265">
        <v>7.0</v>
      </c>
      <c r="BC32" s="62">
        <f t="shared" si="15"/>
        <v>7</v>
      </c>
      <c r="BD32" s="62">
        <f t="shared" si="16"/>
        <v>2.1</v>
      </c>
      <c r="BE32" s="64">
        <f t="shared" si="17"/>
        <v>7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7.42</v>
      </c>
      <c r="CQ32" s="129">
        <f t="shared" si="25"/>
        <v>7</v>
      </c>
      <c r="CR32" s="129">
        <f t="shared" si="26"/>
        <v>0</v>
      </c>
      <c r="CS32" s="130">
        <f t="shared" si="27"/>
        <v>4.8</v>
      </c>
      <c r="CT32" s="131" t="str">
        <f t="shared" si="28"/>
        <v>REPROBADO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4.8</v>
      </c>
      <c r="DB32" s="136"/>
      <c r="DC32" s="137">
        <f t="shared" si="31"/>
        <v>4.8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263">
        <v>10.0</v>
      </c>
      <c r="E33" s="264">
        <v>9.0</v>
      </c>
      <c r="F33" s="264">
        <v>9.0</v>
      </c>
      <c r="G33" s="264">
        <v>9.0</v>
      </c>
      <c r="H33" s="140"/>
      <c r="I33" s="140"/>
      <c r="J33" s="140"/>
      <c r="K33" s="140"/>
      <c r="L33" s="62"/>
      <c r="M33" s="62"/>
      <c r="N33" s="143"/>
      <c r="O33" s="143"/>
      <c r="P33" s="143"/>
      <c r="Q33" s="143"/>
      <c r="R33" s="143"/>
      <c r="S33" s="143"/>
      <c r="T33" s="141"/>
      <c r="U33" s="141"/>
      <c r="V33" s="62">
        <f t="shared" si="9"/>
        <v>6.475</v>
      </c>
      <c r="W33" s="264">
        <v>9.0</v>
      </c>
      <c r="X33" s="123">
        <f>'PROY. INTER'!W33</f>
        <v>9.2</v>
      </c>
      <c r="Y33" s="62">
        <f t="shared" si="10"/>
        <v>9.1</v>
      </c>
      <c r="Z33" s="62">
        <f t="shared" si="11"/>
        <v>2.73</v>
      </c>
      <c r="AA33" s="64">
        <f t="shared" si="12"/>
        <v>9.2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39">
        <v>8.0</v>
      </c>
      <c r="AI33" s="139">
        <v>8.0</v>
      </c>
      <c r="AJ33" s="139">
        <v>8.0</v>
      </c>
      <c r="AK33" s="139">
        <v>8.0</v>
      </c>
      <c r="AL33" s="140"/>
      <c r="AM33" s="140"/>
      <c r="AN33" s="140"/>
      <c r="AO33" s="140"/>
      <c r="AP33" s="62"/>
      <c r="AQ33" s="62"/>
      <c r="AR33" s="143"/>
      <c r="AS33" s="143"/>
      <c r="AT33" s="143"/>
      <c r="AU33" s="143"/>
      <c r="AV33" s="143"/>
      <c r="AW33" s="143"/>
      <c r="AX33" s="141"/>
      <c r="AY33" s="141"/>
      <c r="AZ33" s="62">
        <f t="shared" si="14"/>
        <v>5.6</v>
      </c>
      <c r="BA33" s="121">
        <v>8.0</v>
      </c>
      <c r="BB33" s="265">
        <v>8.0</v>
      </c>
      <c r="BC33" s="62">
        <f t="shared" si="15"/>
        <v>8</v>
      </c>
      <c r="BD33" s="62">
        <f t="shared" si="16"/>
        <v>2.4</v>
      </c>
      <c r="BE33" s="64">
        <f t="shared" si="17"/>
        <v>8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9.2</v>
      </c>
      <c r="CQ33" s="129">
        <f t="shared" si="25"/>
        <v>8</v>
      </c>
      <c r="CR33" s="129">
        <f t="shared" si="26"/>
        <v>0</v>
      </c>
      <c r="CS33" s="130">
        <f t="shared" si="27"/>
        <v>5.73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5.73</v>
      </c>
      <c r="DB33" s="136"/>
      <c r="DC33" s="137">
        <f t="shared" si="31"/>
        <v>5.73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263">
        <v>9.0</v>
      </c>
      <c r="E34" s="264">
        <v>9.0</v>
      </c>
      <c r="F34" s="264">
        <v>9.0</v>
      </c>
      <c r="G34" s="264">
        <v>9.0</v>
      </c>
      <c r="H34" s="140"/>
      <c r="I34" s="140"/>
      <c r="J34" s="140"/>
      <c r="K34" s="140"/>
      <c r="L34" s="62"/>
      <c r="M34" s="62"/>
      <c r="N34" s="143"/>
      <c r="O34" s="143"/>
      <c r="P34" s="143"/>
      <c r="Q34" s="143"/>
      <c r="R34" s="143"/>
      <c r="S34" s="143"/>
      <c r="T34" s="141"/>
      <c r="U34" s="141"/>
      <c r="V34" s="62">
        <f t="shared" si="9"/>
        <v>6.3</v>
      </c>
      <c r="W34" s="264">
        <v>9.0</v>
      </c>
      <c r="X34" s="123">
        <f>'PROY. INTER'!W34</f>
        <v>7.33</v>
      </c>
      <c r="Y34" s="62">
        <f t="shared" si="10"/>
        <v>8.165</v>
      </c>
      <c r="Z34" s="62">
        <f t="shared" si="11"/>
        <v>2.4495</v>
      </c>
      <c r="AA34" s="64">
        <f t="shared" si="12"/>
        <v>8.74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39">
        <v>8.0</v>
      </c>
      <c r="AI34" s="139">
        <v>8.0</v>
      </c>
      <c r="AJ34" s="139">
        <v>8.0</v>
      </c>
      <c r="AK34" s="139">
        <v>8.0</v>
      </c>
      <c r="AL34" s="140"/>
      <c r="AM34" s="140"/>
      <c r="AN34" s="140"/>
      <c r="AO34" s="140"/>
      <c r="AP34" s="62"/>
      <c r="AQ34" s="62"/>
      <c r="AR34" s="143"/>
      <c r="AS34" s="143"/>
      <c r="AT34" s="143"/>
      <c r="AU34" s="143"/>
      <c r="AV34" s="143"/>
      <c r="AW34" s="143"/>
      <c r="AX34" s="141"/>
      <c r="AY34" s="141"/>
      <c r="AZ34" s="62">
        <f t="shared" si="14"/>
        <v>5.6</v>
      </c>
      <c r="BA34" s="121">
        <v>9.0</v>
      </c>
      <c r="BB34" s="265">
        <v>9.0</v>
      </c>
      <c r="BC34" s="62">
        <f t="shared" si="15"/>
        <v>9</v>
      </c>
      <c r="BD34" s="62">
        <f t="shared" si="16"/>
        <v>2.7</v>
      </c>
      <c r="BE34" s="64">
        <f t="shared" si="17"/>
        <v>8.3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8.74</v>
      </c>
      <c r="CQ34" s="129">
        <f t="shared" si="25"/>
        <v>8.3</v>
      </c>
      <c r="CR34" s="129">
        <f t="shared" si="26"/>
        <v>0</v>
      </c>
      <c r="CS34" s="130">
        <f t="shared" si="27"/>
        <v>5.68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5.68</v>
      </c>
      <c r="DB34" s="136"/>
      <c r="DC34" s="137">
        <f t="shared" si="31"/>
        <v>5.68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263">
        <v>10.0</v>
      </c>
      <c r="E35" s="264">
        <v>10.0</v>
      </c>
      <c r="F35" s="264">
        <v>10.0</v>
      </c>
      <c r="G35" s="264">
        <v>10.0</v>
      </c>
      <c r="H35" s="140"/>
      <c r="I35" s="140"/>
      <c r="J35" s="140"/>
      <c r="K35" s="140"/>
      <c r="L35" s="62"/>
      <c r="M35" s="62"/>
      <c r="N35" s="143"/>
      <c r="O35" s="143"/>
      <c r="P35" s="143"/>
      <c r="Q35" s="143"/>
      <c r="R35" s="143"/>
      <c r="S35" s="143"/>
      <c r="T35" s="141"/>
      <c r="U35" s="141"/>
      <c r="V35" s="62">
        <f t="shared" si="9"/>
        <v>7</v>
      </c>
      <c r="W35" s="264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9.95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39">
        <v>10.0</v>
      </c>
      <c r="AI35" s="139">
        <v>10.0</v>
      </c>
      <c r="AJ35" s="139">
        <v>10.0</v>
      </c>
      <c r="AK35" s="139">
        <v>10.0</v>
      </c>
      <c r="AL35" s="140"/>
      <c r="AM35" s="140"/>
      <c r="AN35" s="140"/>
      <c r="AO35" s="140"/>
      <c r="AP35" s="62"/>
      <c r="AQ35" s="62"/>
      <c r="AR35" s="143"/>
      <c r="AS35" s="143"/>
      <c r="AT35" s="143"/>
      <c r="AU35" s="143"/>
      <c r="AV35" s="143"/>
      <c r="AW35" s="143"/>
      <c r="AX35" s="141"/>
      <c r="AY35" s="141"/>
      <c r="AZ35" s="62">
        <f t="shared" si="14"/>
        <v>7</v>
      </c>
      <c r="BA35" s="121">
        <v>10.0</v>
      </c>
      <c r="BB35" s="265">
        <v>10.0</v>
      </c>
      <c r="BC35" s="62">
        <f t="shared" si="15"/>
        <v>10</v>
      </c>
      <c r="BD35" s="62">
        <f t="shared" si="16"/>
        <v>3</v>
      </c>
      <c r="BE35" s="64">
        <f t="shared" si="17"/>
        <v>10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9.95</v>
      </c>
      <c r="CQ35" s="129">
        <f t="shared" si="25"/>
        <v>10</v>
      </c>
      <c r="CR35" s="129">
        <f t="shared" si="26"/>
        <v>0</v>
      </c>
      <c r="CS35" s="130">
        <f t="shared" si="27"/>
        <v>6.65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6.65</v>
      </c>
      <c r="DB35" s="136"/>
      <c r="DC35" s="137">
        <f t="shared" si="31"/>
        <v>6.65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268"/>
      <c r="F36" s="268"/>
      <c r="G36" s="268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269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268"/>
      <c r="F37" s="268"/>
      <c r="G37" s="268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269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268"/>
      <c r="F38" s="268"/>
      <c r="G38" s="268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269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268"/>
      <c r="F39" s="268"/>
      <c r="G39" s="268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269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268"/>
      <c r="F40" s="268"/>
      <c r="G40" s="268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269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268"/>
      <c r="F41" s="268"/>
      <c r="G41" s="268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269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268"/>
      <c r="F42" s="268"/>
      <c r="G42" s="268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269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268"/>
      <c r="F43" s="268"/>
      <c r="G43" s="268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269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268"/>
      <c r="F44" s="268"/>
      <c r="G44" s="268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269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268"/>
      <c r="F45" s="268"/>
      <c r="G45" s="268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269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268"/>
      <c r="F46" s="268"/>
      <c r="G46" s="268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269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268"/>
      <c r="F47" s="268"/>
      <c r="G47" s="268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269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268"/>
      <c r="F48" s="268"/>
      <c r="G48" s="268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269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268"/>
      <c r="F49" s="268"/>
      <c r="G49" s="268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269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268"/>
      <c r="F50" s="268"/>
      <c r="G50" s="268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269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268"/>
      <c r="F51" s="268"/>
      <c r="G51" s="268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269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268"/>
      <c r="F52" s="268"/>
      <c r="G52" s="268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269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268"/>
      <c r="F53" s="268"/>
      <c r="G53" s="268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269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268"/>
      <c r="F54" s="268"/>
      <c r="G54" s="268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269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268"/>
      <c r="F55" s="268"/>
      <c r="G55" s="268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269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268"/>
      <c r="F56" s="268"/>
      <c r="G56" s="268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269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268"/>
      <c r="F57" s="268"/>
      <c r="G57" s="268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269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268"/>
      <c r="F58" s="268"/>
      <c r="G58" s="268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269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268"/>
      <c r="F59" s="268"/>
      <c r="G59" s="268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269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268"/>
      <c r="F60" s="268"/>
      <c r="G60" s="268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269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268"/>
      <c r="F61" s="268"/>
      <c r="G61" s="268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269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>
      <c r="E62" s="255"/>
      <c r="F62" s="255"/>
      <c r="G62" s="255"/>
      <c r="W62" s="255"/>
    </row>
    <row r="63" ht="15.75" customHeight="1">
      <c r="E63" s="255"/>
      <c r="F63" s="255"/>
      <c r="G63" s="255"/>
      <c r="W63" s="255"/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E64" s="255"/>
      <c r="F64" s="255"/>
      <c r="G64" s="255"/>
      <c r="W64" s="255"/>
      <c r="CO64" s="146" t="s">
        <v>105</v>
      </c>
      <c r="CP64" s="149">
        <f>SUM(CS12:CS61)/CP63</f>
        <v>5.852083333</v>
      </c>
      <c r="CQ64" s="4"/>
      <c r="CT64" s="150"/>
    </row>
    <row r="65" ht="15.75" customHeight="1">
      <c r="E65" s="255"/>
      <c r="F65" s="255"/>
      <c r="G65" s="255"/>
      <c r="W65" s="255"/>
    </row>
    <row r="66" ht="15.75" customHeight="1">
      <c r="E66" s="255"/>
      <c r="F66" s="255"/>
      <c r="G66" s="255"/>
      <c r="W66" s="255"/>
      <c r="CO66" s="151" t="s">
        <v>106</v>
      </c>
      <c r="CQ66" s="152" t="str">
        <f>#REF!</f>
        <v>#REF!</v>
      </c>
      <c r="CR66" s="4"/>
    </row>
    <row r="67" ht="15.75" customHeight="1">
      <c r="E67" s="255"/>
      <c r="F67" s="255"/>
      <c r="G67" s="255"/>
      <c r="W67" s="255"/>
      <c r="CO67" s="153" t="s">
        <v>107</v>
      </c>
      <c r="CQ67" s="154" t="s">
        <v>108</v>
      </c>
      <c r="CR67" s="154" t="s">
        <v>109</v>
      </c>
    </row>
    <row r="68" ht="15.75" customHeight="1">
      <c r="E68" s="255"/>
      <c r="F68" s="255"/>
      <c r="G68" s="255"/>
      <c r="W68" s="255"/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E69" s="255"/>
      <c r="F69" s="255"/>
      <c r="G69" s="255"/>
      <c r="W69" s="255"/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E70" s="255"/>
      <c r="F70" s="255"/>
      <c r="G70" s="255"/>
      <c r="W70" s="255"/>
      <c r="CO70" s="158" t="s">
        <v>114</v>
      </c>
      <c r="CQ70" s="156" t="s">
        <v>115</v>
      </c>
      <c r="CR70" s="157">
        <f>COUNTIF(CS12:CS61,"&gt;4")-CR69-CR68</f>
        <v>22</v>
      </c>
    </row>
    <row r="71" ht="15.75" customHeight="1">
      <c r="E71" s="255"/>
      <c r="F71" s="255"/>
      <c r="G71" s="255"/>
      <c r="W71" s="255"/>
      <c r="CO71" s="155" t="s">
        <v>116</v>
      </c>
      <c r="CQ71" s="156" t="s">
        <v>117</v>
      </c>
      <c r="CR71" s="159">
        <f>COUNTIF(CS12:CS61,"&gt;0")-CR70-CR69-CR68</f>
        <v>2</v>
      </c>
    </row>
    <row r="72" ht="15.75" customHeight="1">
      <c r="E72" s="255"/>
      <c r="F72" s="255"/>
      <c r="G72" s="255"/>
      <c r="W72" s="255"/>
      <c r="CQ72" s="160" t="s">
        <v>118</v>
      </c>
      <c r="CR72" s="161">
        <f>SUM(CR68:CR71)</f>
        <v>24</v>
      </c>
    </row>
    <row r="73" ht="15.75" customHeight="1">
      <c r="E73" s="255"/>
      <c r="F73" s="255"/>
      <c r="G73" s="255"/>
      <c r="W73" s="255"/>
    </row>
    <row r="74" ht="15.75" customHeight="1">
      <c r="E74" s="255"/>
      <c r="F74" s="255"/>
      <c r="G74" s="255"/>
      <c r="W74" s="255"/>
    </row>
    <row r="75" ht="15.75" customHeight="1">
      <c r="E75" s="255"/>
      <c r="F75" s="255"/>
      <c r="G75" s="255"/>
      <c r="W75" s="255"/>
      <c r="CO75" s="162"/>
      <c r="CS75" s="162"/>
      <c r="CT75" s="162"/>
    </row>
    <row r="76" ht="15.75" customHeight="1">
      <c r="E76" s="255"/>
      <c r="F76" s="255"/>
      <c r="G76" s="255"/>
      <c r="W76" s="255"/>
      <c r="CO76" s="163"/>
      <c r="CP76" s="164"/>
      <c r="CQ76" s="164"/>
      <c r="CS76" s="163"/>
      <c r="CT76" s="165"/>
    </row>
    <row r="77" ht="15.75" customHeight="1">
      <c r="E77" s="255"/>
      <c r="F77" s="255"/>
      <c r="G77" s="255"/>
      <c r="W77" s="255"/>
      <c r="CO77" s="166" t="s">
        <v>119</v>
      </c>
      <c r="CS77" s="166" t="s">
        <v>120</v>
      </c>
    </row>
    <row r="78" ht="15.75" customHeight="1">
      <c r="E78" s="255"/>
      <c r="F78" s="255"/>
      <c r="G78" s="255"/>
      <c r="W78" s="255"/>
    </row>
    <row r="79" ht="15.75" customHeight="1">
      <c r="E79" s="255"/>
      <c r="F79" s="255"/>
      <c r="G79" s="255"/>
      <c r="W79" s="255"/>
    </row>
    <row r="80" ht="15.75" customHeight="1">
      <c r="E80" s="255"/>
      <c r="F80" s="255"/>
      <c r="G80" s="255"/>
      <c r="W80" s="255"/>
    </row>
    <row r="81" ht="15.75" customHeight="1">
      <c r="E81" s="255"/>
      <c r="F81" s="255"/>
      <c r="G81" s="255"/>
      <c r="W81" s="255"/>
    </row>
    <row r="82" ht="15.75" customHeight="1">
      <c r="E82" s="255"/>
      <c r="F82" s="255"/>
      <c r="G82" s="255"/>
      <c r="W82" s="255"/>
    </row>
    <row r="83" ht="15.75" customHeight="1">
      <c r="E83" s="255"/>
      <c r="F83" s="255"/>
      <c r="G83" s="255"/>
      <c r="W83" s="255"/>
    </row>
    <row r="84" ht="15.75" customHeight="1">
      <c r="E84" s="255"/>
      <c r="F84" s="255"/>
      <c r="G84" s="255"/>
      <c r="W84" s="255"/>
    </row>
    <row r="85" ht="15.75" customHeight="1">
      <c r="E85" s="255"/>
      <c r="F85" s="255"/>
      <c r="G85" s="255"/>
      <c r="W85" s="255"/>
    </row>
    <row r="86" ht="15.75" customHeight="1">
      <c r="E86" s="255"/>
      <c r="F86" s="255"/>
      <c r="G86" s="255"/>
      <c r="W86" s="255"/>
    </row>
    <row r="87" ht="15.75" customHeight="1">
      <c r="E87" s="255"/>
      <c r="F87" s="255"/>
      <c r="G87" s="255"/>
      <c r="W87" s="255"/>
    </row>
    <row r="88" ht="15.75" customHeight="1">
      <c r="E88" s="255"/>
      <c r="F88" s="255"/>
      <c r="G88" s="255"/>
      <c r="W88" s="255"/>
    </row>
    <row r="89" ht="15.75" customHeight="1">
      <c r="E89" s="255"/>
      <c r="F89" s="255"/>
      <c r="G89" s="255"/>
      <c r="W89" s="255"/>
    </row>
    <row r="90" ht="15.75" customHeight="1">
      <c r="E90" s="255"/>
      <c r="F90" s="255"/>
      <c r="G90" s="255"/>
      <c r="W90" s="255"/>
    </row>
    <row r="91" ht="15.75" customHeight="1">
      <c r="E91" s="255"/>
      <c r="F91" s="255"/>
      <c r="G91" s="255"/>
      <c r="W91" s="255"/>
    </row>
    <row r="92" ht="15.75" customHeight="1">
      <c r="E92" s="255"/>
      <c r="F92" s="255"/>
      <c r="G92" s="255"/>
      <c r="W92" s="255"/>
    </row>
    <row r="93" ht="15.75" customHeight="1">
      <c r="E93" s="255"/>
      <c r="F93" s="255"/>
      <c r="G93" s="255"/>
      <c r="W93" s="255"/>
    </row>
    <row r="94" ht="15.75" customHeight="1">
      <c r="E94" s="255"/>
      <c r="F94" s="255"/>
      <c r="G94" s="255"/>
      <c r="W94" s="255"/>
    </row>
    <row r="95" ht="15.75" customHeight="1">
      <c r="E95" s="255"/>
      <c r="F95" s="255"/>
      <c r="G95" s="255"/>
      <c r="W95" s="255"/>
    </row>
    <row r="96" ht="15.75" customHeight="1">
      <c r="E96" s="255"/>
      <c r="F96" s="255"/>
      <c r="G96" s="255"/>
      <c r="W96" s="255"/>
    </row>
    <row r="97" ht="15.75" customHeight="1">
      <c r="E97" s="255"/>
      <c r="F97" s="255"/>
      <c r="G97" s="255"/>
      <c r="W97" s="255"/>
    </row>
    <row r="98" ht="15.75" customHeight="1">
      <c r="E98" s="255"/>
      <c r="F98" s="255"/>
      <c r="G98" s="255"/>
      <c r="W98" s="255"/>
    </row>
    <row r="99" ht="15.75" customHeight="1">
      <c r="E99" s="255"/>
      <c r="F99" s="255"/>
      <c r="G99" s="255"/>
      <c r="W99" s="255"/>
    </row>
    <row r="100" ht="15.75" customHeight="1">
      <c r="E100" s="255"/>
      <c r="F100" s="255"/>
      <c r="G100" s="255"/>
      <c r="W100" s="255"/>
    </row>
    <row r="101" ht="15.75" customHeight="1">
      <c r="E101" s="255"/>
      <c r="F101" s="255"/>
      <c r="G101" s="255"/>
      <c r="W101" s="255"/>
    </row>
    <row r="102" ht="15.75" customHeight="1">
      <c r="E102" s="255"/>
      <c r="F102" s="255"/>
      <c r="G102" s="255"/>
      <c r="W102" s="255"/>
    </row>
    <row r="103" ht="15.75" customHeight="1">
      <c r="E103" s="255"/>
      <c r="F103" s="255"/>
      <c r="G103" s="255"/>
      <c r="W103" s="255"/>
    </row>
    <row r="104" ht="15.75" customHeight="1">
      <c r="E104" s="255"/>
      <c r="F104" s="255"/>
      <c r="G104" s="255"/>
      <c r="W104" s="255"/>
    </row>
    <row r="105" ht="15.75" customHeight="1">
      <c r="E105" s="255"/>
      <c r="F105" s="255"/>
      <c r="G105" s="255"/>
      <c r="W105" s="255"/>
    </row>
    <row r="106" ht="15.75" customHeight="1">
      <c r="E106" s="255"/>
      <c r="F106" s="255"/>
      <c r="G106" s="255"/>
      <c r="W106" s="255"/>
    </row>
    <row r="107" ht="15.75" customHeight="1">
      <c r="E107" s="255"/>
      <c r="F107" s="255"/>
      <c r="G107" s="255"/>
      <c r="W107" s="255"/>
    </row>
    <row r="108" ht="15.75" customHeight="1">
      <c r="E108" s="255"/>
      <c r="F108" s="255"/>
      <c r="G108" s="255"/>
      <c r="W108" s="255"/>
    </row>
    <row r="109" ht="15.75" customHeight="1">
      <c r="E109" s="255"/>
      <c r="F109" s="255"/>
      <c r="G109" s="255"/>
      <c r="W109" s="255"/>
    </row>
    <row r="110" ht="15.75" customHeight="1">
      <c r="E110" s="255"/>
      <c r="F110" s="255"/>
      <c r="G110" s="255"/>
      <c r="W110" s="255"/>
    </row>
    <row r="111" ht="15.75" customHeight="1">
      <c r="E111" s="255"/>
      <c r="F111" s="255"/>
      <c r="G111" s="255"/>
      <c r="W111" s="255"/>
    </row>
    <row r="112" ht="15.75" customHeight="1">
      <c r="E112" s="255"/>
      <c r="F112" s="255"/>
      <c r="G112" s="255"/>
      <c r="W112" s="255"/>
    </row>
    <row r="113" ht="15.75" customHeight="1">
      <c r="E113" s="255"/>
      <c r="F113" s="255"/>
      <c r="G113" s="255"/>
      <c r="W113" s="255"/>
    </row>
    <row r="114" ht="15.75" customHeight="1">
      <c r="E114" s="255"/>
      <c r="F114" s="255"/>
      <c r="G114" s="255"/>
      <c r="W114" s="255"/>
    </row>
    <row r="115" ht="15.75" customHeight="1">
      <c r="E115" s="255"/>
      <c r="F115" s="255"/>
      <c r="G115" s="255"/>
      <c r="W115" s="255"/>
    </row>
    <row r="116" ht="15.75" customHeight="1">
      <c r="E116" s="255"/>
      <c r="F116" s="255"/>
      <c r="G116" s="255"/>
      <c r="W116" s="255"/>
    </row>
    <row r="117" ht="15.75" customHeight="1">
      <c r="E117" s="255"/>
      <c r="F117" s="255"/>
      <c r="G117" s="255"/>
      <c r="W117" s="255"/>
    </row>
    <row r="118" ht="15.75" customHeight="1">
      <c r="E118" s="255"/>
      <c r="F118" s="255"/>
      <c r="G118" s="255"/>
      <c r="W118" s="255"/>
    </row>
    <row r="119" ht="15.75" customHeight="1">
      <c r="E119" s="255"/>
      <c r="F119" s="255"/>
      <c r="G119" s="255"/>
      <c r="W119" s="255"/>
    </row>
    <row r="120" ht="15.75" customHeight="1">
      <c r="E120" s="255"/>
      <c r="F120" s="255"/>
      <c r="G120" s="255"/>
      <c r="W120" s="255"/>
    </row>
    <row r="121" ht="15.75" customHeight="1">
      <c r="E121" s="255"/>
      <c r="F121" s="255"/>
      <c r="G121" s="255"/>
      <c r="W121" s="255"/>
    </row>
    <row r="122" ht="15.75" customHeight="1">
      <c r="E122" s="255"/>
      <c r="F122" s="255"/>
      <c r="G122" s="255"/>
      <c r="W122" s="255"/>
    </row>
    <row r="123" ht="15.75" customHeight="1">
      <c r="E123" s="255"/>
      <c r="F123" s="255"/>
      <c r="G123" s="255"/>
      <c r="W123" s="255"/>
    </row>
    <row r="124" ht="15.75" customHeight="1">
      <c r="E124" s="255"/>
      <c r="F124" s="255"/>
      <c r="G124" s="255"/>
      <c r="W124" s="255"/>
    </row>
    <row r="125" ht="15.75" customHeight="1">
      <c r="E125" s="255"/>
      <c r="F125" s="255"/>
      <c r="G125" s="255"/>
      <c r="W125" s="255"/>
    </row>
    <row r="126" ht="15.75" customHeight="1">
      <c r="E126" s="255"/>
      <c r="F126" s="255"/>
      <c r="G126" s="255"/>
      <c r="W126" s="255"/>
    </row>
    <row r="127" ht="15.75" customHeight="1">
      <c r="E127" s="255"/>
      <c r="F127" s="255"/>
      <c r="G127" s="255"/>
      <c r="W127" s="255"/>
    </row>
    <row r="128" ht="15.75" customHeight="1">
      <c r="E128" s="255"/>
      <c r="F128" s="255"/>
      <c r="G128" s="255"/>
      <c r="W128" s="255"/>
    </row>
    <row r="129" ht="15.75" customHeight="1">
      <c r="E129" s="255"/>
      <c r="F129" s="255"/>
      <c r="G129" s="255"/>
      <c r="W129" s="255"/>
    </row>
    <row r="130" ht="15.75" customHeight="1">
      <c r="E130" s="255"/>
      <c r="F130" s="255"/>
      <c r="G130" s="255"/>
      <c r="W130" s="255"/>
    </row>
    <row r="131" ht="15.75" customHeight="1">
      <c r="E131" s="255"/>
      <c r="F131" s="255"/>
      <c r="G131" s="255"/>
      <c r="W131" s="255"/>
    </row>
    <row r="132" ht="15.75" customHeight="1">
      <c r="E132" s="255"/>
      <c r="F132" s="255"/>
      <c r="G132" s="255"/>
      <c r="W132" s="255"/>
    </row>
    <row r="133" ht="15.75" customHeight="1">
      <c r="E133" s="255"/>
      <c r="F133" s="255"/>
      <c r="G133" s="255"/>
      <c r="W133" s="255"/>
    </row>
    <row r="134" ht="15.75" customHeight="1">
      <c r="E134" s="255"/>
      <c r="F134" s="255"/>
      <c r="G134" s="255"/>
      <c r="W134" s="255"/>
    </row>
    <row r="135" ht="15.75" customHeight="1">
      <c r="E135" s="255"/>
      <c r="F135" s="255"/>
      <c r="G135" s="255"/>
      <c r="W135" s="255"/>
    </row>
    <row r="136" ht="15.75" customHeight="1">
      <c r="E136" s="255"/>
      <c r="F136" s="255"/>
      <c r="G136" s="255"/>
      <c r="W136" s="255"/>
    </row>
    <row r="137" ht="15.75" customHeight="1">
      <c r="E137" s="255"/>
      <c r="F137" s="255"/>
      <c r="G137" s="255"/>
      <c r="W137" s="255"/>
    </row>
    <row r="138" ht="15.75" customHeight="1">
      <c r="E138" s="255"/>
      <c r="F138" s="255"/>
      <c r="G138" s="255"/>
      <c r="W138" s="255"/>
    </row>
    <row r="139" ht="15.75" customHeight="1">
      <c r="E139" s="255"/>
      <c r="F139" s="255"/>
      <c r="G139" s="255"/>
      <c r="W139" s="255"/>
    </row>
    <row r="140" ht="15.75" customHeight="1">
      <c r="E140" s="255"/>
      <c r="F140" s="255"/>
      <c r="G140" s="255"/>
      <c r="W140" s="255"/>
    </row>
    <row r="141" ht="15.75" customHeight="1">
      <c r="E141" s="255"/>
      <c r="F141" s="255"/>
      <c r="G141" s="255"/>
      <c r="W141" s="255"/>
    </row>
    <row r="142" ht="15.75" customHeight="1">
      <c r="E142" s="255"/>
      <c r="F142" s="255"/>
      <c r="G142" s="255"/>
      <c r="W142" s="255"/>
    </row>
    <row r="143" ht="15.75" customHeight="1">
      <c r="E143" s="255"/>
      <c r="F143" s="255"/>
      <c r="G143" s="255"/>
      <c r="W143" s="255"/>
    </row>
    <row r="144" ht="15.75" customHeight="1">
      <c r="E144" s="255"/>
      <c r="F144" s="255"/>
      <c r="G144" s="255"/>
      <c r="W144" s="255"/>
    </row>
    <row r="145" ht="15.75" customHeight="1">
      <c r="E145" s="255"/>
      <c r="F145" s="255"/>
      <c r="G145" s="255"/>
      <c r="W145" s="255"/>
    </row>
    <row r="146" ht="15.75" customHeight="1">
      <c r="E146" s="255"/>
      <c r="F146" s="255"/>
      <c r="G146" s="255"/>
      <c r="W146" s="255"/>
    </row>
    <row r="147" ht="15.75" customHeight="1">
      <c r="E147" s="255"/>
      <c r="F147" s="255"/>
      <c r="G147" s="255"/>
      <c r="W147" s="255"/>
    </row>
    <row r="148" ht="15.75" customHeight="1">
      <c r="E148" s="255"/>
      <c r="F148" s="255"/>
      <c r="G148" s="255"/>
      <c r="W148" s="255"/>
    </row>
    <row r="149" ht="15.75" customHeight="1">
      <c r="E149" s="255"/>
      <c r="F149" s="255"/>
      <c r="G149" s="255"/>
      <c r="W149" s="255"/>
    </row>
    <row r="150" ht="15.75" customHeight="1">
      <c r="E150" s="255"/>
      <c r="F150" s="255"/>
      <c r="G150" s="255"/>
      <c r="W150" s="255"/>
    </row>
    <row r="151" ht="15.75" customHeight="1">
      <c r="E151" s="255"/>
      <c r="F151" s="255"/>
      <c r="G151" s="255"/>
      <c r="W151" s="255"/>
    </row>
    <row r="152" ht="15.75" customHeight="1">
      <c r="E152" s="255"/>
      <c r="F152" s="255"/>
      <c r="G152" s="255"/>
      <c r="W152" s="255"/>
    </row>
    <row r="153" ht="15.75" customHeight="1">
      <c r="E153" s="255"/>
      <c r="F153" s="255"/>
      <c r="G153" s="255"/>
      <c r="W153" s="255"/>
    </row>
    <row r="154" ht="15.75" customHeight="1">
      <c r="E154" s="255"/>
      <c r="F154" s="255"/>
      <c r="G154" s="255"/>
      <c r="W154" s="255"/>
    </row>
    <row r="155" ht="15.75" customHeight="1">
      <c r="E155" s="255"/>
      <c r="F155" s="255"/>
      <c r="G155" s="255"/>
      <c r="W155" s="255"/>
    </row>
    <row r="156" ht="15.75" customHeight="1">
      <c r="E156" s="255"/>
      <c r="F156" s="255"/>
      <c r="G156" s="255"/>
      <c r="W156" s="255"/>
    </row>
    <row r="157" ht="15.75" customHeight="1">
      <c r="E157" s="255"/>
      <c r="F157" s="255"/>
      <c r="G157" s="255"/>
      <c r="W157" s="255"/>
    </row>
    <row r="158" ht="15.75" customHeight="1">
      <c r="E158" s="255"/>
      <c r="F158" s="255"/>
      <c r="G158" s="255"/>
      <c r="W158" s="255"/>
    </row>
    <row r="159" ht="15.75" customHeight="1">
      <c r="E159" s="255"/>
      <c r="F159" s="255"/>
      <c r="G159" s="255"/>
      <c r="W159" s="255"/>
    </row>
    <row r="160" ht="15.75" customHeight="1">
      <c r="E160" s="255"/>
      <c r="F160" s="255"/>
      <c r="G160" s="255"/>
      <c r="W160" s="255"/>
    </row>
    <row r="161" ht="15.75" customHeight="1">
      <c r="E161" s="255"/>
      <c r="F161" s="255"/>
      <c r="G161" s="255"/>
      <c r="W161" s="255"/>
    </row>
    <row r="162" ht="15.75" customHeight="1">
      <c r="E162" s="255"/>
      <c r="F162" s="255"/>
      <c r="G162" s="255"/>
      <c r="W162" s="255"/>
    </row>
    <row r="163" ht="15.75" customHeight="1">
      <c r="E163" s="255"/>
      <c r="F163" s="255"/>
      <c r="G163" s="255"/>
      <c r="W163" s="255"/>
    </row>
    <row r="164" ht="15.75" customHeight="1">
      <c r="E164" s="255"/>
      <c r="F164" s="255"/>
      <c r="G164" s="255"/>
      <c r="W164" s="255"/>
    </row>
    <row r="165" ht="15.75" customHeight="1">
      <c r="E165" s="255"/>
      <c r="F165" s="255"/>
      <c r="G165" s="255"/>
      <c r="W165" s="255"/>
    </row>
    <row r="166" ht="15.75" customHeight="1">
      <c r="E166" s="255"/>
      <c r="F166" s="255"/>
      <c r="G166" s="255"/>
      <c r="W166" s="255"/>
    </row>
    <row r="167" ht="15.75" customHeight="1">
      <c r="E167" s="255"/>
      <c r="F167" s="255"/>
      <c r="G167" s="255"/>
      <c r="W167" s="255"/>
    </row>
    <row r="168" ht="15.75" customHeight="1">
      <c r="E168" s="255"/>
      <c r="F168" s="255"/>
      <c r="G168" s="255"/>
      <c r="W168" s="255"/>
    </row>
    <row r="169" ht="15.75" customHeight="1">
      <c r="E169" s="255"/>
      <c r="F169" s="255"/>
      <c r="G169" s="255"/>
      <c r="W169" s="255"/>
    </row>
    <row r="170" ht="15.75" customHeight="1">
      <c r="E170" s="255"/>
      <c r="F170" s="255"/>
      <c r="G170" s="255"/>
      <c r="W170" s="255"/>
    </row>
    <row r="171" ht="15.75" customHeight="1">
      <c r="E171" s="255"/>
      <c r="F171" s="255"/>
      <c r="G171" s="255"/>
      <c r="W171" s="255"/>
    </row>
    <row r="172" ht="15.75" customHeight="1">
      <c r="E172" s="255"/>
      <c r="F172" s="255"/>
      <c r="G172" s="255"/>
      <c r="W172" s="255"/>
    </row>
    <row r="173" ht="15.75" customHeight="1">
      <c r="E173" s="255"/>
      <c r="F173" s="255"/>
      <c r="G173" s="255"/>
      <c r="W173" s="255"/>
    </row>
    <row r="174" ht="15.75" customHeight="1">
      <c r="E174" s="255"/>
      <c r="F174" s="255"/>
      <c r="G174" s="255"/>
      <c r="W174" s="255"/>
    </row>
    <row r="175" ht="15.75" customHeight="1">
      <c r="E175" s="255"/>
      <c r="F175" s="255"/>
      <c r="G175" s="255"/>
      <c r="W175" s="255"/>
    </row>
    <row r="176" ht="15.75" customHeight="1">
      <c r="E176" s="255"/>
      <c r="F176" s="255"/>
      <c r="G176" s="255"/>
      <c r="W176" s="255"/>
    </row>
    <row r="177" ht="15.75" customHeight="1">
      <c r="E177" s="255"/>
      <c r="F177" s="255"/>
      <c r="G177" s="255"/>
      <c r="W177" s="255"/>
    </row>
    <row r="178" ht="15.75" customHeight="1">
      <c r="E178" s="255"/>
      <c r="F178" s="255"/>
      <c r="G178" s="255"/>
      <c r="W178" s="255"/>
    </row>
    <row r="179" ht="15.75" customHeight="1">
      <c r="E179" s="255"/>
      <c r="F179" s="255"/>
      <c r="G179" s="255"/>
      <c r="W179" s="255"/>
    </row>
    <row r="180" ht="15.75" customHeight="1">
      <c r="E180" s="255"/>
      <c r="F180" s="255"/>
      <c r="G180" s="255"/>
      <c r="W180" s="255"/>
    </row>
    <row r="181" ht="15.75" customHeight="1">
      <c r="E181" s="255"/>
      <c r="F181" s="255"/>
      <c r="G181" s="255"/>
      <c r="W181" s="255"/>
    </row>
    <row r="182" ht="15.75" customHeight="1">
      <c r="E182" s="255"/>
      <c r="F182" s="255"/>
      <c r="G182" s="255"/>
      <c r="W182" s="255"/>
    </row>
    <row r="183" ht="15.75" customHeight="1">
      <c r="E183" s="255"/>
      <c r="F183" s="255"/>
      <c r="G183" s="255"/>
      <c r="W183" s="255"/>
    </row>
    <row r="184" ht="15.75" customHeight="1">
      <c r="E184" s="255"/>
      <c r="F184" s="255"/>
      <c r="G184" s="255"/>
      <c r="W184" s="255"/>
    </row>
    <row r="185" ht="15.75" customHeight="1">
      <c r="E185" s="255"/>
      <c r="F185" s="255"/>
      <c r="G185" s="255"/>
      <c r="W185" s="255"/>
    </row>
    <row r="186" ht="15.75" customHeight="1">
      <c r="E186" s="255"/>
      <c r="F186" s="255"/>
      <c r="G186" s="255"/>
      <c r="W186" s="255"/>
    </row>
    <row r="187" ht="15.75" customHeight="1">
      <c r="E187" s="255"/>
      <c r="F187" s="255"/>
      <c r="G187" s="255"/>
      <c r="W187" s="255"/>
    </row>
    <row r="188" ht="15.75" customHeight="1">
      <c r="E188" s="255"/>
      <c r="F188" s="255"/>
      <c r="G188" s="255"/>
      <c r="W188" s="255"/>
    </row>
    <row r="189" ht="15.75" customHeight="1">
      <c r="E189" s="255"/>
      <c r="F189" s="255"/>
      <c r="G189" s="255"/>
      <c r="W189" s="255"/>
    </row>
    <row r="190" ht="15.75" customHeight="1">
      <c r="E190" s="255"/>
      <c r="F190" s="255"/>
      <c r="G190" s="255"/>
      <c r="W190" s="255"/>
    </row>
    <row r="191" ht="15.75" customHeight="1">
      <c r="E191" s="255"/>
      <c r="F191" s="255"/>
      <c r="G191" s="255"/>
      <c r="W191" s="255"/>
    </row>
    <row r="192" ht="15.75" customHeight="1">
      <c r="E192" s="255"/>
      <c r="F192" s="255"/>
      <c r="G192" s="255"/>
      <c r="W192" s="255"/>
    </row>
    <row r="193" ht="15.75" customHeight="1">
      <c r="E193" s="255"/>
      <c r="F193" s="255"/>
      <c r="G193" s="255"/>
      <c r="W193" s="255"/>
    </row>
    <row r="194" ht="15.75" customHeight="1">
      <c r="E194" s="255"/>
      <c r="F194" s="255"/>
      <c r="G194" s="255"/>
      <c r="W194" s="255"/>
    </row>
    <row r="195" ht="15.75" customHeight="1">
      <c r="E195" s="255"/>
      <c r="F195" s="255"/>
      <c r="G195" s="255"/>
      <c r="W195" s="255"/>
    </row>
    <row r="196" ht="15.75" customHeight="1">
      <c r="E196" s="255"/>
      <c r="F196" s="255"/>
      <c r="G196" s="255"/>
      <c r="W196" s="255"/>
    </row>
    <row r="197" ht="15.75" customHeight="1">
      <c r="E197" s="255"/>
      <c r="F197" s="255"/>
      <c r="G197" s="255"/>
      <c r="W197" s="255"/>
    </row>
    <row r="198" ht="15.75" customHeight="1">
      <c r="E198" s="255"/>
      <c r="F198" s="255"/>
      <c r="G198" s="255"/>
      <c r="W198" s="255"/>
    </row>
    <row r="199" ht="15.75" customHeight="1">
      <c r="E199" s="255"/>
      <c r="F199" s="255"/>
      <c r="G199" s="255"/>
      <c r="W199" s="255"/>
    </row>
    <row r="200" ht="15.75" customHeight="1">
      <c r="E200" s="255"/>
      <c r="F200" s="255"/>
      <c r="G200" s="255"/>
      <c r="W200" s="255"/>
    </row>
    <row r="201" ht="15.75" customHeight="1">
      <c r="E201" s="255"/>
      <c r="F201" s="255"/>
      <c r="G201" s="255"/>
      <c r="W201" s="255"/>
    </row>
    <row r="202" ht="15.75" customHeight="1">
      <c r="E202" s="255"/>
      <c r="F202" s="255"/>
      <c r="G202" s="255"/>
      <c r="W202" s="255"/>
    </row>
    <row r="203" ht="15.75" customHeight="1">
      <c r="E203" s="255"/>
      <c r="F203" s="255"/>
      <c r="G203" s="255"/>
      <c r="W203" s="255"/>
    </row>
    <row r="204" ht="15.75" customHeight="1">
      <c r="E204" s="255"/>
      <c r="F204" s="255"/>
      <c r="G204" s="255"/>
      <c r="W204" s="255"/>
    </row>
    <row r="205" ht="15.75" customHeight="1">
      <c r="E205" s="255"/>
      <c r="F205" s="255"/>
      <c r="G205" s="255"/>
      <c r="W205" s="255"/>
    </row>
    <row r="206" ht="15.75" customHeight="1">
      <c r="E206" s="255"/>
      <c r="F206" s="255"/>
      <c r="G206" s="255"/>
      <c r="W206" s="255"/>
    </row>
    <row r="207" ht="15.75" customHeight="1">
      <c r="E207" s="255"/>
      <c r="F207" s="255"/>
      <c r="G207" s="255"/>
      <c r="W207" s="255"/>
    </row>
    <row r="208" ht="15.75" customHeight="1">
      <c r="E208" s="255"/>
      <c r="F208" s="255"/>
      <c r="G208" s="255"/>
      <c r="W208" s="255"/>
    </row>
    <row r="209" ht="15.75" customHeight="1">
      <c r="E209" s="255"/>
      <c r="F209" s="255"/>
      <c r="G209" s="255"/>
      <c r="W209" s="255"/>
    </row>
    <row r="210" ht="15.75" customHeight="1">
      <c r="E210" s="255"/>
      <c r="F210" s="255"/>
      <c r="G210" s="255"/>
      <c r="W210" s="255"/>
    </row>
    <row r="211" ht="15.75" customHeight="1">
      <c r="E211" s="255"/>
      <c r="F211" s="255"/>
      <c r="G211" s="255"/>
      <c r="W211" s="255"/>
    </row>
    <row r="212" ht="15.75" customHeight="1">
      <c r="E212" s="255"/>
      <c r="F212" s="255"/>
      <c r="G212" s="255"/>
      <c r="W212" s="255"/>
    </row>
    <row r="213" ht="15.75" customHeight="1">
      <c r="E213" s="255"/>
      <c r="F213" s="255"/>
      <c r="G213" s="255"/>
      <c r="W213" s="255"/>
    </row>
    <row r="214" ht="15.75" customHeight="1">
      <c r="E214" s="255"/>
      <c r="F214" s="255"/>
      <c r="G214" s="255"/>
      <c r="W214" s="255"/>
    </row>
    <row r="215" ht="15.75" customHeight="1">
      <c r="E215" s="255"/>
      <c r="F215" s="255"/>
      <c r="G215" s="255"/>
      <c r="W215" s="255"/>
    </row>
    <row r="216" ht="15.75" customHeight="1">
      <c r="E216" s="255"/>
      <c r="F216" s="255"/>
      <c r="G216" s="255"/>
      <c r="W216" s="255"/>
    </row>
    <row r="217" ht="15.75" customHeight="1">
      <c r="E217" s="255"/>
      <c r="F217" s="255"/>
      <c r="G217" s="255"/>
      <c r="W217" s="255"/>
    </row>
    <row r="218" ht="15.75" customHeight="1">
      <c r="E218" s="255"/>
      <c r="F218" s="255"/>
      <c r="G218" s="255"/>
      <c r="W218" s="255"/>
    </row>
    <row r="219" ht="15.75" customHeight="1">
      <c r="E219" s="255"/>
      <c r="F219" s="255"/>
      <c r="G219" s="255"/>
      <c r="W219" s="255"/>
    </row>
    <row r="220" ht="15.75" customHeight="1">
      <c r="E220" s="255"/>
      <c r="F220" s="255"/>
      <c r="G220" s="255"/>
      <c r="W220" s="255"/>
    </row>
    <row r="221" ht="15.75" customHeight="1">
      <c r="E221" s="255"/>
      <c r="F221" s="255"/>
      <c r="G221" s="255"/>
      <c r="W221" s="255"/>
    </row>
    <row r="222" ht="15.75" customHeight="1">
      <c r="E222" s="255"/>
      <c r="F222" s="255"/>
      <c r="G222" s="255"/>
      <c r="W222" s="255"/>
    </row>
    <row r="223" ht="15.75" customHeight="1">
      <c r="E223" s="255"/>
      <c r="F223" s="255"/>
      <c r="G223" s="255"/>
      <c r="W223" s="255"/>
    </row>
    <row r="224" ht="15.75" customHeight="1">
      <c r="E224" s="255"/>
      <c r="F224" s="255"/>
      <c r="G224" s="255"/>
      <c r="W224" s="255"/>
    </row>
    <row r="225" ht="15.75" customHeight="1">
      <c r="E225" s="255"/>
      <c r="F225" s="255"/>
      <c r="G225" s="255"/>
      <c r="W225" s="255"/>
    </row>
    <row r="226" ht="15.75" customHeight="1">
      <c r="E226" s="255"/>
      <c r="F226" s="255"/>
      <c r="G226" s="255"/>
      <c r="W226" s="255"/>
    </row>
    <row r="227" ht="15.75" customHeight="1">
      <c r="E227" s="255"/>
      <c r="F227" s="255"/>
      <c r="G227" s="255"/>
      <c r="W227" s="255"/>
    </row>
    <row r="228" ht="15.75" customHeight="1">
      <c r="E228" s="255"/>
      <c r="F228" s="255"/>
      <c r="G228" s="255"/>
      <c r="W228" s="255"/>
    </row>
    <row r="229" ht="15.75" customHeight="1">
      <c r="E229" s="255"/>
      <c r="F229" s="255"/>
      <c r="G229" s="255"/>
      <c r="W229" s="255"/>
    </row>
    <row r="230" ht="15.75" customHeight="1">
      <c r="E230" s="255"/>
      <c r="F230" s="255"/>
      <c r="G230" s="255"/>
      <c r="W230" s="255"/>
    </row>
    <row r="231" ht="15.75" customHeight="1">
      <c r="E231" s="255"/>
      <c r="F231" s="255"/>
      <c r="G231" s="255"/>
      <c r="W231" s="255"/>
    </row>
    <row r="232" ht="15.75" customHeight="1">
      <c r="E232" s="255"/>
      <c r="F232" s="255"/>
      <c r="G232" s="255"/>
      <c r="W232" s="255"/>
    </row>
    <row r="233" ht="15.75" customHeight="1">
      <c r="E233" s="255"/>
      <c r="F233" s="255"/>
      <c r="G233" s="255"/>
      <c r="W233" s="255"/>
    </row>
    <row r="234" ht="15.75" customHeight="1">
      <c r="E234" s="255"/>
      <c r="F234" s="255"/>
      <c r="G234" s="255"/>
      <c r="W234" s="255"/>
    </row>
    <row r="235" ht="15.75" customHeight="1">
      <c r="E235" s="255"/>
      <c r="F235" s="255"/>
      <c r="G235" s="255"/>
      <c r="W235" s="255"/>
    </row>
    <row r="236" ht="15.75" customHeight="1">
      <c r="E236" s="255"/>
      <c r="F236" s="255"/>
      <c r="G236" s="255"/>
      <c r="W236" s="255"/>
    </row>
    <row r="237" ht="15.75" customHeight="1">
      <c r="E237" s="255"/>
      <c r="F237" s="255"/>
      <c r="G237" s="255"/>
      <c r="W237" s="255"/>
    </row>
    <row r="238" ht="15.75" customHeight="1">
      <c r="E238" s="255"/>
      <c r="F238" s="255"/>
      <c r="G238" s="255"/>
      <c r="W238" s="255"/>
    </row>
    <row r="239" ht="15.75" customHeight="1">
      <c r="E239" s="255"/>
      <c r="F239" s="255"/>
      <c r="G239" s="255"/>
      <c r="W239" s="255"/>
    </row>
    <row r="240" ht="15.75" customHeight="1">
      <c r="E240" s="255"/>
      <c r="F240" s="255"/>
      <c r="G240" s="255"/>
      <c r="W240" s="255"/>
    </row>
    <row r="241" ht="15.75" customHeight="1">
      <c r="E241" s="255"/>
      <c r="F241" s="255"/>
      <c r="G241" s="255"/>
      <c r="W241" s="255"/>
    </row>
    <row r="242" ht="15.75" customHeight="1">
      <c r="E242" s="255"/>
      <c r="F242" s="255"/>
      <c r="G242" s="255"/>
      <c r="W242" s="255"/>
    </row>
    <row r="243" ht="15.75" customHeight="1">
      <c r="E243" s="255"/>
      <c r="F243" s="255"/>
      <c r="G243" s="255"/>
      <c r="W243" s="255"/>
    </row>
    <row r="244" ht="15.75" customHeight="1">
      <c r="E244" s="255"/>
      <c r="F244" s="255"/>
      <c r="G244" s="255"/>
      <c r="W244" s="255"/>
    </row>
    <row r="245" ht="15.75" customHeight="1">
      <c r="E245" s="255"/>
      <c r="F245" s="255"/>
      <c r="G245" s="255"/>
      <c r="W245" s="255"/>
    </row>
    <row r="246" ht="15.75" customHeight="1">
      <c r="E246" s="255"/>
      <c r="F246" s="255"/>
      <c r="G246" s="255"/>
      <c r="W246" s="255"/>
    </row>
    <row r="247" ht="15.75" customHeight="1">
      <c r="E247" s="255"/>
      <c r="F247" s="255"/>
      <c r="G247" s="255"/>
      <c r="W247" s="255"/>
    </row>
    <row r="248" ht="15.75" customHeight="1">
      <c r="E248" s="255"/>
      <c r="F248" s="255"/>
      <c r="G248" s="255"/>
      <c r="W248" s="255"/>
    </row>
    <row r="249" ht="15.75" customHeight="1">
      <c r="E249" s="255"/>
      <c r="F249" s="255"/>
      <c r="G249" s="255"/>
      <c r="W249" s="255"/>
    </row>
    <row r="250" ht="15.75" customHeight="1">
      <c r="E250" s="255"/>
      <c r="F250" s="255"/>
      <c r="G250" s="255"/>
      <c r="W250" s="255"/>
    </row>
    <row r="251" ht="15.75" customHeight="1">
      <c r="E251" s="255"/>
      <c r="F251" s="255"/>
      <c r="G251" s="255"/>
      <c r="W251" s="255"/>
    </row>
    <row r="252" ht="15.75" customHeight="1">
      <c r="E252" s="255"/>
      <c r="F252" s="255"/>
      <c r="G252" s="255"/>
      <c r="W252" s="255"/>
    </row>
    <row r="253" ht="15.75" customHeight="1">
      <c r="E253" s="255"/>
      <c r="F253" s="255"/>
      <c r="G253" s="255"/>
      <c r="W253" s="255"/>
    </row>
    <row r="254" ht="15.75" customHeight="1">
      <c r="E254" s="255"/>
      <c r="F254" s="255"/>
      <c r="G254" s="255"/>
      <c r="W254" s="255"/>
    </row>
    <row r="255" ht="15.75" customHeight="1">
      <c r="E255" s="255"/>
      <c r="F255" s="255"/>
      <c r="G255" s="255"/>
      <c r="W255" s="255"/>
    </row>
    <row r="256" ht="15.75" customHeight="1">
      <c r="E256" s="255"/>
      <c r="F256" s="255"/>
      <c r="G256" s="255"/>
      <c r="W256" s="255"/>
    </row>
    <row r="257" ht="15.75" customHeight="1">
      <c r="E257" s="255"/>
      <c r="F257" s="255"/>
      <c r="G257" s="255"/>
      <c r="W257" s="255"/>
    </row>
    <row r="258" ht="15.75" customHeight="1">
      <c r="E258" s="255"/>
      <c r="F258" s="255"/>
      <c r="G258" s="255"/>
      <c r="W258" s="255"/>
    </row>
    <row r="259" ht="15.75" customHeight="1">
      <c r="E259" s="255"/>
      <c r="F259" s="255"/>
      <c r="G259" s="255"/>
      <c r="W259" s="255"/>
    </row>
    <row r="260" ht="15.75" customHeight="1">
      <c r="E260" s="255"/>
      <c r="F260" s="255"/>
      <c r="G260" s="255"/>
      <c r="W260" s="255"/>
    </row>
    <row r="261" ht="15.75" customHeight="1">
      <c r="E261" s="255"/>
      <c r="F261" s="255"/>
      <c r="G261" s="255"/>
      <c r="W261" s="255"/>
    </row>
    <row r="262" ht="15.75" customHeight="1">
      <c r="E262" s="255"/>
      <c r="F262" s="255"/>
      <c r="G262" s="255"/>
      <c r="W262" s="255"/>
    </row>
    <row r="263" ht="15.75" customHeight="1">
      <c r="E263" s="255"/>
      <c r="F263" s="255"/>
      <c r="G263" s="255"/>
      <c r="W263" s="255"/>
    </row>
    <row r="264" ht="15.75" customHeight="1">
      <c r="E264" s="255"/>
      <c r="F264" s="255"/>
      <c r="G264" s="255"/>
      <c r="W264" s="255"/>
    </row>
    <row r="265" ht="15.75" customHeight="1">
      <c r="E265" s="255"/>
      <c r="F265" s="255"/>
      <c r="G265" s="255"/>
      <c r="W265" s="255"/>
    </row>
    <row r="266" ht="15.75" customHeight="1">
      <c r="E266" s="255"/>
      <c r="F266" s="255"/>
      <c r="G266" s="255"/>
      <c r="W266" s="255"/>
    </row>
    <row r="267" ht="15.75" customHeight="1">
      <c r="E267" s="255"/>
      <c r="F267" s="255"/>
      <c r="G267" s="255"/>
      <c r="W267" s="255"/>
    </row>
    <row r="268" ht="15.75" customHeight="1">
      <c r="E268" s="255"/>
      <c r="F268" s="255"/>
      <c r="G268" s="255"/>
      <c r="W268" s="255"/>
    </row>
    <row r="269" ht="15.75" customHeight="1">
      <c r="E269" s="255"/>
      <c r="F269" s="255"/>
      <c r="G269" s="255"/>
      <c r="W269" s="255"/>
    </row>
    <row r="270" ht="15.75" customHeight="1">
      <c r="E270" s="255"/>
      <c r="F270" s="255"/>
      <c r="G270" s="255"/>
      <c r="W270" s="255"/>
    </row>
    <row r="271" ht="15.75" customHeight="1">
      <c r="E271" s="255"/>
      <c r="F271" s="255"/>
      <c r="G271" s="255"/>
      <c r="W271" s="255"/>
    </row>
    <row r="272" ht="15.75" customHeight="1">
      <c r="E272" s="255"/>
      <c r="F272" s="255"/>
      <c r="G272" s="255"/>
      <c r="W272" s="255"/>
    </row>
    <row r="273" ht="15.75" customHeight="1">
      <c r="E273" s="255"/>
      <c r="F273" s="255"/>
      <c r="G273" s="255"/>
      <c r="W273" s="255"/>
    </row>
    <row r="274" ht="15.75" customHeight="1">
      <c r="E274" s="255"/>
      <c r="F274" s="255"/>
      <c r="G274" s="255"/>
      <c r="W274" s="255"/>
    </row>
    <row r="275" ht="15.75" customHeight="1">
      <c r="E275" s="255"/>
      <c r="F275" s="255"/>
      <c r="G275" s="255"/>
      <c r="W275" s="255"/>
    </row>
    <row r="276" ht="15.75" customHeight="1">
      <c r="E276" s="255"/>
      <c r="F276" s="255"/>
      <c r="G276" s="255"/>
      <c r="W276" s="255"/>
    </row>
    <row r="277" ht="15.75" customHeight="1">
      <c r="E277" s="255"/>
      <c r="F277" s="255"/>
      <c r="G277" s="255"/>
      <c r="W277" s="255"/>
    </row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T DEBE SER ENTRE 0 Y 10 PTS" sqref="D12:U61 W12:W61">
      <formula1>0.0</formula1>
      <formula2>10.0</formula2>
    </dataValidation>
    <dataValidation type="decimal" allowBlank="1" showInputMessage="1" showErrorMessage="1" prompt="EL VALOR DEBE SER ENTRE 0 Y 10 PTS" sqref="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31.57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5" width="5.71"/>
    <col customWidth="1" min="56" max="56" width="3.86"/>
    <col customWidth="1" min="57" max="57" width="7.14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A1" s="73"/>
      <c r="AC1" s="2"/>
      <c r="BG1" s="2"/>
      <c r="CK1" s="2"/>
      <c r="CV1" s="2"/>
    </row>
    <row r="2" ht="21.0" customHeight="1">
      <c r="A2" s="3" t="s">
        <v>0</v>
      </c>
      <c r="B2" s="4"/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ISAIAS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ISAIAS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ISAIAS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ISAIAS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174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Lcda. Fanny Sobenis 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Lcda. Fanny Sobenis 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Lcda. Fanny Sobenis 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Lcda. Fanny Sobenis 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175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BIOLOGIA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BIOLOGIA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BIOLOGIA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BIOLOGIA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176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177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178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BIO!CM10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20"/>
      <c r="E12" s="119">
        <v>10.0</v>
      </c>
      <c r="F12" s="120"/>
      <c r="G12" s="119">
        <v>10.0</v>
      </c>
      <c r="H12" s="120"/>
      <c r="I12" s="119">
        <v>10.0</v>
      </c>
      <c r="J12" s="120"/>
      <c r="K12" s="120"/>
      <c r="L12" s="62"/>
      <c r="M12" s="62"/>
      <c r="N12" s="62"/>
      <c r="O12" s="62"/>
      <c r="P12" s="121">
        <v>10.0</v>
      </c>
      <c r="Q12" s="62"/>
      <c r="R12" s="62"/>
      <c r="S12" s="62"/>
      <c r="T12" s="122"/>
      <c r="U12" s="270">
        <v>10.0</v>
      </c>
      <c r="V12" s="62">
        <f t="shared" ref="V12:V61" si="9">IFERROR(TRUNC(AVERAGE(D12:U12),2),"")*70/100</f>
        <v>7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10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19">
        <v>10.0</v>
      </c>
      <c r="AI12" s="120"/>
      <c r="AJ12" s="194"/>
      <c r="AK12" s="120"/>
      <c r="AL12" s="120"/>
      <c r="AM12" s="120"/>
      <c r="AN12" s="119">
        <v>10.0</v>
      </c>
      <c r="AO12" s="120"/>
      <c r="AP12" s="62"/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10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6.66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6.66</v>
      </c>
      <c r="DB12" s="136"/>
      <c r="DC12" s="137">
        <f t="shared" ref="DC12:DC61" si="31">IF(DA12&gt;=7,DA12,IF(DA12="","",IF(DB12="",AVERAGE(DA12:DB12),IF(AND(DA12&lt;4.01,DB12&lt;&gt;""),DA12,IF(DB12&lt;7,DA12,7)))))</f>
        <v>6.66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40"/>
      <c r="E13" s="139">
        <v>10.0</v>
      </c>
      <c r="F13" s="140"/>
      <c r="G13" s="139">
        <v>10.0</v>
      </c>
      <c r="H13" s="140"/>
      <c r="I13" s="139">
        <v>10.0</v>
      </c>
      <c r="J13" s="140"/>
      <c r="K13" s="140"/>
      <c r="L13" s="62"/>
      <c r="M13" s="62"/>
      <c r="N13" s="62"/>
      <c r="O13" s="62"/>
      <c r="P13" s="121">
        <v>10.0</v>
      </c>
      <c r="Q13" s="62"/>
      <c r="R13" s="62"/>
      <c r="S13" s="62"/>
      <c r="T13" s="141"/>
      <c r="U13" s="141"/>
      <c r="V13" s="62">
        <f t="shared" si="9"/>
        <v>7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10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10.0</v>
      </c>
      <c r="AI13" s="140"/>
      <c r="AJ13" s="140"/>
      <c r="AK13" s="140"/>
      <c r="AL13" s="140"/>
      <c r="AM13" s="140"/>
      <c r="AN13" s="139">
        <v>10.0</v>
      </c>
      <c r="AO13" s="140"/>
      <c r="AP13" s="62"/>
      <c r="AQ13" s="62"/>
      <c r="AR13" s="62"/>
      <c r="AS13" s="62"/>
      <c r="AT13" s="62"/>
      <c r="AU13" s="62"/>
      <c r="AV13" s="62"/>
      <c r="AW13" s="143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10</v>
      </c>
      <c r="CQ13" s="129">
        <f t="shared" si="25"/>
        <v>10</v>
      </c>
      <c r="CR13" s="129">
        <f t="shared" si="26"/>
        <v>0</v>
      </c>
      <c r="CS13" s="130">
        <f t="shared" si="27"/>
        <v>6.66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6.66</v>
      </c>
      <c r="DB13" s="142"/>
      <c r="DC13" s="137">
        <f t="shared" si="31"/>
        <v>6.66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40"/>
      <c r="E14" s="139">
        <v>8.0</v>
      </c>
      <c r="F14" s="140"/>
      <c r="G14" s="139">
        <v>7.0</v>
      </c>
      <c r="H14" s="140"/>
      <c r="I14" s="139">
        <v>7.0</v>
      </c>
      <c r="J14" s="140"/>
      <c r="K14" s="140"/>
      <c r="L14" s="62"/>
      <c r="M14" s="62"/>
      <c r="N14" s="143"/>
      <c r="O14" s="143"/>
      <c r="P14" s="144">
        <v>6.0</v>
      </c>
      <c r="Q14" s="143"/>
      <c r="R14" s="143"/>
      <c r="S14" s="143"/>
      <c r="T14" s="141"/>
      <c r="U14" s="141"/>
      <c r="V14" s="62">
        <f t="shared" si="9"/>
        <v>4.9</v>
      </c>
      <c r="W14" s="121">
        <v>9.0</v>
      </c>
      <c r="X14" s="123">
        <f>'PROY. INTER'!W14</f>
        <v>8.2</v>
      </c>
      <c r="Y14" s="62">
        <f t="shared" si="10"/>
        <v>8.6</v>
      </c>
      <c r="Z14" s="62">
        <f t="shared" si="11"/>
        <v>2.58</v>
      </c>
      <c r="AA14" s="64">
        <f t="shared" si="12"/>
        <v>7.48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39">
        <v>7.0</v>
      </c>
      <c r="AI14" s="140"/>
      <c r="AJ14" s="140"/>
      <c r="AK14" s="140"/>
      <c r="AL14" s="140"/>
      <c r="AM14" s="140"/>
      <c r="AN14" s="139">
        <v>8.0</v>
      </c>
      <c r="AO14" s="140"/>
      <c r="AP14" s="62"/>
      <c r="AQ14" s="62"/>
      <c r="AR14" s="143"/>
      <c r="AS14" s="143"/>
      <c r="AT14" s="143"/>
      <c r="AU14" s="143"/>
      <c r="AV14" s="143"/>
      <c r="AW14" s="143"/>
      <c r="AX14" s="141"/>
      <c r="AY14" s="141"/>
      <c r="AZ14" s="62">
        <f t="shared" si="14"/>
        <v>5.25</v>
      </c>
      <c r="BA14" s="121">
        <v>8.0</v>
      </c>
      <c r="BB14" s="123">
        <f>'PROY. INTER'!AX14</f>
        <v>10</v>
      </c>
      <c r="BC14" s="62">
        <f t="shared" si="15"/>
        <v>9</v>
      </c>
      <c r="BD14" s="62">
        <f t="shared" si="16"/>
        <v>2.7</v>
      </c>
      <c r="BE14" s="64">
        <f t="shared" si="17"/>
        <v>7.95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7.48</v>
      </c>
      <c r="CQ14" s="129">
        <f t="shared" si="25"/>
        <v>7.95</v>
      </c>
      <c r="CR14" s="129">
        <f t="shared" si="26"/>
        <v>0</v>
      </c>
      <c r="CS14" s="130">
        <f t="shared" si="27"/>
        <v>5.14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5.14</v>
      </c>
      <c r="DB14" s="136"/>
      <c r="DC14" s="137">
        <f t="shared" si="31"/>
        <v>5.14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40"/>
      <c r="E15" s="139">
        <v>7.5</v>
      </c>
      <c r="F15" s="140"/>
      <c r="G15" s="139">
        <v>4.85</v>
      </c>
      <c r="H15" s="140"/>
      <c r="I15" s="139">
        <v>7.0</v>
      </c>
      <c r="J15" s="140"/>
      <c r="K15" s="140"/>
      <c r="L15" s="62"/>
      <c r="M15" s="62"/>
      <c r="N15" s="143"/>
      <c r="O15" s="143"/>
      <c r="P15" s="144">
        <v>10.0</v>
      </c>
      <c r="Q15" s="143"/>
      <c r="R15" s="143"/>
      <c r="S15" s="143"/>
      <c r="T15" s="145"/>
      <c r="U15" s="145">
        <v>10.0</v>
      </c>
      <c r="V15" s="62">
        <f t="shared" si="9"/>
        <v>5.509</v>
      </c>
      <c r="W15" s="121">
        <v>3.25</v>
      </c>
      <c r="X15" s="123">
        <f>'PROY. INTER'!W15</f>
        <v>6.73</v>
      </c>
      <c r="Y15" s="62">
        <f t="shared" si="10"/>
        <v>4.99</v>
      </c>
      <c r="Z15" s="62">
        <f t="shared" si="11"/>
        <v>1.497</v>
      </c>
      <c r="AA15" s="64">
        <f t="shared" si="12"/>
        <v>7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39">
        <v>8.0</v>
      </c>
      <c r="AI15" s="140"/>
      <c r="AJ15" s="140"/>
      <c r="AK15" s="140"/>
      <c r="AL15" s="140"/>
      <c r="AM15" s="140"/>
      <c r="AN15" s="139">
        <v>7.0</v>
      </c>
      <c r="AO15" s="140"/>
      <c r="AP15" s="62"/>
      <c r="AQ15" s="62"/>
      <c r="AR15" s="143"/>
      <c r="AS15" s="143"/>
      <c r="AT15" s="143"/>
      <c r="AU15" s="143"/>
      <c r="AV15" s="143"/>
      <c r="AW15" s="143"/>
      <c r="AX15" s="141"/>
      <c r="AY15" s="141"/>
      <c r="AZ15" s="62">
        <f t="shared" si="14"/>
        <v>5.25</v>
      </c>
      <c r="BA15" s="121">
        <v>9.25</v>
      </c>
      <c r="BB15" s="123">
        <f>'PROY. INTER'!AX15</f>
        <v>10</v>
      </c>
      <c r="BC15" s="62">
        <f t="shared" si="15"/>
        <v>9.625</v>
      </c>
      <c r="BD15" s="62">
        <f t="shared" si="16"/>
        <v>2.8875</v>
      </c>
      <c r="BE15" s="64">
        <f t="shared" si="17"/>
        <v>8.13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</v>
      </c>
      <c r="CQ15" s="129">
        <f t="shared" si="25"/>
        <v>8.13</v>
      </c>
      <c r="CR15" s="129">
        <f t="shared" si="26"/>
        <v>0</v>
      </c>
      <c r="CS15" s="130">
        <f t="shared" si="27"/>
        <v>5.04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5.04</v>
      </c>
      <c r="DB15" s="136"/>
      <c r="DC15" s="137">
        <f t="shared" si="31"/>
        <v>5.04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40"/>
      <c r="E16" s="139">
        <v>7.0</v>
      </c>
      <c r="F16" s="140"/>
      <c r="G16" s="139">
        <v>5.0</v>
      </c>
      <c r="H16" s="140"/>
      <c r="I16" s="139">
        <v>5.0</v>
      </c>
      <c r="J16" s="140"/>
      <c r="K16" s="140"/>
      <c r="L16" s="62"/>
      <c r="M16" s="62"/>
      <c r="N16" s="143"/>
      <c r="O16" s="143"/>
      <c r="P16" s="144">
        <v>2.0</v>
      </c>
      <c r="Q16" s="143"/>
      <c r="R16" s="143"/>
      <c r="S16" s="143"/>
      <c r="T16" s="141"/>
      <c r="U16" s="141"/>
      <c r="V16" s="62">
        <f t="shared" si="9"/>
        <v>3.325</v>
      </c>
      <c r="W16" s="121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5.72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39">
        <v>7.0</v>
      </c>
      <c r="AI16" s="140"/>
      <c r="AJ16" s="140"/>
      <c r="AK16" s="140"/>
      <c r="AL16" s="140"/>
      <c r="AM16" s="140"/>
      <c r="AN16" s="139">
        <v>8.0</v>
      </c>
      <c r="AO16" s="140"/>
      <c r="AP16" s="62"/>
      <c r="AQ16" s="62"/>
      <c r="AR16" s="143"/>
      <c r="AS16" s="143"/>
      <c r="AT16" s="143"/>
      <c r="AU16" s="143"/>
      <c r="AV16" s="143"/>
      <c r="AW16" s="143"/>
      <c r="AX16" s="145">
        <v>10.0</v>
      </c>
      <c r="AY16" s="141"/>
      <c r="AZ16" s="62">
        <f t="shared" si="14"/>
        <v>5.831</v>
      </c>
      <c r="BA16" s="121">
        <v>5.85</v>
      </c>
      <c r="BB16" s="123">
        <f>'PROY. INTER'!AX16</f>
        <v>2</v>
      </c>
      <c r="BC16" s="62">
        <f t="shared" si="15"/>
        <v>3.925</v>
      </c>
      <c r="BD16" s="62">
        <f t="shared" si="16"/>
        <v>1.1775</v>
      </c>
      <c r="BE16" s="271">
        <f t="shared" si="17"/>
        <v>7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5.72</v>
      </c>
      <c r="CQ16" s="129">
        <f t="shared" si="25"/>
        <v>7</v>
      </c>
      <c r="CR16" s="129">
        <f t="shared" si="26"/>
        <v>0</v>
      </c>
      <c r="CS16" s="130">
        <f t="shared" si="27"/>
        <v>4.24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4.24</v>
      </c>
      <c r="DB16" s="136"/>
      <c r="DC16" s="137">
        <f t="shared" si="31"/>
        <v>4.24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40"/>
      <c r="E17" s="139">
        <v>7.0</v>
      </c>
      <c r="F17" s="140"/>
      <c r="G17" s="139">
        <v>9.0</v>
      </c>
      <c r="H17" s="140"/>
      <c r="I17" s="139">
        <v>7.0</v>
      </c>
      <c r="J17" s="140"/>
      <c r="K17" s="140"/>
      <c r="L17" s="62"/>
      <c r="M17" s="62"/>
      <c r="N17" s="143"/>
      <c r="O17" s="143"/>
      <c r="P17" s="144">
        <v>6.0</v>
      </c>
      <c r="Q17" s="143"/>
      <c r="R17" s="143"/>
      <c r="S17" s="143"/>
      <c r="T17" s="141"/>
      <c r="U17" s="141"/>
      <c r="V17" s="62">
        <f t="shared" si="9"/>
        <v>5.075</v>
      </c>
      <c r="W17" s="121">
        <v>7.0</v>
      </c>
      <c r="X17" s="123">
        <f>'PROY. INTER'!W17</f>
        <v>9.87</v>
      </c>
      <c r="Y17" s="62">
        <f t="shared" si="10"/>
        <v>8.435</v>
      </c>
      <c r="Z17" s="62">
        <f t="shared" si="11"/>
        <v>2.5305</v>
      </c>
      <c r="AA17" s="64">
        <f t="shared" si="12"/>
        <v>7.6</v>
      </c>
      <c r="AC17" s="2"/>
      <c r="AE17" s="56">
        <v>6.0</v>
      </c>
      <c r="AF17" s="124" t="str">
        <f t="shared" ref="AF17:AG17" si="45">B17</f>
        <v/>
      </c>
      <c r="AG17" s="125" t="str">
        <f t="shared" si="45"/>
        <v>Cantos Zúñiga a Hernán Snayder</v>
      </c>
      <c r="AH17" s="139">
        <v>10.0</v>
      </c>
      <c r="AI17" s="140"/>
      <c r="AJ17" s="140"/>
      <c r="AK17" s="140"/>
      <c r="AL17" s="140"/>
      <c r="AM17" s="140"/>
      <c r="AN17" s="139">
        <v>7.0</v>
      </c>
      <c r="AO17" s="140"/>
      <c r="AP17" s="62"/>
      <c r="AQ17" s="62"/>
      <c r="AR17" s="143"/>
      <c r="AS17" s="143"/>
      <c r="AT17" s="143"/>
      <c r="AU17" s="143"/>
      <c r="AV17" s="143"/>
      <c r="AW17" s="143"/>
      <c r="AX17" s="141"/>
      <c r="AY17" s="141"/>
      <c r="AZ17" s="62">
        <f t="shared" si="14"/>
        <v>5.95</v>
      </c>
      <c r="BA17" s="121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8.5</v>
      </c>
      <c r="BG17" s="2"/>
      <c r="BI17" s="56">
        <v>6.0</v>
      </c>
      <c r="BJ17" s="124" t="str">
        <f t="shared" ref="BJ17:BK17" si="46">B17</f>
        <v/>
      </c>
      <c r="BK17" s="12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7.6</v>
      </c>
      <c r="CQ17" s="129">
        <f t="shared" si="25"/>
        <v>8.5</v>
      </c>
      <c r="CR17" s="129">
        <f t="shared" si="26"/>
        <v>0</v>
      </c>
      <c r="CS17" s="130">
        <f t="shared" si="27"/>
        <v>5.36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5.36</v>
      </c>
      <c r="DB17" s="136"/>
      <c r="DC17" s="137">
        <f t="shared" si="31"/>
        <v>5.36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40"/>
      <c r="E18" s="139">
        <v>9.0</v>
      </c>
      <c r="F18" s="140"/>
      <c r="G18" s="139">
        <v>6.0</v>
      </c>
      <c r="H18" s="140"/>
      <c r="I18" s="139">
        <v>7.0</v>
      </c>
      <c r="J18" s="140"/>
      <c r="K18" s="140"/>
      <c r="L18" s="62"/>
      <c r="M18" s="62"/>
      <c r="N18" s="143"/>
      <c r="O18" s="143"/>
      <c r="P18" s="144">
        <v>9.0</v>
      </c>
      <c r="Q18" s="143"/>
      <c r="R18" s="143"/>
      <c r="S18" s="143"/>
      <c r="T18" s="141"/>
      <c r="U18" s="141"/>
      <c r="V18" s="62">
        <f t="shared" si="9"/>
        <v>5.425</v>
      </c>
      <c r="W18" s="121">
        <v>2.75</v>
      </c>
      <c r="X18" s="123">
        <f>'PROY. INTER'!W18</f>
        <v>9</v>
      </c>
      <c r="Y18" s="62">
        <f t="shared" si="10"/>
        <v>5.875</v>
      </c>
      <c r="Z18" s="62">
        <f t="shared" si="11"/>
        <v>1.7625</v>
      </c>
      <c r="AA18" s="64">
        <f t="shared" si="12"/>
        <v>7.18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39">
        <v>8.0</v>
      </c>
      <c r="AI18" s="140"/>
      <c r="AJ18" s="140"/>
      <c r="AK18" s="140"/>
      <c r="AL18" s="140"/>
      <c r="AM18" s="140"/>
      <c r="AN18" s="139">
        <v>8.0</v>
      </c>
      <c r="AO18" s="140"/>
      <c r="AP18" s="62"/>
      <c r="AQ18" s="62"/>
      <c r="AR18" s="143"/>
      <c r="AS18" s="143"/>
      <c r="AT18" s="143"/>
      <c r="AU18" s="143"/>
      <c r="AV18" s="143"/>
      <c r="AW18" s="143"/>
      <c r="AX18" s="145">
        <v>10.0</v>
      </c>
      <c r="AY18" s="141"/>
      <c r="AZ18" s="62">
        <f t="shared" si="14"/>
        <v>6.062</v>
      </c>
      <c r="BA18" s="121">
        <v>5.75</v>
      </c>
      <c r="BB18" s="123">
        <f>'PROY. INTER'!AX18</f>
        <v>2</v>
      </c>
      <c r="BC18" s="62">
        <f t="shared" si="15"/>
        <v>3.875</v>
      </c>
      <c r="BD18" s="62">
        <f t="shared" si="16"/>
        <v>1.1625</v>
      </c>
      <c r="BE18" s="64">
        <f t="shared" si="17"/>
        <v>7.22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7.18</v>
      </c>
      <c r="CQ18" s="129">
        <f t="shared" si="25"/>
        <v>7.22</v>
      </c>
      <c r="CR18" s="129">
        <f t="shared" si="26"/>
        <v>0</v>
      </c>
      <c r="CS18" s="130">
        <f t="shared" si="27"/>
        <v>4.8</v>
      </c>
      <c r="CT18" s="131" t="str">
        <f t="shared" si="28"/>
        <v>REPROBADO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4.8</v>
      </c>
      <c r="DB18" s="136"/>
      <c r="DC18" s="137">
        <f t="shared" si="31"/>
        <v>4.8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40"/>
      <c r="E19" s="139">
        <v>2.0</v>
      </c>
      <c r="F19" s="140"/>
      <c r="G19" s="139">
        <v>8.0</v>
      </c>
      <c r="H19" s="140"/>
      <c r="I19" s="139">
        <v>10.0</v>
      </c>
      <c r="J19" s="140"/>
      <c r="K19" s="140"/>
      <c r="L19" s="62"/>
      <c r="M19" s="62"/>
      <c r="N19" s="143"/>
      <c r="O19" s="143"/>
      <c r="P19" s="144">
        <v>5.0</v>
      </c>
      <c r="Q19" s="143"/>
      <c r="R19" s="143"/>
      <c r="S19" s="143"/>
      <c r="T19" s="141"/>
      <c r="U19" s="141"/>
      <c r="V19" s="62">
        <f t="shared" si="9"/>
        <v>4.375</v>
      </c>
      <c r="W19" s="121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6.77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5.0</v>
      </c>
      <c r="AI19" s="140"/>
      <c r="AJ19" s="140"/>
      <c r="AK19" s="140"/>
      <c r="AL19" s="140"/>
      <c r="AM19" s="140"/>
      <c r="AN19" s="139">
        <v>5.0</v>
      </c>
      <c r="AO19" s="140"/>
      <c r="AP19" s="62"/>
      <c r="AQ19" s="62"/>
      <c r="AR19" s="143"/>
      <c r="AS19" s="143"/>
      <c r="AT19" s="143"/>
      <c r="AU19" s="143"/>
      <c r="AV19" s="143"/>
      <c r="AW19" s="143"/>
      <c r="AX19" s="141"/>
      <c r="AY19" s="141"/>
      <c r="AZ19" s="62">
        <f t="shared" si="14"/>
        <v>3.5</v>
      </c>
      <c r="BA19" s="121">
        <v>7.0</v>
      </c>
      <c r="BB19" s="123">
        <f>'PROY. INTER'!AX19</f>
        <v>2</v>
      </c>
      <c r="BC19" s="62">
        <f t="shared" si="15"/>
        <v>4.5</v>
      </c>
      <c r="BD19" s="62">
        <f t="shared" si="16"/>
        <v>1.35</v>
      </c>
      <c r="BE19" s="271">
        <f t="shared" si="17"/>
        <v>4.85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6.77</v>
      </c>
      <c r="CQ19" s="129">
        <f t="shared" si="25"/>
        <v>4.85</v>
      </c>
      <c r="CR19" s="129">
        <f t="shared" si="26"/>
        <v>0</v>
      </c>
      <c r="CS19" s="130">
        <f t="shared" si="27"/>
        <v>3.87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3.87</v>
      </c>
      <c r="DB19" s="136"/>
      <c r="DC19" s="137">
        <f t="shared" si="31"/>
        <v>3.87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40"/>
      <c r="E20" s="139">
        <v>2.0</v>
      </c>
      <c r="F20" s="140"/>
      <c r="G20" s="139">
        <v>8.0</v>
      </c>
      <c r="H20" s="139"/>
      <c r="I20" s="139">
        <v>2.0</v>
      </c>
      <c r="J20" s="140"/>
      <c r="K20" s="140"/>
      <c r="L20" s="62"/>
      <c r="M20" s="62"/>
      <c r="N20" s="143"/>
      <c r="O20" s="143"/>
      <c r="P20" s="144">
        <v>10.0</v>
      </c>
      <c r="Q20" s="143"/>
      <c r="R20" s="143"/>
      <c r="S20" s="143"/>
      <c r="T20" s="141"/>
      <c r="U20" s="141"/>
      <c r="V20" s="62">
        <f t="shared" si="9"/>
        <v>3.85</v>
      </c>
      <c r="W20" s="121">
        <v>9.0</v>
      </c>
      <c r="X20" s="123">
        <f>'PROY. INTER'!W20</f>
        <v>6</v>
      </c>
      <c r="Y20" s="62">
        <f t="shared" si="10"/>
        <v>7.5</v>
      </c>
      <c r="Z20" s="62">
        <f t="shared" si="11"/>
        <v>2.25</v>
      </c>
      <c r="AA20" s="64">
        <f t="shared" si="12"/>
        <v>6.1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39">
        <v>7.0</v>
      </c>
      <c r="AI20" s="140"/>
      <c r="AJ20" s="140"/>
      <c r="AK20" s="140"/>
      <c r="AL20" s="140"/>
      <c r="AM20" s="140"/>
      <c r="AN20" s="139">
        <v>7.0</v>
      </c>
      <c r="AO20" s="140"/>
      <c r="AP20" s="62"/>
      <c r="AQ20" s="62"/>
      <c r="AR20" s="143"/>
      <c r="AS20" s="143"/>
      <c r="AT20" s="143"/>
      <c r="AU20" s="143"/>
      <c r="AV20" s="143"/>
      <c r="AW20" s="143"/>
      <c r="AX20" s="141"/>
      <c r="AY20" s="141"/>
      <c r="AZ20" s="62">
        <f t="shared" si="14"/>
        <v>4.9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7.45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6.1</v>
      </c>
      <c r="CQ20" s="129">
        <f t="shared" si="25"/>
        <v>7.45</v>
      </c>
      <c r="CR20" s="129">
        <f t="shared" si="26"/>
        <v>0</v>
      </c>
      <c r="CS20" s="130">
        <f t="shared" si="27"/>
        <v>4.51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4.51</v>
      </c>
      <c r="DB20" s="136"/>
      <c r="DC20" s="137">
        <f t="shared" si="31"/>
        <v>4.51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40"/>
      <c r="E21" s="139">
        <v>7.0</v>
      </c>
      <c r="F21" s="140"/>
      <c r="G21" s="139">
        <v>4.5</v>
      </c>
      <c r="H21" s="140"/>
      <c r="I21" s="139">
        <v>7.0</v>
      </c>
      <c r="J21" s="140"/>
      <c r="K21" s="140"/>
      <c r="L21" s="62"/>
      <c r="M21" s="62"/>
      <c r="N21" s="143"/>
      <c r="O21" s="143"/>
      <c r="P21" s="144">
        <v>10.0</v>
      </c>
      <c r="Q21" s="143"/>
      <c r="R21" s="143"/>
      <c r="S21" s="143"/>
      <c r="T21" s="141"/>
      <c r="U21" s="141"/>
      <c r="V21" s="62">
        <f t="shared" si="9"/>
        <v>4.984</v>
      </c>
      <c r="W21" s="121">
        <v>2.75</v>
      </c>
      <c r="X21" s="123">
        <f>'PROY. INTER'!W21</f>
        <v>6</v>
      </c>
      <c r="Y21" s="62">
        <f t="shared" si="10"/>
        <v>4.375</v>
      </c>
      <c r="Z21" s="62">
        <f t="shared" si="11"/>
        <v>1.3125</v>
      </c>
      <c r="AA21" s="64">
        <f t="shared" si="12"/>
        <v>6.29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39">
        <v>5.0</v>
      </c>
      <c r="AI21" s="140"/>
      <c r="AJ21" s="140"/>
      <c r="AK21" s="140"/>
      <c r="AL21" s="140"/>
      <c r="AM21" s="140"/>
      <c r="AN21" s="139">
        <v>5.0</v>
      </c>
      <c r="AO21" s="140"/>
      <c r="AP21" s="62"/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3.5</v>
      </c>
      <c r="BA21" s="121">
        <v>5.0</v>
      </c>
      <c r="BB21" s="123">
        <f>'PROY. INTER'!AX21</f>
        <v>2</v>
      </c>
      <c r="BC21" s="62">
        <f t="shared" si="15"/>
        <v>3.5</v>
      </c>
      <c r="BD21" s="62">
        <f t="shared" si="16"/>
        <v>1.05</v>
      </c>
      <c r="BE21" s="271">
        <f t="shared" si="17"/>
        <v>4.55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6.29</v>
      </c>
      <c r="CQ21" s="129">
        <f t="shared" si="25"/>
        <v>4.55</v>
      </c>
      <c r="CR21" s="129">
        <f t="shared" si="26"/>
        <v>0</v>
      </c>
      <c r="CS21" s="130">
        <f t="shared" si="27"/>
        <v>3.61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3.61</v>
      </c>
      <c r="DB21" s="136"/>
      <c r="DC21" s="137">
        <f t="shared" si="31"/>
        <v>3.61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40"/>
      <c r="E22" s="139">
        <v>10.0</v>
      </c>
      <c r="F22" s="140"/>
      <c r="G22" s="139">
        <v>7.0</v>
      </c>
      <c r="H22" s="140"/>
      <c r="I22" s="139">
        <v>8.0</v>
      </c>
      <c r="J22" s="140"/>
      <c r="K22" s="140"/>
      <c r="L22" s="62"/>
      <c r="M22" s="62"/>
      <c r="N22" s="143"/>
      <c r="O22" s="143"/>
      <c r="P22" s="144">
        <v>10.0</v>
      </c>
      <c r="Q22" s="143"/>
      <c r="R22" s="143"/>
      <c r="S22" s="143"/>
      <c r="T22" s="141"/>
      <c r="U22" s="141"/>
      <c r="V22" s="62">
        <f t="shared" si="9"/>
        <v>6.125</v>
      </c>
      <c r="W22" s="121">
        <v>9.0</v>
      </c>
      <c r="X22" s="123">
        <f>'PROY. INTER'!W22</f>
        <v>10</v>
      </c>
      <c r="Y22" s="62">
        <f t="shared" si="10"/>
        <v>9.5</v>
      </c>
      <c r="Z22" s="62">
        <f t="shared" si="11"/>
        <v>2.85</v>
      </c>
      <c r="AA22" s="64">
        <f t="shared" si="12"/>
        <v>8.97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39">
        <v>8.0</v>
      </c>
      <c r="AI22" s="140"/>
      <c r="AJ22" s="140"/>
      <c r="AK22" s="140"/>
      <c r="AL22" s="140"/>
      <c r="AM22" s="140"/>
      <c r="AN22" s="139">
        <v>10.0</v>
      </c>
      <c r="AO22" s="140"/>
      <c r="AP22" s="62"/>
      <c r="AQ22" s="62"/>
      <c r="AR22" s="143"/>
      <c r="AS22" s="143"/>
      <c r="AT22" s="143"/>
      <c r="AU22" s="143"/>
      <c r="AV22" s="143"/>
      <c r="AW22" s="143"/>
      <c r="AX22" s="141"/>
      <c r="AY22" s="141"/>
      <c r="AZ22" s="62">
        <f t="shared" si="14"/>
        <v>6.3</v>
      </c>
      <c r="BA22" s="121">
        <v>9.0</v>
      </c>
      <c r="BB22" s="123">
        <f>'PROY. INTER'!AX22</f>
        <v>10</v>
      </c>
      <c r="BC22" s="62">
        <f t="shared" si="15"/>
        <v>9.5</v>
      </c>
      <c r="BD22" s="62">
        <f t="shared" si="16"/>
        <v>2.85</v>
      </c>
      <c r="BE22" s="64">
        <f t="shared" si="17"/>
        <v>9.15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8.97</v>
      </c>
      <c r="CQ22" s="129">
        <f t="shared" si="25"/>
        <v>9.15</v>
      </c>
      <c r="CR22" s="129">
        <f t="shared" si="26"/>
        <v>0</v>
      </c>
      <c r="CS22" s="130">
        <f t="shared" si="27"/>
        <v>6.04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6.04</v>
      </c>
      <c r="DB22" s="136"/>
      <c r="DC22" s="137">
        <f t="shared" si="31"/>
        <v>6.04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40"/>
      <c r="E23" s="139">
        <v>9.0</v>
      </c>
      <c r="F23" s="140"/>
      <c r="G23" s="139">
        <v>10.0</v>
      </c>
      <c r="H23" s="139"/>
      <c r="I23" s="139">
        <v>10.0</v>
      </c>
      <c r="J23" s="140"/>
      <c r="K23" s="140"/>
      <c r="L23" s="62"/>
      <c r="M23" s="62"/>
      <c r="N23" s="143"/>
      <c r="O23" s="143"/>
      <c r="P23" s="144">
        <v>9.0</v>
      </c>
      <c r="Q23" s="143"/>
      <c r="R23" s="143"/>
      <c r="S23" s="143"/>
      <c r="T23" s="141"/>
      <c r="U23" s="141"/>
      <c r="V23" s="62">
        <f t="shared" si="9"/>
        <v>6.65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9.23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39">
        <v>10.0</v>
      </c>
      <c r="AI23" s="140"/>
      <c r="AJ23" s="140"/>
      <c r="AK23" s="140"/>
      <c r="AL23" s="140"/>
      <c r="AM23" s="140"/>
      <c r="AN23" s="139">
        <v>10.0</v>
      </c>
      <c r="AO23" s="140"/>
      <c r="AP23" s="62"/>
      <c r="AQ23" s="62"/>
      <c r="AR23" s="143"/>
      <c r="AS23" s="143"/>
      <c r="AT23" s="143"/>
      <c r="AU23" s="143"/>
      <c r="AV23" s="143"/>
      <c r="AW23" s="143"/>
      <c r="AX23" s="141"/>
      <c r="AY23" s="141"/>
      <c r="AZ23" s="62">
        <f t="shared" si="14"/>
        <v>7</v>
      </c>
      <c r="BA23" s="121">
        <v>10.0</v>
      </c>
      <c r="BB23" s="123">
        <f>'PROY. INTER'!AX23</f>
        <v>10</v>
      </c>
      <c r="BC23" s="62">
        <f t="shared" si="15"/>
        <v>10</v>
      </c>
      <c r="BD23" s="62">
        <f t="shared" si="16"/>
        <v>3</v>
      </c>
      <c r="BE23" s="64">
        <f t="shared" si="17"/>
        <v>10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9.23</v>
      </c>
      <c r="CQ23" s="129">
        <f t="shared" si="25"/>
        <v>10</v>
      </c>
      <c r="CR23" s="129">
        <f t="shared" si="26"/>
        <v>0</v>
      </c>
      <c r="CS23" s="130">
        <f t="shared" si="27"/>
        <v>6.41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6.41</v>
      </c>
      <c r="DB23" s="136"/>
      <c r="DC23" s="137">
        <f t="shared" si="31"/>
        <v>6.41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40"/>
      <c r="E24" s="139">
        <v>9.0</v>
      </c>
      <c r="F24" s="140"/>
      <c r="G24" s="139">
        <v>8.0</v>
      </c>
      <c r="H24" s="140"/>
      <c r="I24" s="139">
        <v>8.0</v>
      </c>
      <c r="J24" s="140"/>
      <c r="K24" s="140"/>
      <c r="L24" s="62"/>
      <c r="M24" s="62"/>
      <c r="N24" s="143"/>
      <c r="O24" s="143"/>
      <c r="P24" s="144">
        <v>10.0</v>
      </c>
      <c r="Q24" s="143"/>
      <c r="R24" s="143"/>
      <c r="S24" s="143"/>
      <c r="T24" s="141"/>
      <c r="U24" s="141"/>
      <c r="V24" s="62">
        <f t="shared" si="9"/>
        <v>6.125</v>
      </c>
      <c r="W24" s="121">
        <v>4.5</v>
      </c>
      <c r="X24" s="123">
        <f>'PROY. INTER'!W24</f>
        <v>9</v>
      </c>
      <c r="Y24" s="62">
        <f t="shared" si="10"/>
        <v>6.75</v>
      </c>
      <c r="Z24" s="62">
        <f t="shared" si="11"/>
        <v>2.025</v>
      </c>
      <c r="AA24" s="64">
        <f t="shared" si="12"/>
        <v>8.15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39">
        <v>9.0</v>
      </c>
      <c r="AI24" s="140"/>
      <c r="AJ24" s="140"/>
      <c r="AK24" s="140"/>
      <c r="AL24" s="140"/>
      <c r="AM24" s="140"/>
      <c r="AN24" s="139">
        <v>8.0</v>
      </c>
      <c r="AO24" s="140"/>
      <c r="AP24" s="62"/>
      <c r="AQ24" s="62"/>
      <c r="AR24" s="143"/>
      <c r="AS24" s="143"/>
      <c r="AT24" s="143"/>
      <c r="AU24" s="143"/>
      <c r="AV24" s="143"/>
      <c r="AW24" s="143"/>
      <c r="AX24" s="141"/>
      <c r="AY24" s="141"/>
      <c r="AZ24" s="62">
        <f t="shared" si="14"/>
        <v>5.95</v>
      </c>
      <c r="BA24" s="121">
        <v>7.0</v>
      </c>
      <c r="BB24" s="123">
        <f>'PROY. INTER'!AX24</f>
        <v>10</v>
      </c>
      <c r="BC24" s="62">
        <f t="shared" si="15"/>
        <v>8.5</v>
      </c>
      <c r="BD24" s="62">
        <f t="shared" si="16"/>
        <v>2.55</v>
      </c>
      <c r="BE24" s="64">
        <f t="shared" si="17"/>
        <v>8.5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8.15</v>
      </c>
      <c r="CQ24" s="129">
        <f t="shared" si="25"/>
        <v>8.5</v>
      </c>
      <c r="CR24" s="129">
        <f t="shared" si="26"/>
        <v>0</v>
      </c>
      <c r="CS24" s="130">
        <f t="shared" si="27"/>
        <v>5.55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5.55</v>
      </c>
      <c r="DB24" s="136"/>
      <c r="DC24" s="137">
        <f t="shared" si="31"/>
        <v>5.55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40"/>
      <c r="E25" s="139">
        <v>7.0</v>
      </c>
      <c r="F25" s="140"/>
      <c r="G25" s="139">
        <v>5.0</v>
      </c>
      <c r="H25" s="140"/>
      <c r="I25" s="139">
        <v>8.0</v>
      </c>
      <c r="J25" s="140"/>
      <c r="K25" s="140"/>
      <c r="L25" s="62"/>
      <c r="M25" s="62"/>
      <c r="N25" s="143"/>
      <c r="O25" s="143"/>
      <c r="P25" s="144">
        <v>5.0</v>
      </c>
      <c r="Q25" s="143"/>
      <c r="R25" s="143"/>
      <c r="S25" s="143"/>
      <c r="T25" s="141"/>
      <c r="U25" s="141"/>
      <c r="V25" s="62">
        <f t="shared" si="9"/>
        <v>4.375</v>
      </c>
      <c r="W25" s="121">
        <v>2.25</v>
      </c>
      <c r="X25" s="123">
        <f>'PROY. INTER'!W25</f>
        <v>6</v>
      </c>
      <c r="Y25" s="62">
        <f t="shared" si="10"/>
        <v>4.125</v>
      </c>
      <c r="Z25" s="62">
        <f t="shared" si="11"/>
        <v>1.2375</v>
      </c>
      <c r="AA25" s="64">
        <f t="shared" si="12"/>
        <v>5.61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7.0</v>
      </c>
      <c r="AI25" s="140"/>
      <c r="AJ25" s="140"/>
      <c r="AK25" s="140"/>
      <c r="AL25" s="140"/>
      <c r="AM25" s="140"/>
      <c r="AN25" s="139">
        <v>7.0</v>
      </c>
      <c r="AO25" s="140"/>
      <c r="AP25" s="62"/>
      <c r="AQ25" s="62"/>
      <c r="AR25" s="143"/>
      <c r="AS25" s="143"/>
      <c r="AT25" s="143"/>
      <c r="AU25" s="143"/>
      <c r="AV25" s="143"/>
      <c r="AW25" s="143"/>
      <c r="AX25" s="145"/>
      <c r="AY25" s="141"/>
      <c r="AZ25" s="62">
        <f t="shared" si="14"/>
        <v>4.9</v>
      </c>
      <c r="BA25" s="121">
        <v>7.0</v>
      </c>
      <c r="BB25" s="123">
        <f>'PROY. INTER'!AX25</f>
        <v>10</v>
      </c>
      <c r="BC25" s="62">
        <f t="shared" si="15"/>
        <v>8.5</v>
      </c>
      <c r="BD25" s="62">
        <f t="shared" si="16"/>
        <v>2.55</v>
      </c>
      <c r="BE25" s="64">
        <f t="shared" si="17"/>
        <v>7.45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5.61</v>
      </c>
      <c r="CQ25" s="129">
        <f t="shared" si="25"/>
        <v>7.45</v>
      </c>
      <c r="CR25" s="129">
        <f t="shared" si="26"/>
        <v>0</v>
      </c>
      <c r="CS25" s="130">
        <f t="shared" si="27"/>
        <v>4.35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4.35</v>
      </c>
      <c r="DB25" s="136"/>
      <c r="DC25" s="137">
        <f t="shared" si="31"/>
        <v>4.35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40"/>
      <c r="E26" s="139">
        <v>8.0</v>
      </c>
      <c r="F26" s="140"/>
      <c r="G26" s="139">
        <v>8.0</v>
      </c>
      <c r="H26" s="140"/>
      <c r="I26" s="139">
        <v>8.0</v>
      </c>
      <c r="J26" s="140"/>
      <c r="K26" s="140"/>
      <c r="L26" s="62"/>
      <c r="M26" s="62"/>
      <c r="N26" s="143"/>
      <c r="O26" s="143"/>
      <c r="P26" s="144">
        <v>8.0</v>
      </c>
      <c r="Q26" s="143"/>
      <c r="R26" s="143"/>
      <c r="S26" s="143"/>
      <c r="T26" s="141"/>
      <c r="U26" s="141"/>
      <c r="V26" s="62">
        <f t="shared" si="9"/>
        <v>5.6</v>
      </c>
      <c r="W26" s="121">
        <v>8.0</v>
      </c>
      <c r="X26" s="123">
        <f>'PROY. INTER'!W26</f>
        <v>7.73</v>
      </c>
      <c r="Y26" s="62">
        <f t="shared" si="10"/>
        <v>7.865</v>
      </c>
      <c r="Z26" s="62">
        <f t="shared" si="11"/>
        <v>2.3595</v>
      </c>
      <c r="AA26" s="64">
        <f t="shared" si="12"/>
        <v>7.95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39">
        <v>7.0</v>
      </c>
      <c r="AI26" s="140"/>
      <c r="AJ26" s="140"/>
      <c r="AK26" s="140"/>
      <c r="AL26" s="140"/>
      <c r="AM26" s="140"/>
      <c r="AN26" s="139">
        <v>2.0</v>
      </c>
      <c r="AO26" s="140"/>
      <c r="AP26" s="62"/>
      <c r="AQ26" s="62"/>
      <c r="AR26" s="143"/>
      <c r="AS26" s="143"/>
      <c r="AT26" s="143"/>
      <c r="AU26" s="143"/>
      <c r="AV26" s="143"/>
      <c r="AW26" s="143"/>
      <c r="AX26" s="145">
        <v>8.0</v>
      </c>
      <c r="AY26" s="141"/>
      <c r="AZ26" s="62">
        <f t="shared" si="14"/>
        <v>3.962</v>
      </c>
      <c r="BA26" s="121">
        <v>7.25</v>
      </c>
      <c r="BB26" s="123">
        <f>'PROY. INTER'!AX26</f>
        <v>10</v>
      </c>
      <c r="BC26" s="62">
        <f t="shared" si="15"/>
        <v>8.625</v>
      </c>
      <c r="BD26" s="62">
        <f t="shared" si="16"/>
        <v>2.5875</v>
      </c>
      <c r="BE26" s="64">
        <f t="shared" si="17"/>
        <v>6.54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7.95</v>
      </c>
      <c r="CQ26" s="129">
        <f t="shared" si="25"/>
        <v>6.54</v>
      </c>
      <c r="CR26" s="129">
        <f t="shared" si="26"/>
        <v>0</v>
      </c>
      <c r="CS26" s="130">
        <f t="shared" si="27"/>
        <v>4.83</v>
      </c>
      <c r="CT26" s="131" t="str">
        <f t="shared" si="28"/>
        <v>REPROBADO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4.83</v>
      </c>
      <c r="DB26" s="136"/>
      <c r="DC26" s="137">
        <f t="shared" si="31"/>
        <v>4.83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40"/>
      <c r="E27" s="139">
        <v>8.0</v>
      </c>
      <c r="F27" s="140"/>
      <c r="G27" s="139">
        <v>10.0</v>
      </c>
      <c r="H27" s="140"/>
      <c r="I27" s="139">
        <v>8.0</v>
      </c>
      <c r="J27" s="140"/>
      <c r="K27" s="140"/>
      <c r="L27" s="62"/>
      <c r="M27" s="62"/>
      <c r="N27" s="143"/>
      <c r="O27" s="143"/>
      <c r="P27" s="144">
        <v>7.0</v>
      </c>
      <c r="Q27" s="143"/>
      <c r="R27" s="143"/>
      <c r="S27" s="143"/>
      <c r="T27" s="141"/>
      <c r="U27" s="141"/>
      <c r="V27" s="62">
        <f t="shared" si="9"/>
        <v>5.775</v>
      </c>
      <c r="W27" s="121">
        <v>10.0</v>
      </c>
      <c r="X27" s="123">
        <f>'PROY. INTER'!W27</f>
        <v>6</v>
      </c>
      <c r="Y27" s="62">
        <f t="shared" si="10"/>
        <v>8</v>
      </c>
      <c r="Z27" s="62">
        <f t="shared" si="11"/>
        <v>2.4</v>
      </c>
      <c r="AA27" s="64">
        <f t="shared" si="12"/>
        <v>8.17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39">
        <v>7.0</v>
      </c>
      <c r="AI27" s="139"/>
      <c r="AJ27" s="140"/>
      <c r="AK27" s="140"/>
      <c r="AL27" s="140"/>
      <c r="AM27" s="140"/>
      <c r="AN27" s="139">
        <v>10.0</v>
      </c>
      <c r="AO27" s="140"/>
      <c r="AP27" s="62"/>
      <c r="AQ27" s="62"/>
      <c r="AR27" s="143"/>
      <c r="AS27" s="143"/>
      <c r="AT27" s="143"/>
      <c r="AU27" s="143"/>
      <c r="AV27" s="143"/>
      <c r="AW27" s="143"/>
      <c r="AX27" s="145">
        <v>8.0</v>
      </c>
      <c r="AY27" s="141"/>
      <c r="AZ27" s="62">
        <f t="shared" si="14"/>
        <v>5.831</v>
      </c>
      <c r="BA27" s="121">
        <v>9.75</v>
      </c>
      <c r="BB27" s="123">
        <f>'PROY. INTER'!AX27</f>
        <v>2</v>
      </c>
      <c r="BC27" s="62">
        <f t="shared" si="15"/>
        <v>5.875</v>
      </c>
      <c r="BD27" s="62">
        <f t="shared" si="16"/>
        <v>1.7625</v>
      </c>
      <c r="BE27" s="64">
        <f t="shared" si="17"/>
        <v>7.59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8.17</v>
      </c>
      <c r="CQ27" s="129">
        <f t="shared" si="25"/>
        <v>7.59</v>
      </c>
      <c r="CR27" s="129">
        <f t="shared" si="26"/>
        <v>0</v>
      </c>
      <c r="CS27" s="130">
        <f t="shared" si="27"/>
        <v>5.25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5.25</v>
      </c>
      <c r="DB27" s="136"/>
      <c r="DC27" s="137">
        <f t="shared" si="31"/>
        <v>5.25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40"/>
      <c r="E28" s="139">
        <v>10.0</v>
      </c>
      <c r="F28" s="140"/>
      <c r="G28" s="139">
        <v>10.0</v>
      </c>
      <c r="H28" s="140"/>
      <c r="I28" s="139">
        <v>10.0</v>
      </c>
      <c r="J28" s="140"/>
      <c r="K28" s="140"/>
      <c r="L28" s="62"/>
      <c r="M28" s="62"/>
      <c r="N28" s="143"/>
      <c r="O28" s="143"/>
      <c r="P28" s="144">
        <v>10.0</v>
      </c>
      <c r="Q28" s="143"/>
      <c r="R28" s="143"/>
      <c r="S28" s="143"/>
      <c r="T28" s="141"/>
      <c r="U28" s="141"/>
      <c r="V28" s="62">
        <f t="shared" si="9"/>
        <v>7</v>
      </c>
      <c r="W28" s="121">
        <v>9.0</v>
      </c>
      <c r="X28" s="123">
        <f>'PROY. INTER'!W28</f>
        <v>9.73</v>
      </c>
      <c r="Y28" s="62">
        <f t="shared" si="10"/>
        <v>9.365</v>
      </c>
      <c r="Z28" s="62">
        <f t="shared" si="11"/>
        <v>2.8095</v>
      </c>
      <c r="AA28" s="64">
        <f t="shared" si="12"/>
        <v>9.8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39">
        <v>10.0</v>
      </c>
      <c r="AI28" s="140"/>
      <c r="AJ28" s="140"/>
      <c r="AK28" s="140"/>
      <c r="AL28" s="140"/>
      <c r="AM28" s="140"/>
      <c r="AN28" s="139">
        <v>9.0</v>
      </c>
      <c r="AO28" s="140"/>
      <c r="AP28" s="62"/>
      <c r="AQ28" s="62"/>
      <c r="AR28" s="143"/>
      <c r="AS28" s="143"/>
      <c r="AT28" s="143"/>
      <c r="AU28" s="143"/>
      <c r="AV28" s="143"/>
      <c r="AW28" s="143"/>
      <c r="AX28" s="141"/>
      <c r="AY28" s="141"/>
      <c r="AZ28" s="62">
        <f t="shared" si="14"/>
        <v>6.65</v>
      </c>
      <c r="BA28" s="121">
        <v>6.5</v>
      </c>
      <c r="BB28" s="123">
        <f>'PROY. INTER'!AX28</f>
        <v>10</v>
      </c>
      <c r="BC28" s="62">
        <f t="shared" si="15"/>
        <v>8.25</v>
      </c>
      <c r="BD28" s="62">
        <f t="shared" si="16"/>
        <v>2.475</v>
      </c>
      <c r="BE28" s="64">
        <f t="shared" si="17"/>
        <v>9.12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9.8</v>
      </c>
      <c r="CQ28" s="129">
        <f t="shared" si="25"/>
        <v>9.12</v>
      </c>
      <c r="CR28" s="129">
        <f t="shared" si="26"/>
        <v>0</v>
      </c>
      <c r="CS28" s="130">
        <f t="shared" si="27"/>
        <v>6.3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6.3</v>
      </c>
      <c r="DB28" s="136"/>
      <c r="DC28" s="137">
        <f t="shared" si="31"/>
        <v>6.3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40"/>
      <c r="E29" s="139">
        <v>7.0</v>
      </c>
      <c r="F29" s="140"/>
      <c r="G29" s="139">
        <v>7.0</v>
      </c>
      <c r="H29" s="140"/>
      <c r="I29" s="139">
        <v>10.0</v>
      </c>
      <c r="J29" s="140"/>
      <c r="K29" s="140"/>
      <c r="L29" s="62"/>
      <c r="M29" s="62"/>
      <c r="N29" s="143"/>
      <c r="O29" s="143"/>
      <c r="P29" s="144">
        <v>7.0</v>
      </c>
      <c r="Q29" s="143"/>
      <c r="R29" s="143"/>
      <c r="S29" s="143"/>
      <c r="T29" s="141"/>
      <c r="U29" s="141"/>
      <c r="V29" s="62">
        <f t="shared" si="9"/>
        <v>5.425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8.3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39">
        <v>8.0</v>
      </c>
      <c r="AI29" s="140"/>
      <c r="AJ29" s="140"/>
      <c r="AK29" s="140"/>
      <c r="AL29" s="140"/>
      <c r="AM29" s="140"/>
      <c r="AN29" s="139">
        <v>8.0</v>
      </c>
      <c r="AO29" s="140"/>
      <c r="AP29" s="62"/>
      <c r="AQ29" s="62"/>
      <c r="AR29" s="143"/>
      <c r="AS29" s="143"/>
      <c r="AT29" s="143"/>
      <c r="AU29" s="143"/>
      <c r="AV29" s="143"/>
      <c r="AW29" s="143"/>
      <c r="AX29" s="141"/>
      <c r="AY29" s="141"/>
      <c r="AZ29" s="62">
        <f t="shared" si="14"/>
        <v>5.6</v>
      </c>
      <c r="BA29" s="121">
        <v>8.25</v>
      </c>
      <c r="BB29" s="123">
        <f>'PROY. INTER'!AX29</f>
        <v>10</v>
      </c>
      <c r="BC29" s="62">
        <f t="shared" si="15"/>
        <v>9.125</v>
      </c>
      <c r="BD29" s="62">
        <f t="shared" si="16"/>
        <v>2.7375</v>
      </c>
      <c r="BE29" s="64">
        <f t="shared" si="17"/>
        <v>8.33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8.3</v>
      </c>
      <c r="CQ29" s="129">
        <f t="shared" si="25"/>
        <v>8.33</v>
      </c>
      <c r="CR29" s="129">
        <f t="shared" si="26"/>
        <v>0</v>
      </c>
      <c r="CS29" s="130">
        <f t="shared" si="27"/>
        <v>5.54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5.54</v>
      </c>
      <c r="DB29" s="136"/>
      <c r="DC29" s="137">
        <f t="shared" si="31"/>
        <v>5.54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40"/>
      <c r="E30" s="139">
        <v>10.0</v>
      </c>
      <c r="F30" s="140"/>
      <c r="G30" s="139">
        <v>8.0</v>
      </c>
      <c r="H30" s="140"/>
      <c r="I30" s="139">
        <v>9.0</v>
      </c>
      <c r="J30" s="140"/>
      <c r="K30" s="140"/>
      <c r="L30" s="62"/>
      <c r="M30" s="62"/>
      <c r="N30" s="143"/>
      <c r="O30" s="143"/>
      <c r="P30" s="144">
        <v>8.0</v>
      </c>
      <c r="Q30" s="143"/>
      <c r="R30" s="143"/>
      <c r="S30" s="143"/>
      <c r="T30" s="141"/>
      <c r="U30" s="141"/>
      <c r="V30" s="62">
        <f t="shared" si="9"/>
        <v>6.125</v>
      </c>
      <c r="W30" s="121">
        <v>8.0</v>
      </c>
      <c r="X30" s="123">
        <f>'PROY. INTER'!W30</f>
        <v>9.47</v>
      </c>
      <c r="Y30" s="62">
        <f t="shared" si="10"/>
        <v>8.735</v>
      </c>
      <c r="Z30" s="62">
        <f t="shared" si="11"/>
        <v>2.6205</v>
      </c>
      <c r="AA30" s="64">
        <f t="shared" si="12"/>
        <v>8.74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39">
        <v>10.0</v>
      </c>
      <c r="AI30" s="140"/>
      <c r="AJ30" s="140"/>
      <c r="AK30" s="140"/>
      <c r="AL30" s="140"/>
      <c r="AM30" s="140"/>
      <c r="AN30" s="139">
        <v>8.0</v>
      </c>
      <c r="AO30" s="140"/>
      <c r="AP30" s="62"/>
      <c r="AQ30" s="62"/>
      <c r="AR30" s="143"/>
      <c r="AS30" s="143"/>
      <c r="AT30" s="143"/>
      <c r="AU30" s="143"/>
      <c r="AV30" s="143"/>
      <c r="AW30" s="143"/>
      <c r="AX30" s="141"/>
      <c r="AY30" s="141"/>
      <c r="AZ30" s="62">
        <f t="shared" si="14"/>
        <v>6.3</v>
      </c>
      <c r="BA30" s="121">
        <v>7.25</v>
      </c>
      <c r="BB30" s="123">
        <f>'PROY. INTER'!AX30</f>
        <v>10</v>
      </c>
      <c r="BC30" s="62">
        <f t="shared" si="15"/>
        <v>8.625</v>
      </c>
      <c r="BD30" s="62">
        <f t="shared" si="16"/>
        <v>2.5875</v>
      </c>
      <c r="BE30" s="64">
        <f t="shared" si="17"/>
        <v>8.88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8.74</v>
      </c>
      <c r="CQ30" s="129">
        <f t="shared" si="25"/>
        <v>8.88</v>
      </c>
      <c r="CR30" s="129">
        <f t="shared" si="26"/>
        <v>0</v>
      </c>
      <c r="CS30" s="130">
        <f t="shared" si="27"/>
        <v>5.87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5.87</v>
      </c>
      <c r="DB30" s="136"/>
      <c r="DC30" s="137">
        <f t="shared" si="31"/>
        <v>5.87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40"/>
      <c r="E31" s="139">
        <v>10.0</v>
      </c>
      <c r="F31" s="140"/>
      <c r="G31" s="139">
        <v>10.0</v>
      </c>
      <c r="H31" s="140"/>
      <c r="I31" s="139">
        <v>10.0</v>
      </c>
      <c r="J31" s="140"/>
      <c r="K31" s="140"/>
      <c r="L31" s="62"/>
      <c r="M31" s="62"/>
      <c r="N31" s="143"/>
      <c r="O31" s="143"/>
      <c r="P31" s="144">
        <v>10.0</v>
      </c>
      <c r="Q31" s="143"/>
      <c r="R31" s="143"/>
      <c r="S31" s="143"/>
      <c r="T31" s="141"/>
      <c r="U31" s="141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39">
        <v>10.0</v>
      </c>
      <c r="AI31" s="140"/>
      <c r="AJ31" s="140"/>
      <c r="AK31" s="140"/>
      <c r="AL31" s="140"/>
      <c r="AM31" s="140"/>
      <c r="AN31" s="139">
        <v>10.0</v>
      </c>
      <c r="AO31" s="140"/>
      <c r="AP31" s="62"/>
      <c r="AQ31" s="62"/>
      <c r="AR31" s="143"/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40"/>
      <c r="E32" s="139">
        <v>7.5</v>
      </c>
      <c r="F32" s="140"/>
      <c r="G32" s="139">
        <v>8.0</v>
      </c>
      <c r="H32" s="140"/>
      <c r="I32" s="139">
        <v>7.1</v>
      </c>
      <c r="J32" s="140"/>
      <c r="K32" s="140"/>
      <c r="L32" s="62"/>
      <c r="M32" s="62"/>
      <c r="N32" s="143"/>
      <c r="O32" s="143"/>
      <c r="P32" s="144">
        <v>10.0</v>
      </c>
      <c r="Q32" s="143"/>
      <c r="R32" s="143"/>
      <c r="S32" s="143"/>
      <c r="T32" s="141"/>
      <c r="U32" s="141"/>
      <c r="V32" s="62">
        <f t="shared" si="9"/>
        <v>5.705</v>
      </c>
      <c r="W32" s="121">
        <v>4.75</v>
      </c>
      <c r="X32" s="123">
        <f>'PROY. INTER'!W32</f>
        <v>6.47</v>
      </c>
      <c r="Y32" s="62">
        <f t="shared" si="10"/>
        <v>5.61</v>
      </c>
      <c r="Z32" s="62">
        <f t="shared" si="11"/>
        <v>1.683</v>
      </c>
      <c r="AA32" s="64">
        <f t="shared" si="12"/>
        <v>7.38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39">
        <v>7.0</v>
      </c>
      <c r="AI32" s="140"/>
      <c r="AJ32" s="140"/>
      <c r="AK32" s="140"/>
      <c r="AL32" s="140"/>
      <c r="AM32" s="140"/>
      <c r="AN32" s="139">
        <v>2.0</v>
      </c>
      <c r="AO32" s="140"/>
      <c r="AP32" s="62"/>
      <c r="AQ32" s="62"/>
      <c r="AR32" s="143"/>
      <c r="AS32" s="143"/>
      <c r="AT32" s="143"/>
      <c r="AU32" s="143"/>
      <c r="AV32" s="143"/>
      <c r="AW32" s="143"/>
      <c r="AX32" s="145">
        <v>8.5</v>
      </c>
      <c r="AY32" s="141"/>
      <c r="AZ32" s="62">
        <f t="shared" si="14"/>
        <v>4.081</v>
      </c>
      <c r="BA32" s="121">
        <v>9.5</v>
      </c>
      <c r="BB32" s="123">
        <f>'PROY. INTER'!AX32</f>
        <v>10</v>
      </c>
      <c r="BC32" s="62">
        <f t="shared" si="15"/>
        <v>9.75</v>
      </c>
      <c r="BD32" s="62">
        <f t="shared" si="16"/>
        <v>2.925</v>
      </c>
      <c r="BE32" s="64">
        <f t="shared" si="17"/>
        <v>7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7.38</v>
      </c>
      <c r="CQ32" s="129">
        <f t="shared" si="25"/>
        <v>7</v>
      </c>
      <c r="CR32" s="129">
        <f t="shared" si="26"/>
        <v>0</v>
      </c>
      <c r="CS32" s="130">
        <f t="shared" si="27"/>
        <v>4.79</v>
      </c>
      <c r="CT32" s="131" t="str">
        <f t="shared" si="28"/>
        <v>REPROBADO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4.79</v>
      </c>
      <c r="DB32" s="136"/>
      <c r="DC32" s="137">
        <f t="shared" si="31"/>
        <v>4.79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40"/>
      <c r="E33" s="139">
        <v>10.0</v>
      </c>
      <c r="F33" s="140"/>
      <c r="G33" s="139">
        <v>8.0</v>
      </c>
      <c r="H33" s="140"/>
      <c r="I33" s="139">
        <v>8.0</v>
      </c>
      <c r="J33" s="140"/>
      <c r="K33" s="140"/>
      <c r="L33" s="62"/>
      <c r="M33" s="62"/>
      <c r="N33" s="143"/>
      <c r="O33" s="143"/>
      <c r="P33" s="144">
        <v>7.0</v>
      </c>
      <c r="Q33" s="143"/>
      <c r="R33" s="143"/>
      <c r="S33" s="143"/>
      <c r="T33" s="141"/>
      <c r="U33" s="141"/>
      <c r="V33" s="62">
        <f t="shared" si="9"/>
        <v>5.775</v>
      </c>
      <c r="W33" s="121">
        <v>7.0</v>
      </c>
      <c r="X33" s="123">
        <f>'PROY. INTER'!W33</f>
        <v>9.2</v>
      </c>
      <c r="Y33" s="62">
        <f t="shared" si="10"/>
        <v>8.1</v>
      </c>
      <c r="Z33" s="62">
        <f t="shared" si="11"/>
        <v>2.43</v>
      </c>
      <c r="AA33" s="64">
        <f t="shared" si="12"/>
        <v>8.2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39">
        <v>7.0</v>
      </c>
      <c r="AI33" s="140"/>
      <c r="AJ33" s="140"/>
      <c r="AK33" s="140"/>
      <c r="AL33" s="140"/>
      <c r="AM33" s="140"/>
      <c r="AN33" s="139">
        <v>2.0</v>
      </c>
      <c r="AO33" s="140"/>
      <c r="AP33" s="62"/>
      <c r="AQ33" s="62"/>
      <c r="AR33" s="143"/>
      <c r="AS33" s="143"/>
      <c r="AT33" s="143"/>
      <c r="AU33" s="143"/>
      <c r="AV33" s="143"/>
      <c r="AW33" s="143"/>
      <c r="AX33" s="145">
        <v>9.5</v>
      </c>
      <c r="AY33" s="141"/>
      <c r="AZ33" s="62">
        <f t="shared" si="14"/>
        <v>4.312</v>
      </c>
      <c r="BA33" s="121">
        <v>8.25</v>
      </c>
      <c r="BB33" s="123">
        <f>'PROY. INTER'!AX33</f>
        <v>10</v>
      </c>
      <c r="BC33" s="62">
        <f t="shared" si="15"/>
        <v>9.125</v>
      </c>
      <c r="BD33" s="62">
        <f t="shared" si="16"/>
        <v>2.7375</v>
      </c>
      <c r="BE33" s="64">
        <f t="shared" si="17"/>
        <v>7.04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8.2</v>
      </c>
      <c r="CQ33" s="129">
        <f t="shared" si="25"/>
        <v>7.04</v>
      </c>
      <c r="CR33" s="129">
        <f t="shared" si="26"/>
        <v>0</v>
      </c>
      <c r="CS33" s="130">
        <f t="shared" si="27"/>
        <v>5.08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5.08</v>
      </c>
      <c r="DB33" s="136"/>
      <c r="DC33" s="137">
        <f t="shared" si="31"/>
        <v>5.08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40"/>
      <c r="E34" s="139">
        <v>8.0</v>
      </c>
      <c r="F34" s="140"/>
      <c r="G34" s="139">
        <v>7.0</v>
      </c>
      <c r="H34" s="140"/>
      <c r="I34" s="139">
        <v>9.0</v>
      </c>
      <c r="J34" s="140"/>
      <c r="K34" s="140"/>
      <c r="L34" s="62"/>
      <c r="M34" s="62"/>
      <c r="N34" s="143"/>
      <c r="O34" s="143"/>
      <c r="P34" s="144">
        <v>8.0</v>
      </c>
      <c r="Q34" s="143"/>
      <c r="R34" s="143"/>
      <c r="S34" s="143"/>
      <c r="T34" s="141"/>
      <c r="U34" s="141"/>
      <c r="V34" s="62">
        <f t="shared" si="9"/>
        <v>5.6</v>
      </c>
      <c r="W34" s="121">
        <v>6.5</v>
      </c>
      <c r="X34" s="123">
        <f>'PROY. INTER'!W34</f>
        <v>7.33</v>
      </c>
      <c r="Y34" s="62">
        <f t="shared" si="10"/>
        <v>6.915</v>
      </c>
      <c r="Z34" s="62">
        <f t="shared" si="11"/>
        <v>2.0745</v>
      </c>
      <c r="AA34" s="64">
        <f t="shared" si="12"/>
        <v>7.67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39">
        <v>2.0</v>
      </c>
      <c r="AI34" s="140"/>
      <c r="AJ34" s="140"/>
      <c r="AK34" s="140"/>
      <c r="AL34" s="140"/>
      <c r="AM34" s="140"/>
      <c r="AN34" s="139">
        <v>10.0</v>
      </c>
      <c r="AO34" s="140"/>
      <c r="AP34" s="62"/>
      <c r="AQ34" s="62"/>
      <c r="AR34" s="143"/>
      <c r="AS34" s="143"/>
      <c r="AT34" s="143"/>
      <c r="AU34" s="143"/>
      <c r="AV34" s="143"/>
      <c r="AW34" s="143"/>
      <c r="AX34" s="145">
        <v>8.0</v>
      </c>
      <c r="AY34" s="141"/>
      <c r="AZ34" s="62">
        <f t="shared" si="14"/>
        <v>4.662</v>
      </c>
      <c r="BA34" s="121">
        <v>6.5</v>
      </c>
      <c r="BB34" s="123">
        <f>'PROY. INTER'!AX34</f>
        <v>10</v>
      </c>
      <c r="BC34" s="62">
        <f t="shared" si="15"/>
        <v>8.25</v>
      </c>
      <c r="BD34" s="62">
        <f t="shared" si="16"/>
        <v>2.475</v>
      </c>
      <c r="BE34" s="64">
        <f t="shared" si="17"/>
        <v>7.13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7.67</v>
      </c>
      <c r="CQ34" s="129">
        <f t="shared" si="25"/>
        <v>7.13</v>
      </c>
      <c r="CR34" s="129">
        <f t="shared" si="26"/>
        <v>0</v>
      </c>
      <c r="CS34" s="130">
        <f t="shared" si="27"/>
        <v>4.93</v>
      </c>
      <c r="CT34" s="131" t="str">
        <f t="shared" si="28"/>
        <v>REPROBADO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4.93</v>
      </c>
      <c r="DB34" s="136"/>
      <c r="DC34" s="137">
        <f t="shared" si="31"/>
        <v>4.93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40"/>
      <c r="E35" s="139">
        <v>8.0</v>
      </c>
      <c r="F35" s="140"/>
      <c r="G35" s="139">
        <v>8.0</v>
      </c>
      <c r="H35" s="140"/>
      <c r="I35" s="139">
        <v>10.0</v>
      </c>
      <c r="J35" s="140"/>
      <c r="K35" s="140"/>
      <c r="L35" s="62"/>
      <c r="M35" s="62"/>
      <c r="N35" s="143"/>
      <c r="O35" s="143"/>
      <c r="P35" s="144">
        <v>8.0</v>
      </c>
      <c r="Q35" s="143"/>
      <c r="R35" s="143"/>
      <c r="S35" s="143"/>
      <c r="T35" s="141"/>
      <c r="U35" s="141"/>
      <c r="V35" s="62">
        <f t="shared" si="9"/>
        <v>5.95</v>
      </c>
      <c r="W35" s="121">
        <v>6.0</v>
      </c>
      <c r="X35" s="123">
        <f>'PROY. INTER'!W35</f>
        <v>9.73</v>
      </c>
      <c r="Y35" s="62">
        <f t="shared" si="10"/>
        <v>7.865</v>
      </c>
      <c r="Z35" s="62">
        <f t="shared" si="11"/>
        <v>2.3595</v>
      </c>
      <c r="AA35" s="64">
        <f t="shared" si="12"/>
        <v>8.3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39">
        <v>7.0</v>
      </c>
      <c r="AI35" s="140"/>
      <c r="AJ35" s="140"/>
      <c r="AK35" s="140"/>
      <c r="AL35" s="140"/>
      <c r="AM35" s="140"/>
      <c r="AN35" s="139">
        <v>7.0</v>
      </c>
      <c r="AO35" s="140"/>
      <c r="AP35" s="62"/>
      <c r="AQ35" s="62"/>
      <c r="AR35" s="143"/>
      <c r="AS35" s="143"/>
      <c r="AT35" s="143"/>
      <c r="AU35" s="143"/>
      <c r="AV35" s="143"/>
      <c r="AW35" s="143"/>
      <c r="AX35" s="141"/>
      <c r="AY35" s="141"/>
      <c r="AZ35" s="62">
        <f t="shared" si="14"/>
        <v>4.9</v>
      </c>
      <c r="BA35" s="121">
        <v>9.5</v>
      </c>
      <c r="BB35" s="123">
        <f>'PROY. INTER'!AX35</f>
        <v>10</v>
      </c>
      <c r="BC35" s="62">
        <f t="shared" si="15"/>
        <v>9.75</v>
      </c>
      <c r="BD35" s="62">
        <f t="shared" si="16"/>
        <v>2.925</v>
      </c>
      <c r="BE35" s="64">
        <f t="shared" si="17"/>
        <v>7.82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8.3</v>
      </c>
      <c r="CQ35" s="129">
        <f t="shared" si="25"/>
        <v>7.82</v>
      </c>
      <c r="CR35" s="129">
        <f t="shared" si="26"/>
        <v>0</v>
      </c>
      <c r="CS35" s="130">
        <f t="shared" si="27"/>
        <v>5.37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5.37</v>
      </c>
      <c r="DB35" s="136"/>
      <c r="DC35" s="137">
        <f t="shared" si="31"/>
        <v>5.37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121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5.285833333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22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2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 DEBE SER ENTRE 0 Y 10 PTS" sqref="D12:U61 W12:W61 AH12:AY61 BA12:BA61 BL12:CC61 CE12:CE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3.14"/>
    <col customWidth="1" min="4" max="21" width="4.86"/>
    <col customWidth="1" min="22" max="26" width="5.71"/>
    <col customWidth="1" min="27" max="27" width="20.14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179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Lic. Leticia Hernandez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Lic. Leticia Hernandez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12" t="str">
        <f t="shared" si="3"/>
        <v>Lic. Leticia Hernandez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Lic. Leticia Hernandez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180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FILOSOFIA 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FILOSOFIA 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FILOSOFIA 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FILOSOFIA 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181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182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183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FILOSOFIA!CM10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19">
        <v>10.0</v>
      </c>
      <c r="F12" s="119">
        <v>10.0</v>
      </c>
      <c r="G12" s="120"/>
      <c r="H12" s="119">
        <v>10.0</v>
      </c>
      <c r="I12" s="119">
        <v>10.0</v>
      </c>
      <c r="J12" s="120"/>
      <c r="K12" s="120"/>
      <c r="L12" s="62"/>
      <c r="M12" s="62"/>
      <c r="N12" s="62"/>
      <c r="O12" s="62"/>
      <c r="P12" s="121">
        <v>10.0</v>
      </c>
      <c r="Q12" s="62"/>
      <c r="R12" s="62"/>
      <c r="S12" s="62"/>
      <c r="T12" s="122"/>
      <c r="U12" s="122"/>
      <c r="V12" s="62">
        <f t="shared" ref="V12:V61" si="9">IFERROR(TRUNC(AVERAGE(D12:U12),2),"")*70/100</f>
        <v>7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10</v>
      </c>
      <c r="AC12" s="2"/>
      <c r="AE12" s="56">
        <v>1.0</v>
      </c>
      <c r="AF12" s="124" t="str">
        <f t="shared" ref="AF12:AG12" si="5">B12</f>
        <v/>
      </c>
      <c r="AG12" s="125" t="str">
        <f t="shared" si="5"/>
        <v>Almeida Alvarado Ariana Guisela</v>
      </c>
      <c r="AH12" s="119">
        <v>10.0</v>
      </c>
      <c r="AI12" s="119">
        <v>10.0</v>
      </c>
      <c r="AJ12" s="119">
        <v>10.0</v>
      </c>
      <c r="AK12" s="120"/>
      <c r="AL12" s="119">
        <v>10.0</v>
      </c>
      <c r="AM12" s="119">
        <v>10.0</v>
      </c>
      <c r="AN12" s="120"/>
      <c r="AO12" s="120"/>
      <c r="AP12" s="62"/>
      <c r="AQ12" s="62"/>
      <c r="AR12" s="121">
        <v>10.0</v>
      </c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10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6.66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6.66</v>
      </c>
      <c r="DB12" s="136"/>
      <c r="DC12" s="137">
        <f t="shared" ref="DC12:DC61" si="31">IF(DA12&gt;=7,DA12,IF(DA12="","",IF(DB12="",AVERAGE(DA12:DB12),IF(AND(DA12&lt;4.01,DB12&lt;&gt;""),DA12,IF(DB12&lt;7,DA12,7)))))</f>
        <v>6.66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8.0</v>
      </c>
      <c r="E13" s="139">
        <v>10.0</v>
      </c>
      <c r="F13" s="139">
        <v>9.0</v>
      </c>
      <c r="G13" s="140"/>
      <c r="H13" s="139">
        <v>10.0</v>
      </c>
      <c r="I13" s="139">
        <v>10.0</v>
      </c>
      <c r="J13" s="140"/>
      <c r="K13" s="140"/>
      <c r="L13" s="62"/>
      <c r="M13" s="62"/>
      <c r="N13" s="62"/>
      <c r="O13" s="62"/>
      <c r="P13" s="121">
        <v>10.0</v>
      </c>
      <c r="Q13" s="62"/>
      <c r="R13" s="62"/>
      <c r="S13" s="62"/>
      <c r="T13" s="141"/>
      <c r="U13" s="141"/>
      <c r="V13" s="62">
        <f t="shared" si="9"/>
        <v>6.65</v>
      </c>
      <c r="W13" s="121">
        <v>8.0</v>
      </c>
      <c r="X13" s="123">
        <f>'PROY. INTER'!W13</f>
        <v>10</v>
      </c>
      <c r="Y13" s="62">
        <f t="shared" si="10"/>
        <v>9</v>
      </c>
      <c r="Z13" s="62">
        <f t="shared" si="11"/>
        <v>2.7</v>
      </c>
      <c r="AA13" s="64">
        <f t="shared" si="12"/>
        <v>9.35</v>
      </c>
      <c r="AC13" s="2"/>
      <c r="AE13" s="56">
        <v>2.0</v>
      </c>
      <c r="AF13" s="124" t="str">
        <f t="shared" ref="AF13:AG13" si="13">B13</f>
        <v/>
      </c>
      <c r="AG13" s="125" t="str">
        <f t="shared" si="13"/>
        <v>Alvarado Vargas Dacmar Alejandra</v>
      </c>
      <c r="AH13" s="139">
        <v>10.0</v>
      </c>
      <c r="AI13" s="139">
        <v>10.0</v>
      </c>
      <c r="AJ13" s="139">
        <v>10.0</v>
      </c>
      <c r="AK13" s="140"/>
      <c r="AL13" s="139">
        <v>10.0</v>
      </c>
      <c r="AM13" s="139">
        <v>10.0</v>
      </c>
      <c r="AN13" s="140"/>
      <c r="AO13" s="140"/>
      <c r="AP13" s="62"/>
      <c r="AQ13" s="62"/>
      <c r="AR13" s="121">
        <v>10.0</v>
      </c>
      <c r="AS13" s="62"/>
      <c r="AT13" s="62"/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9.35</v>
      </c>
      <c r="CQ13" s="129">
        <f t="shared" si="25"/>
        <v>10</v>
      </c>
      <c r="CR13" s="129">
        <f t="shared" si="26"/>
        <v>0</v>
      </c>
      <c r="CS13" s="130">
        <f t="shared" si="27"/>
        <v>6.45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6.45</v>
      </c>
      <c r="DB13" s="142"/>
      <c r="DC13" s="137">
        <f t="shared" si="31"/>
        <v>6.45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9.0</v>
      </c>
      <c r="E14" s="139">
        <v>8.0</v>
      </c>
      <c r="F14" s="139">
        <v>8.0</v>
      </c>
      <c r="G14" s="140"/>
      <c r="H14" s="139">
        <v>7.0</v>
      </c>
      <c r="I14" s="139">
        <v>7.0</v>
      </c>
      <c r="J14" s="140"/>
      <c r="K14" s="140"/>
      <c r="L14" s="62"/>
      <c r="M14" s="62"/>
      <c r="N14" s="143"/>
      <c r="O14" s="143"/>
      <c r="P14" s="144">
        <v>8.0</v>
      </c>
      <c r="Q14" s="143"/>
      <c r="R14" s="143"/>
      <c r="S14" s="143"/>
      <c r="T14" s="141"/>
      <c r="U14" s="141"/>
      <c r="V14" s="62">
        <f t="shared" si="9"/>
        <v>5.481</v>
      </c>
      <c r="W14" s="121">
        <v>10.0</v>
      </c>
      <c r="X14" s="123">
        <f>'PROY. INTER'!W14</f>
        <v>8.2</v>
      </c>
      <c r="Y14" s="62">
        <f t="shared" si="10"/>
        <v>9.1</v>
      </c>
      <c r="Z14" s="62">
        <f t="shared" si="11"/>
        <v>2.73</v>
      </c>
      <c r="AA14" s="64">
        <f t="shared" si="12"/>
        <v>8.21</v>
      </c>
      <c r="AC14" s="2"/>
      <c r="AE14" s="56">
        <v>3.0</v>
      </c>
      <c r="AF14" s="124" t="str">
        <f t="shared" ref="AF14:AG14" si="33">B14</f>
        <v/>
      </c>
      <c r="AG14" s="125" t="str">
        <f t="shared" si="33"/>
        <v>Ampuero Cornejo Cesar Jeanpierre</v>
      </c>
      <c r="AH14" s="139">
        <v>8.0</v>
      </c>
      <c r="AI14" s="139">
        <v>8.0</v>
      </c>
      <c r="AJ14" s="139">
        <v>8.0</v>
      </c>
      <c r="AK14" s="140"/>
      <c r="AL14" s="139">
        <v>8.0</v>
      </c>
      <c r="AM14" s="139">
        <v>10.0</v>
      </c>
      <c r="AN14" s="140"/>
      <c r="AO14" s="140"/>
      <c r="AP14" s="62"/>
      <c r="AQ14" s="62"/>
      <c r="AR14" s="144">
        <v>8.0</v>
      </c>
      <c r="AS14" s="143"/>
      <c r="AT14" s="143"/>
      <c r="AU14" s="143"/>
      <c r="AV14" s="143"/>
      <c r="AW14" s="143"/>
      <c r="AX14" s="141"/>
      <c r="AY14" s="141"/>
      <c r="AZ14" s="62">
        <f t="shared" si="14"/>
        <v>5.831</v>
      </c>
      <c r="BA14" s="121">
        <v>9.0</v>
      </c>
      <c r="BB14" s="123">
        <f>'PROY. INTER'!AX14</f>
        <v>10</v>
      </c>
      <c r="BC14" s="62">
        <f t="shared" si="15"/>
        <v>9.5</v>
      </c>
      <c r="BD14" s="62">
        <f t="shared" si="16"/>
        <v>2.85</v>
      </c>
      <c r="BE14" s="64">
        <f t="shared" si="17"/>
        <v>8.68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8.21</v>
      </c>
      <c r="CQ14" s="129">
        <f t="shared" si="25"/>
        <v>8.68</v>
      </c>
      <c r="CR14" s="129">
        <f t="shared" si="26"/>
        <v>0</v>
      </c>
      <c r="CS14" s="130">
        <f t="shared" si="27"/>
        <v>5.63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5.63</v>
      </c>
      <c r="DB14" s="136"/>
      <c r="DC14" s="137">
        <f t="shared" si="31"/>
        <v>5.63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7.0</v>
      </c>
      <c r="E15" s="139">
        <v>8.0</v>
      </c>
      <c r="F15" s="139">
        <v>8.0</v>
      </c>
      <c r="G15" s="140"/>
      <c r="H15" s="139">
        <v>7.0</v>
      </c>
      <c r="I15" s="139">
        <v>7.0</v>
      </c>
      <c r="J15" s="140"/>
      <c r="K15" s="140"/>
      <c r="L15" s="62"/>
      <c r="M15" s="62"/>
      <c r="N15" s="143"/>
      <c r="O15" s="143"/>
      <c r="P15" s="144">
        <v>8.0</v>
      </c>
      <c r="Q15" s="143"/>
      <c r="R15" s="143"/>
      <c r="S15" s="143"/>
      <c r="T15" s="141"/>
      <c r="U15" s="141"/>
      <c r="V15" s="62">
        <f t="shared" si="9"/>
        <v>5.25</v>
      </c>
      <c r="W15" s="121">
        <v>9.0</v>
      </c>
      <c r="X15" s="123">
        <f>'PROY. INTER'!W15</f>
        <v>6.73</v>
      </c>
      <c r="Y15" s="62">
        <f t="shared" si="10"/>
        <v>7.865</v>
      </c>
      <c r="Z15" s="62">
        <f t="shared" si="11"/>
        <v>2.3595</v>
      </c>
      <c r="AA15" s="64">
        <f t="shared" si="12"/>
        <v>7.6</v>
      </c>
      <c r="AC15" s="2"/>
      <c r="AE15" s="56">
        <v>4.0</v>
      </c>
      <c r="AF15" s="124" t="str">
        <f t="shared" ref="AF15:AG15" si="37">B15</f>
        <v/>
      </c>
      <c r="AG15" s="125" t="str">
        <f t="shared" si="37"/>
        <v>Aylla Murillo Kerly Kristhel</v>
      </c>
      <c r="AH15" s="139">
        <v>8.0</v>
      </c>
      <c r="AI15" s="139">
        <v>8.0</v>
      </c>
      <c r="AJ15" s="139">
        <v>8.0</v>
      </c>
      <c r="AK15" s="140"/>
      <c r="AL15" s="139">
        <v>8.0</v>
      </c>
      <c r="AM15" s="139">
        <v>8.0</v>
      </c>
      <c r="AN15" s="140"/>
      <c r="AO15" s="140"/>
      <c r="AP15" s="62"/>
      <c r="AQ15" s="62"/>
      <c r="AR15" s="144">
        <v>8.0</v>
      </c>
      <c r="AS15" s="143"/>
      <c r="AT15" s="143"/>
      <c r="AU15" s="143"/>
      <c r="AV15" s="143"/>
      <c r="AW15" s="143"/>
      <c r="AX15" s="141"/>
      <c r="AY15" s="141"/>
      <c r="AZ15" s="62">
        <f t="shared" si="14"/>
        <v>5.6</v>
      </c>
      <c r="BA15" s="121">
        <v>10.0</v>
      </c>
      <c r="BB15" s="123">
        <f>'PROY. INTER'!AX15</f>
        <v>10</v>
      </c>
      <c r="BC15" s="62">
        <f t="shared" si="15"/>
        <v>10</v>
      </c>
      <c r="BD15" s="62">
        <f t="shared" si="16"/>
        <v>3</v>
      </c>
      <c r="BE15" s="64">
        <f t="shared" si="17"/>
        <v>8.6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7.6</v>
      </c>
      <c r="CQ15" s="129">
        <f t="shared" si="25"/>
        <v>8.6</v>
      </c>
      <c r="CR15" s="129">
        <f t="shared" si="26"/>
        <v>0</v>
      </c>
      <c r="CS15" s="130">
        <f t="shared" si="27"/>
        <v>5.4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5.4</v>
      </c>
      <c r="DB15" s="136"/>
      <c r="DC15" s="137">
        <f t="shared" si="31"/>
        <v>5.4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9.0</v>
      </c>
      <c r="E16" s="139">
        <v>7.0</v>
      </c>
      <c r="F16" s="139">
        <v>7.0</v>
      </c>
      <c r="G16" s="140"/>
      <c r="H16" s="139">
        <v>7.0</v>
      </c>
      <c r="I16" s="139">
        <v>7.0</v>
      </c>
      <c r="J16" s="140"/>
      <c r="K16" s="140"/>
      <c r="L16" s="62"/>
      <c r="M16" s="62"/>
      <c r="N16" s="143"/>
      <c r="O16" s="143"/>
      <c r="P16" s="144">
        <v>7.0</v>
      </c>
      <c r="Q16" s="143"/>
      <c r="R16" s="143"/>
      <c r="S16" s="143"/>
      <c r="T16" s="141"/>
      <c r="U16" s="141"/>
      <c r="V16" s="62">
        <f t="shared" si="9"/>
        <v>5.131</v>
      </c>
      <c r="W16" s="121">
        <v>9.0</v>
      </c>
      <c r="X16" s="123">
        <f>'PROY. INTER'!W16</f>
        <v>6</v>
      </c>
      <c r="Y16" s="62">
        <f t="shared" si="10"/>
        <v>7.5</v>
      </c>
      <c r="Z16" s="62">
        <f t="shared" si="11"/>
        <v>2.25</v>
      </c>
      <c r="AA16" s="64">
        <f t="shared" si="12"/>
        <v>7.38</v>
      </c>
      <c r="AC16" s="2"/>
      <c r="AE16" s="56">
        <v>5.0</v>
      </c>
      <c r="AF16" s="124" t="str">
        <f t="shared" ref="AF16:AG16" si="41">B16</f>
        <v/>
      </c>
      <c r="AG16" s="125" t="str">
        <f t="shared" si="41"/>
        <v>Campuzano Meza Naydelyn Odeth</v>
      </c>
      <c r="AH16" s="139">
        <v>8.0</v>
      </c>
      <c r="AI16" s="139">
        <v>8.0</v>
      </c>
      <c r="AJ16" s="139">
        <v>9.0</v>
      </c>
      <c r="AK16" s="140"/>
      <c r="AL16" s="139">
        <v>8.0</v>
      </c>
      <c r="AM16" s="139">
        <v>8.0</v>
      </c>
      <c r="AN16" s="140"/>
      <c r="AO16" s="140"/>
      <c r="AP16" s="62"/>
      <c r="AQ16" s="62"/>
      <c r="AR16" s="144">
        <v>8.0</v>
      </c>
      <c r="AS16" s="143"/>
      <c r="AT16" s="143"/>
      <c r="AU16" s="143"/>
      <c r="AV16" s="143"/>
      <c r="AW16" s="143"/>
      <c r="AX16" s="141"/>
      <c r="AY16" s="141"/>
      <c r="AZ16" s="62">
        <f t="shared" si="14"/>
        <v>5.712</v>
      </c>
      <c r="BA16" s="121">
        <v>9.0</v>
      </c>
      <c r="BB16" s="123">
        <f>'PROY. INTER'!AX16</f>
        <v>2</v>
      </c>
      <c r="BC16" s="62">
        <f t="shared" si="15"/>
        <v>5.5</v>
      </c>
      <c r="BD16" s="62">
        <f t="shared" si="16"/>
        <v>1.65</v>
      </c>
      <c r="BE16" s="64">
        <f t="shared" si="17"/>
        <v>7.36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7.38</v>
      </c>
      <c r="CQ16" s="129">
        <f t="shared" si="25"/>
        <v>7.36</v>
      </c>
      <c r="CR16" s="129">
        <f t="shared" si="26"/>
        <v>0</v>
      </c>
      <c r="CS16" s="130">
        <f t="shared" si="27"/>
        <v>4.91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4.91</v>
      </c>
      <c r="DB16" s="136"/>
      <c r="DC16" s="137">
        <f t="shared" si="31"/>
        <v>4.91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8.0</v>
      </c>
      <c r="E17" s="139">
        <v>8.0</v>
      </c>
      <c r="F17" s="139">
        <v>10.0</v>
      </c>
      <c r="G17" s="140"/>
      <c r="H17" s="139">
        <v>8.0</v>
      </c>
      <c r="I17" s="139">
        <v>10.0</v>
      </c>
      <c r="J17" s="140"/>
      <c r="K17" s="140"/>
      <c r="L17" s="62"/>
      <c r="M17" s="62"/>
      <c r="N17" s="143"/>
      <c r="O17" s="143"/>
      <c r="P17" s="144">
        <v>8.0</v>
      </c>
      <c r="Q17" s="143"/>
      <c r="R17" s="143"/>
      <c r="S17" s="143"/>
      <c r="T17" s="141"/>
      <c r="U17" s="141"/>
      <c r="V17" s="62">
        <f t="shared" si="9"/>
        <v>6.062</v>
      </c>
      <c r="W17" s="121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9.04</v>
      </c>
      <c r="AC17" s="2"/>
      <c r="AE17" s="56">
        <v>6.0</v>
      </c>
      <c r="AF17" s="124" t="str">
        <f t="shared" ref="AF17:AG17" si="45">B17</f>
        <v/>
      </c>
      <c r="AG17" s="188" t="str">
        <f t="shared" si="45"/>
        <v>Cantos Zúñiga a Hernán Snayder</v>
      </c>
      <c r="AH17" s="139">
        <v>8.0</v>
      </c>
      <c r="AI17" s="139">
        <v>8.0</v>
      </c>
      <c r="AJ17" s="139">
        <v>9.0</v>
      </c>
      <c r="AK17" s="140"/>
      <c r="AL17" s="139">
        <v>10.0</v>
      </c>
      <c r="AM17" s="139">
        <v>8.0</v>
      </c>
      <c r="AN17" s="140"/>
      <c r="AO17" s="140"/>
      <c r="AP17" s="62"/>
      <c r="AQ17" s="62"/>
      <c r="AR17" s="144">
        <v>8.0</v>
      </c>
      <c r="AS17" s="143"/>
      <c r="AT17" s="143"/>
      <c r="AU17" s="143"/>
      <c r="AV17" s="143"/>
      <c r="AW17" s="143"/>
      <c r="AX17" s="141"/>
      <c r="AY17" s="141"/>
      <c r="AZ17" s="62">
        <f t="shared" si="14"/>
        <v>5.95</v>
      </c>
      <c r="BA17" s="121">
        <v>10.0</v>
      </c>
      <c r="BB17" s="123">
        <f>'PROY. INTER'!AX17</f>
        <v>10</v>
      </c>
      <c r="BC17" s="62">
        <f t="shared" si="15"/>
        <v>10</v>
      </c>
      <c r="BD17" s="62">
        <f t="shared" si="16"/>
        <v>3</v>
      </c>
      <c r="BE17" s="64">
        <f t="shared" si="17"/>
        <v>8.95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9.04</v>
      </c>
      <c r="CQ17" s="129">
        <f t="shared" si="25"/>
        <v>8.95</v>
      </c>
      <c r="CR17" s="129">
        <f t="shared" si="26"/>
        <v>0</v>
      </c>
      <c r="CS17" s="130">
        <f t="shared" si="27"/>
        <v>5.99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5.99</v>
      </c>
      <c r="DB17" s="136"/>
      <c r="DC17" s="137">
        <f t="shared" si="31"/>
        <v>5.99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10.0</v>
      </c>
      <c r="E18" s="139">
        <v>10.0</v>
      </c>
      <c r="F18" s="139">
        <v>10.0</v>
      </c>
      <c r="G18" s="140"/>
      <c r="H18" s="139">
        <v>10.0</v>
      </c>
      <c r="I18" s="139">
        <v>9.0</v>
      </c>
      <c r="J18" s="140"/>
      <c r="K18" s="140"/>
      <c r="L18" s="62"/>
      <c r="M18" s="62"/>
      <c r="N18" s="143"/>
      <c r="O18" s="143"/>
      <c r="P18" s="144">
        <v>10.0</v>
      </c>
      <c r="Q18" s="143"/>
      <c r="R18" s="143"/>
      <c r="S18" s="143"/>
      <c r="T18" s="141"/>
      <c r="U18" s="141"/>
      <c r="V18" s="62">
        <f t="shared" si="9"/>
        <v>6.881</v>
      </c>
      <c r="W18" s="121">
        <v>10.0</v>
      </c>
      <c r="X18" s="123">
        <f>'PROY. INTER'!W18</f>
        <v>9</v>
      </c>
      <c r="Y18" s="62">
        <f t="shared" si="10"/>
        <v>9.5</v>
      </c>
      <c r="Z18" s="62">
        <f t="shared" si="11"/>
        <v>2.85</v>
      </c>
      <c r="AA18" s="64">
        <f t="shared" si="12"/>
        <v>9.73</v>
      </c>
      <c r="AC18" s="2"/>
      <c r="AE18" s="56">
        <v>7.0</v>
      </c>
      <c r="AF18" s="124" t="str">
        <f t="shared" ref="AF18:AG18" si="49">B18</f>
        <v/>
      </c>
      <c r="AG18" s="125" t="str">
        <f t="shared" si="49"/>
        <v>Carranza Dumes Genesis Daniela</v>
      </c>
      <c r="AH18" s="139">
        <v>7.0</v>
      </c>
      <c r="AI18" s="139">
        <v>8.0</v>
      </c>
      <c r="AJ18" s="139">
        <v>9.0</v>
      </c>
      <c r="AK18" s="140"/>
      <c r="AL18" s="139">
        <v>8.0</v>
      </c>
      <c r="AM18" s="139">
        <v>8.0</v>
      </c>
      <c r="AN18" s="140"/>
      <c r="AO18" s="140"/>
      <c r="AP18" s="62"/>
      <c r="AQ18" s="62"/>
      <c r="AR18" s="144">
        <v>8.0</v>
      </c>
      <c r="AS18" s="143"/>
      <c r="AT18" s="143"/>
      <c r="AU18" s="143"/>
      <c r="AV18" s="143"/>
      <c r="AW18" s="143"/>
      <c r="AX18" s="141"/>
      <c r="AY18" s="141"/>
      <c r="AZ18" s="62">
        <f t="shared" si="14"/>
        <v>5.6</v>
      </c>
      <c r="BA18" s="121">
        <v>10.0</v>
      </c>
      <c r="BB18" s="123">
        <f>'PROY. INTER'!AX18</f>
        <v>2</v>
      </c>
      <c r="BC18" s="62">
        <f t="shared" si="15"/>
        <v>6</v>
      </c>
      <c r="BD18" s="62">
        <f t="shared" si="16"/>
        <v>1.8</v>
      </c>
      <c r="BE18" s="64">
        <f t="shared" si="17"/>
        <v>7.4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9.73</v>
      </c>
      <c r="CQ18" s="129">
        <f t="shared" si="25"/>
        <v>7.4</v>
      </c>
      <c r="CR18" s="129">
        <f t="shared" si="26"/>
        <v>0</v>
      </c>
      <c r="CS18" s="130">
        <f t="shared" si="27"/>
        <v>5.71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5.71</v>
      </c>
      <c r="DB18" s="136"/>
      <c r="DC18" s="137">
        <f t="shared" si="31"/>
        <v>5.71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8.0</v>
      </c>
      <c r="E19" s="139">
        <v>8.0</v>
      </c>
      <c r="F19" s="139">
        <v>8.0</v>
      </c>
      <c r="G19" s="140"/>
      <c r="H19" s="139">
        <v>10.0</v>
      </c>
      <c r="I19" s="139">
        <v>10.0</v>
      </c>
      <c r="J19" s="140"/>
      <c r="K19" s="140"/>
      <c r="L19" s="62"/>
      <c r="M19" s="62"/>
      <c r="N19" s="143"/>
      <c r="O19" s="143"/>
      <c r="P19" s="144">
        <v>7.0</v>
      </c>
      <c r="Q19" s="143"/>
      <c r="R19" s="143"/>
      <c r="S19" s="143"/>
      <c r="T19" s="141"/>
      <c r="U19" s="141"/>
      <c r="V19" s="62">
        <f t="shared" si="9"/>
        <v>5.95</v>
      </c>
      <c r="W19" s="121">
        <v>8.0</v>
      </c>
      <c r="X19" s="123">
        <f>'PROY. INTER'!W19</f>
        <v>6</v>
      </c>
      <c r="Y19" s="62">
        <f t="shared" si="10"/>
        <v>7</v>
      </c>
      <c r="Z19" s="62">
        <f t="shared" si="11"/>
        <v>2.1</v>
      </c>
      <c r="AA19" s="64">
        <f t="shared" si="12"/>
        <v>8.05</v>
      </c>
      <c r="AC19" s="2"/>
      <c r="AE19" s="56">
        <v>8.0</v>
      </c>
      <c r="AF19" s="124" t="str">
        <f t="shared" ref="AF19:AG19" si="53">B19</f>
        <v/>
      </c>
      <c r="AG19" s="125" t="str">
        <f t="shared" si="53"/>
        <v>Castro De La Rosa Cristopher Ruben</v>
      </c>
      <c r="AH19" s="139">
        <v>8.0</v>
      </c>
      <c r="AI19" s="139">
        <v>8.0</v>
      </c>
      <c r="AJ19" s="139">
        <v>8.0</v>
      </c>
      <c r="AK19" s="140"/>
      <c r="AL19" s="139">
        <v>8.0</v>
      </c>
      <c r="AM19" s="139">
        <v>9.0</v>
      </c>
      <c r="AN19" s="140"/>
      <c r="AO19" s="140"/>
      <c r="AP19" s="62"/>
      <c r="AQ19" s="62"/>
      <c r="AR19" s="144">
        <v>8.0</v>
      </c>
      <c r="AS19" s="143"/>
      <c r="AT19" s="143"/>
      <c r="AU19" s="143"/>
      <c r="AV19" s="143"/>
      <c r="AW19" s="143"/>
      <c r="AX19" s="141"/>
      <c r="AY19" s="141"/>
      <c r="AZ19" s="62">
        <f t="shared" si="14"/>
        <v>5.712</v>
      </c>
      <c r="BA19" s="121">
        <v>9.0</v>
      </c>
      <c r="BB19" s="123">
        <f>'PROY. INTER'!AX19</f>
        <v>2</v>
      </c>
      <c r="BC19" s="62">
        <f t="shared" si="15"/>
        <v>5.5</v>
      </c>
      <c r="BD19" s="62">
        <f t="shared" si="16"/>
        <v>1.65</v>
      </c>
      <c r="BE19" s="64">
        <f t="shared" si="17"/>
        <v>7.36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8.05</v>
      </c>
      <c r="CQ19" s="129">
        <f t="shared" si="25"/>
        <v>7.36</v>
      </c>
      <c r="CR19" s="129">
        <f t="shared" si="26"/>
        <v>0</v>
      </c>
      <c r="CS19" s="130">
        <f t="shared" si="27"/>
        <v>5.13</v>
      </c>
      <c r="CT19" s="131" t="str">
        <f t="shared" si="28"/>
        <v>SUPLETORIO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5.13</v>
      </c>
      <c r="DB19" s="136"/>
      <c r="DC19" s="137">
        <f t="shared" si="31"/>
        <v>5.13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6.0</v>
      </c>
      <c r="E20" s="139">
        <v>7.0</v>
      </c>
      <c r="F20" s="139">
        <v>7.0</v>
      </c>
      <c r="G20" s="140"/>
      <c r="H20" s="139">
        <v>7.0</v>
      </c>
      <c r="I20" s="139">
        <v>7.0</v>
      </c>
      <c r="J20" s="140"/>
      <c r="K20" s="140"/>
      <c r="L20" s="62"/>
      <c r="M20" s="62"/>
      <c r="N20" s="143"/>
      <c r="O20" s="143"/>
      <c r="P20" s="144">
        <v>7.0</v>
      </c>
      <c r="Q20" s="143"/>
      <c r="R20" s="143"/>
      <c r="S20" s="143"/>
      <c r="T20" s="141"/>
      <c r="U20" s="141"/>
      <c r="V20" s="62">
        <f t="shared" si="9"/>
        <v>4.781</v>
      </c>
      <c r="W20" s="121">
        <v>8.0</v>
      </c>
      <c r="X20" s="123">
        <f>'PROY. INTER'!W20</f>
        <v>6</v>
      </c>
      <c r="Y20" s="62">
        <f t="shared" si="10"/>
        <v>7</v>
      </c>
      <c r="Z20" s="62">
        <f t="shared" si="11"/>
        <v>2.1</v>
      </c>
      <c r="AA20" s="64">
        <f t="shared" si="12"/>
        <v>6.88</v>
      </c>
      <c r="AC20" s="2"/>
      <c r="AE20" s="56">
        <v>9.0</v>
      </c>
      <c r="AF20" s="124" t="str">
        <f t="shared" ref="AF20:AG20" si="57">B20</f>
        <v/>
      </c>
      <c r="AG20" s="125" t="str">
        <f t="shared" si="57"/>
        <v>Chamba Maurad Joshelyn Juleixi</v>
      </c>
      <c r="AH20" s="139">
        <v>10.0</v>
      </c>
      <c r="AI20" s="139">
        <v>8.0</v>
      </c>
      <c r="AJ20" s="139">
        <v>8.0</v>
      </c>
      <c r="AK20" s="140"/>
      <c r="AL20" s="139">
        <v>8.0</v>
      </c>
      <c r="AM20" s="139">
        <v>8.0</v>
      </c>
      <c r="AN20" s="140"/>
      <c r="AO20" s="140"/>
      <c r="AP20" s="62"/>
      <c r="AQ20" s="62"/>
      <c r="AR20" s="144">
        <v>8.0</v>
      </c>
      <c r="AS20" s="143"/>
      <c r="AT20" s="143"/>
      <c r="AU20" s="143"/>
      <c r="AV20" s="143"/>
      <c r="AW20" s="143"/>
      <c r="AX20" s="141"/>
      <c r="AY20" s="141"/>
      <c r="AZ20" s="62">
        <f t="shared" si="14"/>
        <v>5.831</v>
      </c>
      <c r="BA20" s="121">
        <v>9.0</v>
      </c>
      <c r="BB20" s="123">
        <f>'PROY. INTER'!AX20</f>
        <v>10</v>
      </c>
      <c r="BC20" s="62">
        <f t="shared" si="15"/>
        <v>9.5</v>
      </c>
      <c r="BD20" s="62">
        <f t="shared" si="16"/>
        <v>2.85</v>
      </c>
      <c r="BE20" s="64">
        <f t="shared" si="17"/>
        <v>8.68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6.88</v>
      </c>
      <c r="CQ20" s="129">
        <f t="shared" si="25"/>
        <v>8.68</v>
      </c>
      <c r="CR20" s="129">
        <f t="shared" si="26"/>
        <v>0</v>
      </c>
      <c r="CS20" s="130">
        <f t="shared" si="27"/>
        <v>5.18</v>
      </c>
      <c r="CT20" s="131" t="str">
        <f t="shared" si="28"/>
        <v>SUPLETORIO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5.18</v>
      </c>
      <c r="DB20" s="136"/>
      <c r="DC20" s="137">
        <f t="shared" si="31"/>
        <v>5.18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7.0</v>
      </c>
      <c r="E21" s="139">
        <v>7.0</v>
      </c>
      <c r="F21" s="139">
        <v>8.0</v>
      </c>
      <c r="G21" s="140"/>
      <c r="H21" s="139">
        <v>6.0</v>
      </c>
      <c r="I21" s="139">
        <v>6.0</v>
      </c>
      <c r="J21" s="140"/>
      <c r="K21" s="140"/>
      <c r="L21" s="62"/>
      <c r="M21" s="62"/>
      <c r="N21" s="143"/>
      <c r="O21" s="143"/>
      <c r="P21" s="144">
        <v>7.0</v>
      </c>
      <c r="Q21" s="143"/>
      <c r="R21" s="143"/>
      <c r="S21" s="143"/>
      <c r="T21" s="141"/>
      <c r="U21" s="141"/>
      <c r="V21" s="62">
        <f t="shared" si="9"/>
        <v>4.781</v>
      </c>
      <c r="W21" s="121">
        <v>8.0</v>
      </c>
      <c r="X21" s="123">
        <f>'PROY. INTER'!W21</f>
        <v>6</v>
      </c>
      <c r="Y21" s="62">
        <f t="shared" si="10"/>
        <v>7</v>
      </c>
      <c r="Z21" s="62">
        <f t="shared" si="11"/>
        <v>2.1</v>
      </c>
      <c r="AA21" s="64">
        <f t="shared" si="12"/>
        <v>6.88</v>
      </c>
      <c r="AC21" s="2"/>
      <c r="AE21" s="56">
        <v>10.0</v>
      </c>
      <c r="AF21" s="124" t="str">
        <f t="shared" ref="AF21:AG21" si="61">B21</f>
        <v/>
      </c>
      <c r="AG21" s="125" t="str">
        <f t="shared" si="61"/>
        <v>Cedeño Sanchez Josué</v>
      </c>
      <c r="AH21" s="139"/>
      <c r="AI21" s="139"/>
      <c r="AJ21" s="139"/>
      <c r="AK21" s="140"/>
      <c r="AL21" s="139"/>
      <c r="AM21" s="139"/>
      <c r="AN21" s="140"/>
      <c r="AO21" s="140"/>
      <c r="AP21" s="62"/>
      <c r="AQ21" s="62"/>
      <c r="AR21" s="143"/>
      <c r="AS21" s="143"/>
      <c r="AT21" s="143"/>
      <c r="AU21" s="143"/>
      <c r="AV21" s="143"/>
      <c r="AW21" s="143"/>
      <c r="AX21" s="141"/>
      <c r="AY21" s="141"/>
      <c r="AZ21" s="62">
        <f t="shared" si="14"/>
        <v>0</v>
      </c>
      <c r="BA21" s="62"/>
      <c r="BB21" s="123">
        <f>'PROY. INTER'!AX21</f>
        <v>2</v>
      </c>
      <c r="BC21" s="62">
        <f t="shared" si="15"/>
        <v>2</v>
      </c>
      <c r="BD21" s="62">
        <f t="shared" si="16"/>
        <v>0.6</v>
      </c>
      <c r="BE21" s="64">
        <f t="shared" si="17"/>
        <v>0.6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6.88</v>
      </c>
      <c r="CQ21" s="129">
        <f t="shared" si="25"/>
        <v>0.6</v>
      </c>
      <c r="CR21" s="129">
        <f t="shared" si="26"/>
        <v>0</v>
      </c>
      <c r="CS21" s="130">
        <f t="shared" si="27"/>
        <v>2.49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2.49</v>
      </c>
      <c r="DB21" s="136"/>
      <c r="DC21" s="137">
        <f t="shared" si="31"/>
        <v>2.49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39">
        <v>10.0</v>
      </c>
      <c r="F22" s="139">
        <v>10.0</v>
      </c>
      <c r="G22" s="140"/>
      <c r="H22" s="139">
        <v>10.0</v>
      </c>
      <c r="I22" s="139">
        <v>10.0</v>
      </c>
      <c r="J22" s="140"/>
      <c r="K22" s="140"/>
      <c r="L22" s="62"/>
      <c r="M22" s="62"/>
      <c r="N22" s="143"/>
      <c r="O22" s="143"/>
      <c r="P22" s="144">
        <v>10.0</v>
      </c>
      <c r="Q22" s="143"/>
      <c r="R22" s="143"/>
      <c r="S22" s="143"/>
      <c r="T22" s="141"/>
      <c r="U22" s="141"/>
      <c r="V22" s="62">
        <f t="shared" si="9"/>
        <v>7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10</v>
      </c>
      <c r="AC22" s="2"/>
      <c r="AE22" s="56">
        <v>11.0</v>
      </c>
      <c r="AF22" s="124" t="str">
        <f t="shared" ref="AF22:AG22" si="65">B22</f>
        <v/>
      </c>
      <c r="AG22" s="125" t="str">
        <f t="shared" si="65"/>
        <v>Espinoza Martinez Stefano Juliano</v>
      </c>
      <c r="AH22" s="139">
        <v>10.0</v>
      </c>
      <c r="AI22" s="139">
        <v>10.0</v>
      </c>
      <c r="AJ22" s="139">
        <v>10.0</v>
      </c>
      <c r="AK22" s="140"/>
      <c r="AL22" s="139">
        <v>10.0</v>
      </c>
      <c r="AM22" s="139">
        <v>10.0</v>
      </c>
      <c r="AN22" s="140"/>
      <c r="AO22" s="140"/>
      <c r="AP22" s="62"/>
      <c r="AQ22" s="62"/>
      <c r="AR22" s="144">
        <v>10.0</v>
      </c>
      <c r="AS22" s="143"/>
      <c r="AT22" s="143"/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10</v>
      </c>
      <c r="CQ22" s="129">
        <f t="shared" si="25"/>
        <v>10</v>
      </c>
      <c r="CR22" s="129">
        <f t="shared" si="26"/>
        <v>0</v>
      </c>
      <c r="CS22" s="130">
        <f t="shared" si="27"/>
        <v>6.66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6.66</v>
      </c>
      <c r="DB22" s="136"/>
      <c r="DC22" s="137">
        <f t="shared" si="31"/>
        <v>6.66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8.0</v>
      </c>
      <c r="E23" s="139">
        <v>10.0</v>
      </c>
      <c r="F23" s="139">
        <v>10.0</v>
      </c>
      <c r="G23" s="140"/>
      <c r="H23" s="139">
        <v>10.0</v>
      </c>
      <c r="I23" s="139">
        <v>10.0</v>
      </c>
      <c r="J23" s="140"/>
      <c r="K23" s="140"/>
      <c r="L23" s="62"/>
      <c r="M23" s="62"/>
      <c r="N23" s="143"/>
      <c r="O23" s="143"/>
      <c r="P23" s="144">
        <v>10.0</v>
      </c>
      <c r="Q23" s="143"/>
      <c r="R23" s="143"/>
      <c r="S23" s="143"/>
      <c r="T23" s="141"/>
      <c r="U23" s="141"/>
      <c r="V23" s="62">
        <f t="shared" si="9"/>
        <v>6.762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9.34</v>
      </c>
      <c r="AC23" s="2"/>
      <c r="AE23" s="56">
        <v>12.0</v>
      </c>
      <c r="AF23" s="124" t="str">
        <f t="shared" ref="AF23:AG23" si="69">B23</f>
        <v/>
      </c>
      <c r="AG23" s="125" t="str">
        <f t="shared" si="69"/>
        <v>Espinoza Morante Melany Ginger</v>
      </c>
      <c r="AH23" s="139">
        <v>10.0</v>
      </c>
      <c r="AI23" s="139">
        <v>10.0</v>
      </c>
      <c r="AJ23" s="139">
        <v>8.0</v>
      </c>
      <c r="AK23" s="140"/>
      <c r="AL23" s="139">
        <v>10.0</v>
      </c>
      <c r="AM23" s="139">
        <v>10.0</v>
      </c>
      <c r="AN23" s="140"/>
      <c r="AO23" s="140"/>
      <c r="AP23" s="62"/>
      <c r="AQ23" s="62"/>
      <c r="AR23" s="144">
        <v>8.0</v>
      </c>
      <c r="AS23" s="143"/>
      <c r="AT23" s="143"/>
      <c r="AU23" s="143"/>
      <c r="AV23" s="143"/>
      <c r="AW23" s="143"/>
      <c r="AX23" s="141"/>
      <c r="AY23" s="141"/>
      <c r="AZ23" s="62">
        <f t="shared" si="14"/>
        <v>6.531</v>
      </c>
      <c r="BA23" s="121">
        <v>10.0</v>
      </c>
      <c r="BB23" s="123">
        <f>'PROY. INTER'!AX23</f>
        <v>10</v>
      </c>
      <c r="BC23" s="62">
        <f t="shared" si="15"/>
        <v>10</v>
      </c>
      <c r="BD23" s="62">
        <f t="shared" si="16"/>
        <v>3</v>
      </c>
      <c r="BE23" s="64">
        <f t="shared" si="17"/>
        <v>9.53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9.34</v>
      </c>
      <c r="CQ23" s="129">
        <f t="shared" si="25"/>
        <v>9.53</v>
      </c>
      <c r="CR23" s="129">
        <f t="shared" si="26"/>
        <v>0</v>
      </c>
      <c r="CS23" s="130">
        <f t="shared" si="27"/>
        <v>6.29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6.29</v>
      </c>
      <c r="DB23" s="136"/>
      <c r="DC23" s="137">
        <f t="shared" si="31"/>
        <v>6.29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8.0</v>
      </c>
      <c r="E24" s="139">
        <v>8.0</v>
      </c>
      <c r="F24" s="139">
        <v>9.0</v>
      </c>
      <c r="G24" s="140"/>
      <c r="H24" s="139">
        <v>10.0</v>
      </c>
      <c r="I24" s="139">
        <v>8.0</v>
      </c>
      <c r="J24" s="140"/>
      <c r="K24" s="140"/>
      <c r="L24" s="62"/>
      <c r="M24" s="62"/>
      <c r="N24" s="143"/>
      <c r="O24" s="143"/>
      <c r="P24" s="144">
        <v>7.0</v>
      </c>
      <c r="Q24" s="143"/>
      <c r="R24" s="143"/>
      <c r="S24" s="143"/>
      <c r="T24" s="141"/>
      <c r="U24" s="141"/>
      <c r="V24" s="62">
        <f t="shared" si="9"/>
        <v>5.831</v>
      </c>
      <c r="W24" s="121">
        <v>8.0</v>
      </c>
      <c r="X24" s="123">
        <f>'PROY. INTER'!W24</f>
        <v>9</v>
      </c>
      <c r="Y24" s="62">
        <f t="shared" si="10"/>
        <v>8.5</v>
      </c>
      <c r="Z24" s="62">
        <f t="shared" si="11"/>
        <v>2.55</v>
      </c>
      <c r="AA24" s="64">
        <f t="shared" si="12"/>
        <v>8.38</v>
      </c>
      <c r="AC24" s="2"/>
      <c r="AE24" s="56">
        <v>13.0</v>
      </c>
      <c r="AF24" s="124" t="str">
        <f t="shared" ref="AF24:AG24" si="73">B24</f>
        <v/>
      </c>
      <c r="AG24" s="125" t="str">
        <f t="shared" si="73"/>
        <v>Garrido franco Génesis Lissette</v>
      </c>
      <c r="AH24" s="139">
        <v>8.0</v>
      </c>
      <c r="AI24" s="139">
        <v>8.0</v>
      </c>
      <c r="AJ24" s="139">
        <v>8.0</v>
      </c>
      <c r="AK24" s="140"/>
      <c r="AL24" s="139">
        <v>8.0</v>
      </c>
      <c r="AM24" s="139">
        <v>8.0</v>
      </c>
      <c r="AN24" s="140"/>
      <c r="AO24" s="140"/>
      <c r="AP24" s="62"/>
      <c r="AQ24" s="62"/>
      <c r="AR24" s="144">
        <v>8.0</v>
      </c>
      <c r="AS24" s="143"/>
      <c r="AT24" s="143"/>
      <c r="AU24" s="143"/>
      <c r="AV24" s="143"/>
      <c r="AW24" s="143"/>
      <c r="AX24" s="141"/>
      <c r="AY24" s="141"/>
      <c r="AZ24" s="62">
        <f t="shared" si="14"/>
        <v>5.6</v>
      </c>
      <c r="BA24" s="121">
        <v>10.0</v>
      </c>
      <c r="BB24" s="123">
        <f>'PROY. INTER'!AX24</f>
        <v>10</v>
      </c>
      <c r="BC24" s="62">
        <f t="shared" si="15"/>
        <v>10</v>
      </c>
      <c r="BD24" s="62">
        <f t="shared" si="16"/>
        <v>3</v>
      </c>
      <c r="BE24" s="64">
        <f t="shared" si="17"/>
        <v>8.6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8.38</v>
      </c>
      <c r="CQ24" s="129">
        <f t="shared" si="25"/>
        <v>8.6</v>
      </c>
      <c r="CR24" s="129">
        <f t="shared" si="26"/>
        <v>0</v>
      </c>
      <c r="CS24" s="130">
        <f t="shared" si="27"/>
        <v>5.66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5.66</v>
      </c>
      <c r="DB24" s="136"/>
      <c r="DC24" s="137">
        <f t="shared" si="31"/>
        <v>5.66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7.0</v>
      </c>
      <c r="E25" s="139">
        <v>7.0</v>
      </c>
      <c r="F25" s="139">
        <v>10.0</v>
      </c>
      <c r="G25" s="140"/>
      <c r="H25" s="139">
        <v>7.0</v>
      </c>
      <c r="I25" s="139">
        <v>7.0</v>
      </c>
      <c r="J25" s="140"/>
      <c r="K25" s="140"/>
      <c r="L25" s="62"/>
      <c r="M25" s="62"/>
      <c r="N25" s="143"/>
      <c r="O25" s="143"/>
      <c r="P25" s="144">
        <v>7.0</v>
      </c>
      <c r="Q25" s="143"/>
      <c r="R25" s="143"/>
      <c r="S25" s="143"/>
      <c r="T25" s="141"/>
      <c r="U25" s="141"/>
      <c r="V25" s="62">
        <f t="shared" si="9"/>
        <v>5.25</v>
      </c>
      <c r="W25" s="121">
        <v>7.0</v>
      </c>
      <c r="X25" s="123">
        <f>'PROY. INTER'!W25</f>
        <v>6</v>
      </c>
      <c r="Y25" s="62">
        <f t="shared" si="10"/>
        <v>6.5</v>
      </c>
      <c r="Z25" s="62">
        <f t="shared" si="11"/>
        <v>1.95</v>
      </c>
      <c r="AA25" s="64">
        <f t="shared" si="12"/>
        <v>7.2</v>
      </c>
      <c r="AC25" s="2"/>
      <c r="AE25" s="56">
        <v>14.0</v>
      </c>
      <c r="AF25" s="124" t="str">
        <f t="shared" ref="AF25:AG25" si="77">B25</f>
        <v/>
      </c>
      <c r="AG25" s="125" t="str">
        <f t="shared" si="77"/>
        <v>Gonzalez Gonzalez Jean Carlos</v>
      </c>
      <c r="AH25" s="139">
        <v>8.0</v>
      </c>
      <c r="AI25" s="139">
        <v>8.0</v>
      </c>
      <c r="AJ25" s="139">
        <v>7.0</v>
      </c>
      <c r="AK25" s="140"/>
      <c r="AL25" s="139">
        <v>8.0</v>
      </c>
      <c r="AM25" s="139">
        <v>10.0</v>
      </c>
      <c r="AN25" s="140"/>
      <c r="AO25" s="140"/>
      <c r="AP25" s="62"/>
      <c r="AQ25" s="62"/>
      <c r="AR25" s="144">
        <v>8.0</v>
      </c>
      <c r="AS25" s="143"/>
      <c r="AT25" s="143"/>
      <c r="AU25" s="143"/>
      <c r="AV25" s="143"/>
      <c r="AW25" s="143"/>
      <c r="AX25" s="141"/>
      <c r="AY25" s="141"/>
      <c r="AZ25" s="62">
        <f t="shared" si="14"/>
        <v>5.712</v>
      </c>
      <c r="BA25" s="121">
        <v>9.0</v>
      </c>
      <c r="BB25" s="123">
        <f>'PROY. INTER'!AX25</f>
        <v>10</v>
      </c>
      <c r="BC25" s="62">
        <f t="shared" si="15"/>
        <v>9.5</v>
      </c>
      <c r="BD25" s="62">
        <f t="shared" si="16"/>
        <v>2.85</v>
      </c>
      <c r="BE25" s="64">
        <f t="shared" si="17"/>
        <v>8.56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7.2</v>
      </c>
      <c r="CQ25" s="129">
        <f t="shared" si="25"/>
        <v>8.56</v>
      </c>
      <c r="CR25" s="129">
        <f t="shared" si="26"/>
        <v>0</v>
      </c>
      <c r="CS25" s="130">
        <f t="shared" si="27"/>
        <v>5.25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5.25</v>
      </c>
      <c r="DB25" s="136"/>
      <c r="DC25" s="137">
        <f t="shared" si="31"/>
        <v>5.25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7.0</v>
      </c>
      <c r="E26" s="139">
        <v>8.0</v>
      </c>
      <c r="F26" s="139">
        <v>10.0</v>
      </c>
      <c r="G26" s="140"/>
      <c r="H26" s="139">
        <v>7.0</v>
      </c>
      <c r="I26" s="139">
        <v>7.0</v>
      </c>
      <c r="J26" s="140"/>
      <c r="K26" s="140"/>
      <c r="L26" s="62"/>
      <c r="M26" s="62"/>
      <c r="N26" s="143"/>
      <c r="O26" s="143"/>
      <c r="P26" s="144">
        <v>8.0</v>
      </c>
      <c r="Q26" s="143"/>
      <c r="R26" s="143"/>
      <c r="S26" s="143"/>
      <c r="T26" s="141"/>
      <c r="U26" s="141"/>
      <c r="V26" s="62">
        <f t="shared" si="9"/>
        <v>5.481</v>
      </c>
      <c r="W26" s="121">
        <v>9.0</v>
      </c>
      <c r="X26" s="123">
        <f>'PROY. INTER'!W26</f>
        <v>7.73</v>
      </c>
      <c r="Y26" s="62">
        <f t="shared" si="10"/>
        <v>8.365</v>
      </c>
      <c r="Z26" s="62">
        <f t="shared" si="11"/>
        <v>2.5095</v>
      </c>
      <c r="AA26" s="64">
        <f t="shared" si="12"/>
        <v>7.99</v>
      </c>
      <c r="AC26" s="2"/>
      <c r="AE26" s="56">
        <v>15.0</v>
      </c>
      <c r="AF26" s="124" t="str">
        <f t="shared" ref="AF26:AG26" si="81">B26</f>
        <v/>
      </c>
      <c r="AG26" s="125" t="str">
        <f t="shared" si="81"/>
        <v>Guevara Benites Jean Pierre</v>
      </c>
      <c r="AH26" s="139">
        <v>10.0</v>
      </c>
      <c r="AI26" s="139">
        <v>8.0</v>
      </c>
      <c r="AJ26" s="139">
        <v>10.0</v>
      </c>
      <c r="AK26" s="140"/>
      <c r="AL26" s="139">
        <v>10.0</v>
      </c>
      <c r="AM26" s="139">
        <v>8.0</v>
      </c>
      <c r="AN26" s="140"/>
      <c r="AO26" s="140"/>
      <c r="AP26" s="62"/>
      <c r="AQ26" s="62"/>
      <c r="AR26" s="144">
        <v>8.0</v>
      </c>
      <c r="AS26" s="143"/>
      <c r="AT26" s="143"/>
      <c r="AU26" s="143"/>
      <c r="AV26" s="143"/>
      <c r="AW26" s="143"/>
      <c r="AX26" s="141"/>
      <c r="AY26" s="141"/>
      <c r="AZ26" s="62">
        <f t="shared" si="14"/>
        <v>6.3</v>
      </c>
      <c r="BA26" s="121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9.15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7.99</v>
      </c>
      <c r="CQ26" s="129">
        <f t="shared" si="25"/>
        <v>9.15</v>
      </c>
      <c r="CR26" s="129">
        <f t="shared" si="26"/>
        <v>0</v>
      </c>
      <c r="CS26" s="130">
        <f t="shared" si="27"/>
        <v>5.71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5.71</v>
      </c>
      <c r="DB26" s="136"/>
      <c r="DC26" s="137">
        <f t="shared" si="31"/>
        <v>5.71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8.0</v>
      </c>
      <c r="E27" s="139">
        <v>8.0</v>
      </c>
      <c r="F27" s="139">
        <v>10.0</v>
      </c>
      <c r="G27" s="140"/>
      <c r="H27" s="139">
        <v>7.0</v>
      </c>
      <c r="I27" s="139">
        <v>7.0</v>
      </c>
      <c r="J27" s="140"/>
      <c r="K27" s="140"/>
      <c r="L27" s="62"/>
      <c r="M27" s="62"/>
      <c r="N27" s="143"/>
      <c r="O27" s="143"/>
      <c r="P27" s="144">
        <v>7.0</v>
      </c>
      <c r="Q27" s="143"/>
      <c r="R27" s="143"/>
      <c r="S27" s="143"/>
      <c r="T27" s="141"/>
      <c r="U27" s="141"/>
      <c r="V27" s="62">
        <f t="shared" si="9"/>
        <v>5.481</v>
      </c>
      <c r="W27" s="121">
        <v>8.0</v>
      </c>
      <c r="X27" s="123">
        <f>'PROY. INTER'!W27</f>
        <v>6</v>
      </c>
      <c r="Y27" s="62">
        <f t="shared" si="10"/>
        <v>7</v>
      </c>
      <c r="Z27" s="62">
        <f t="shared" si="11"/>
        <v>2.1</v>
      </c>
      <c r="AA27" s="64">
        <f t="shared" si="12"/>
        <v>7.58</v>
      </c>
      <c r="AC27" s="2"/>
      <c r="AE27" s="56">
        <v>16.0</v>
      </c>
      <c r="AF27" s="124" t="str">
        <f t="shared" ref="AF27:AG27" si="85">B27</f>
        <v/>
      </c>
      <c r="AG27" s="125" t="str">
        <f t="shared" si="85"/>
        <v>Mero Carcamo Adriana Carolina</v>
      </c>
      <c r="AH27" s="139">
        <v>8.0</v>
      </c>
      <c r="AI27" s="139">
        <v>10.0</v>
      </c>
      <c r="AJ27" s="139">
        <v>7.0</v>
      </c>
      <c r="AK27" s="140"/>
      <c r="AL27" s="139">
        <v>8.0</v>
      </c>
      <c r="AM27" s="139">
        <v>10.0</v>
      </c>
      <c r="AN27" s="140"/>
      <c r="AO27" s="140"/>
      <c r="AP27" s="62"/>
      <c r="AQ27" s="62"/>
      <c r="AR27" s="144">
        <v>7.0</v>
      </c>
      <c r="AS27" s="143"/>
      <c r="AT27" s="143"/>
      <c r="AU27" s="143"/>
      <c r="AV27" s="143"/>
      <c r="AW27" s="143"/>
      <c r="AX27" s="141"/>
      <c r="AY27" s="141"/>
      <c r="AZ27" s="62">
        <f t="shared" si="14"/>
        <v>5.831</v>
      </c>
      <c r="BA27" s="121">
        <v>8.0</v>
      </c>
      <c r="BB27" s="123">
        <f>'PROY. INTER'!AX27</f>
        <v>2</v>
      </c>
      <c r="BC27" s="62">
        <f t="shared" si="15"/>
        <v>5</v>
      </c>
      <c r="BD27" s="62">
        <f t="shared" si="16"/>
        <v>1.5</v>
      </c>
      <c r="BE27" s="64">
        <f t="shared" si="17"/>
        <v>7.33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7.58</v>
      </c>
      <c r="CQ27" s="129">
        <f t="shared" si="25"/>
        <v>7.33</v>
      </c>
      <c r="CR27" s="129">
        <f t="shared" si="26"/>
        <v>0</v>
      </c>
      <c r="CS27" s="130">
        <f t="shared" si="27"/>
        <v>4.97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4.97</v>
      </c>
      <c r="DB27" s="136"/>
      <c r="DC27" s="137">
        <f t="shared" si="31"/>
        <v>4.97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9.0</v>
      </c>
      <c r="E28" s="139">
        <v>9.0</v>
      </c>
      <c r="F28" s="139">
        <v>10.0</v>
      </c>
      <c r="G28" s="140"/>
      <c r="H28" s="139">
        <v>8.0</v>
      </c>
      <c r="I28" s="139">
        <v>10.0</v>
      </c>
      <c r="J28" s="140"/>
      <c r="K28" s="140"/>
      <c r="L28" s="62"/>
      <c r="M28" s="62"/>
      <c r="N28" s="143"/>
      <c r="O28" s="143"/>
      <c r="P28" s="144">
        <v>8.0</v>
      </c>
      <c r="Q28" s="143"/>
      <c r="R28" s="143"/>
      <c r="S28" s="143"/>
      <c r="T28" s="141"/>
      <c r="U28" s="141"/>
      <c r="V28" s="62">
        <f t="shared" si="9"/>
        <v>6.3</v>
      </c>
      <c r="W28" s="121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9.25</v>
      </c>
      <c r="AC28" s="2"/>
      <c r="AE28" s="56">
        <v>17.0</v>
      </c>
      <c r="AF28" s="124" t="str">
        <f t="shared" ref="AF28:AG28" si="89">B28</f>
        <v/>
      </c>
      <c r="AG28" s="125" t="str">
        <f t="shared" si="89"/>
        <v>Moreira Villamar Darwin Matias</v>
      </c>
      <c r="AH28" s="139">
        <v>10.0</v>
      </c>
      <c r="AI28" s="139">
        <v>10.0</v>
      </c>
      <c r="AJ28" s="139">
        <v>10.0</v>
      </c>
      <c r="AK28" s="140"/>
      <c r="AL28" s="139">
        <v>10.0</v>
      </c>
      <c r="AM28" s="139">
        <v>10.0</v>
      </c>
      <c r="AN28" s="140"/>
      <c r="AO28" s="140"/>
      <c r="AP28" s="62"/>
      <c r="AQ28" s="62"/>
      <c r="AR28" s="144">
        <v>10.0</v>
      </c>
      <c r="AS28" s="143"/>
      <c r="AT28" s="143"/>
      <c r="AU28" s="143"/>
      <c r="AV28" s="143"/>
      <c r="AW28" s="143"/>
      <c r="AX28" s="141"/>
      <c r="AY28" s="141"/>
      <c r="AZ28" s="62">
        <f t="shared" si="14"/>
        <v>7</v>
      </c>
      <c r="BA28" s="121">
        <v>9.0</v>
      </c>
      <c r="BB28" s="123">
        <f>'PROY. INTER'!AX28</f>
        <v>10</v>
      </c>
      <c r="BC28" s="62">
        <f t="shared" si="15"/>
        <v>9.5</v>
      </c>
      <c r="BD28" s="62">
        <f t="shared" si="16"/>
        <v>2.85</v>
      </c>
      <c r="BE28" s="64">
        <f t="shared" si="17"/>
        <v>9.85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9.25</v>
      </c>
      <c r="CQ28" s="129">
        <f t="shared" si="25"/>
        <v>9.85</v>
      </c>
      <c r="CR28" s="129">
        <f t="shared" si="26"/>
        <v>0</v>
      </c>
      <c r="CS28" s="130">
        <f t="shared" si="27"/>
        <v>6.36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6.36</v>
      </c>
      <c r="DB28" s="136"/>
      <c r="DC28" s="137">
        <f t="shared" si="31"/>
        <v>6.36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39">
        <v>10.0</v>
      </c>
      <c r="F29" s="139">
        <v>10.0</v>
      </c>
      <c r="G29" s="140"/>
      <c r="H29" s="139">
        <v>8.0</v>
      </c>
      <c r="I29" s="139">
        <v>8.0</v>
      </c>
      <c r="J29" s="140"/>
      <c r="K29" s="140"/>
      <c r="L29" s="62"/>
      <c r="M29" s="62"/>
      <c r="N29" s="143"/>
      <c r="O29" s="143"/>
      <c r="P29" s="144">
        <v>9.0</v>
      </c>
      <c r="Q29" s="143"/>
      <c r="R29" s="143"/>
      <c r="S29" s="143"/>
      <c r="T29" s="141"/>
      <c r="U29" s="141"/>
      <c r="V29" s="62">
        <f t="shared" si="9"/>
        <v>6.412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9.29</v>
      </c>
      <c r="AC29" s="2"/>
      <c r="AE29" s="56">
        <v>18.0</v>
      </c>
      <c r="AF29" s="124" t="str">
        <f t="shared" ref="AF29:AG29" si="93">B29</f>
        <v/>
      </c>
      <c r="AG29" s="125" t="str">
        <f t="shared" si="93"/>
        <v>Peña Macias Enrique Alexander</v>
      </c>
      <c r="AH29" s="139">
        <v>10.0</v>
      </c>
      <c r="AI29" s="139">
        <v>10.0</v>
      </c>
      <c r="AJ29" s="139">
        <v>10.0</v>
      </c>
      <c r="AK29" s="140"/>
      <c r="AL29" s="139">
        <v>10.0</v>
      </c>
      <c r="AM29" s="139">
        <v>10.0</v>
      </c>
      <c r="AN29" s="140"/>
      <c r="AO29" s="140"/>
      <c r="AP29" s="62"/>
      <c r="AQ29" s="62"/>
      <c r="AR29" s="144">
        <v>10.0</v>
      </c>
      <c r="AS29" s="143"/>
      <c r="AT29" s="143"/>
      <c r="AU29" s="143"/>
      <c r="AV29" s="143"/>
      <c r="AW29" s="143"/>
      <c r="AX29" s="141"/>
      <c r="AY29" s="141"/>
      <c r="AZ29" s="62">
        <f t="shared" si="14"/>
        <v>7</v>
      </c>
      <c r="BA29" s="121">
        <v>10.0</v>
      </c>
      <c r="BB29" s="123">
        <f>'PROY. INTER'!AX29</f>
        <v>10</v>
      </c>
      <c r="BC29" s="62">
        <f t="shared" si="15"/>
        <v>10</v>
      </c>
      <c r="BD29" s="62">
        <f t="shared" si="16"/>
        <v>3</v>
      </c>
      <c r="BE29" s="64">
        <f t="shared" si="17"/>
        <v>10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9.29</v>
      </c>
      <c r="CQ29" s="129">
        <f t="shared" si="25"/>
        <v>10</v>
      </c>
      <c r="CR29" s="129">
        <f t="shared" si="26"/>
        <v>0</v>
      </c>
      <c r="CS29" s="130">
        <f t="shared" si="27"/>
        <v>6.43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6.43</v>
      </c>
      <c r="DB29" s="136"/>
      <c r="DC29" s="137">
        <f t="shared" si="31"/>
        <v>6.43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9.0</v>
      </c>
      <c r="E30" s="139">
        <v>8.0</v>
      </c>
      <c r="F30" s="139">
        <v>9.0</v>
      </c>
      <c r="G30" s="140"/>
      <c r="H30" s="139">
        <v>8.0</v>
      </c>
      <c r="I30" s="139">
        <v>8.0</v>
      </c>
      <c r="J30" s="140"/>
      <c r="K30" s="140"/>
      <c r="L30" s="62"/>
      <c r="M30" s="62"/>
      <c r="N30" s="143"/>
      <c r="O30" s="143"/>
      <c r="P30" s="144">
        <v>8.0</v>
      </c>
      <c r="Q30" s="143"/>
      <c r="R30" s="143"/>
      <c r="S30" s="143"/>
      <c r="T30" s="141"/>
      <c r="U30" s="141"/>
      <c r="V30" s="62">
        <f t="shared" si="9"/>
        <v>5.831</v>
      </c>
      <c r="W30" s="121">
        <v>10.0</v>
      </c>
      <c r="X30" s="123">
        <f>'PROY. INTER'!W30</f>
        <v>9.47</v>
      </c>
      <c r="Y30" s="62">
        <f t="shared" si="10"/>
        <v>9.735</v>
      </c>
      <c r="Z30" s="62">
        <f t="shared" si="11"/>
        <v>2.9205</v>
      </c>
      <c r="AA30" s="64">
        <f t="shared" si="12"/>
        <v>8.75</v>
      </c>
      <c r="AC30" s="2"/>
      <c r="AE30" s="56">
        <v>19.0</v>
      </c>
      <c r="AF30" s="124" t="str">
        <f t="shared" ref="AF30:AG30" si="97">B30</f>
        <v/>
      </c>
      <c r="AG30" s="125" t="str">
        <f t="shared" si="97"/>
        <v>Roman Arreaga Stefani Asley</v>
      </c>
      <c r="AH30" s="139">
        <v>10.0</v>
      </c>
      <c r="AI30" s="139">
        <v>10.0</v>
      </c>
      <c r="AJ30" s="139">
        <v>10.0</v>
      </c>
      <c r="AK30" s="140"/>
      <c r="AL30" s="139">
        <v>10.0</v>
      </c>
      <c r="AM30" s="139">
        <v>10.0</v>
      </c>
      <c r="AN30" s="140"/>
      <c r="AO30" s="140"/>
      <c r="AP30" s="62"/>
      <c r="AQ30" s="62"/>
      <c r="AR30" s="144">
        <v>10.0</v>
      </c>
      <c r="AS30" s="143"/>
      <c r="AT30" s="143"/>
      <c r="AU30" s="143"/>
      <c r="AV30" s="143"/>
      <c r="AW30" s="143"/>
      <c r="AX30" s="141"/>
      <c r="AY30" s="141"/>
      <c r="AZ30" s="62">
        <f t="shared" si="14"/>
        <v>7</v>
      </c>
      <c r="BA30" s="121">
        <v>10.0</v>
      </c>
      <c r="BB30" s="123">
        <f>'PROY. INTER'!AX30</f>
        <v>10</v>
      </c>
      <c r="BC30" s="62">
        <f t="shared" si="15"/>
        <v>10</v>
      </c>
      <c r="BD30" s="62">
        <f t="shared" si="16"/>
        <v>3</v>
      </c>
      <c r="BE30" s="64">
        <f t="shared" si="17"/>
        <v>10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8.75</v>
      </c>
      <c r="CQ30" s="129">
        <f t="shared" si="25"/>
        <v>10</v>
      </c>
      <c r="CR30" s="129">
        <f t="shared" si="26"/>
        <v>0</v>
      </c>
      <c r="CS30" s="130">
        <f t="shared" si="27"/>
        <v>6.25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6.25</v>
      </c>
      <c r="DB30" s="136"/>
      <c r="DC30" s="137">
        <f t="shared" si="31"/>
        <v>6.25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8.0</v>
      </c>
      <c r="E31" s="139">
        <v>10.0</v>
      </c>
      <c r="F31" s="139">
        <v>10.0</v>
      </c>
      <c r="G31" s="140"/>
      <c r="H31" s="139">
        <v>10.0</v>
      </c>
      <c r="I31" s="139">
        <v>10.0</v>
      </c>
      <c r="J31" s="140"/>
      <c r="K31" s="140"/>
      <c r="L31" s="62"/>
      <c r="M31" s="62"/>
      <c r="N31" s="143"/>
      <c r="O31" s="143"/>
      <c r="P31" s="144">
        <v>10.0</v>
      </c>
      <c r="Q31" s="143"/>
      <c r="R31" s="143"/>
      <c r="S31" s="143"/>
      <c r="T31" s="141"/>
      <c r="U31" s="141"/>
      <c r="V31" s="62">
        <f t="shared" si="9"/>
        <v>6.762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9.76</v>
      </c>
      <c r="AC31" s="2"/>
      <c r="AE31" s="56">
        <v>20.0</v>
      </c>
      <c r="AF31" s="124" t="str">
        <f t="shared" ref="AF31:AG31" si="101">B31</f>
        <v/>
      </c>
      <c r="AG31" s="125" t="str">
        <f t="shared" si="101"/>
        <v>Sánchez Ponce Sandra Stefania</v>
      </c>
      <c r="AH31" s="139">
        <v>10.0</v>
      </c>
      <c r="AI31" s="139">
        <v>10.0</v>
      </c>
      <c r="AJ31" s="139">
        <v>10.0</v>
      </c>
      <c r="AK31" s="140"/>
      <c r="AL31" s="139">
        <v>10.0</v>
      </c>
      <c r="AM31" s="139">
        <v>10.0</v>
      </c>
      <c r="AN31" s="140"/>
      <c r="AO31" s="140"/>
      <c r="AP31" s="62"/>
      <c r="AQ31" s="62"/>
      <c r="AR31" s="144">
        <v>10.0</v>
      </c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9.76</v>
      </c>
      <c r="CQ31" s="129">
        <f t="shared" si="25"/>
        <v>10</v>
      </c>
      <c r="CR31" s="129">
        <f t="shared" si="26"/>
        <v>0</v>
      </c>
      <c r="CS31" s="130">
        <f t="shared" si="27"/>
        <v>6.58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6.58</v>
      </c>
      <c r="DB31" s="136"/>
      <c r="DC31" s="137">
        <f t="shared" si="31"/>
        <v>6.58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6.0</v>
      </c>
      <c r="E32" s="139">
        <v>7.0</v>
      </c>
      <c r="F32" s="139">
        <v>9.0</v>
      </c>
      <c r="G32" s="140"/>
      <c r="H32" s="139">
        <v>6.0</v>
      </c>
      <c r="I32" s="139">
        <v>6.0</v>
      </c>
      <c r="J32" s="140"/>
      <c r="K32" s="140"/>
      <c r="L32" s="62"/>
      <c r="M32" s="62"/>
      <c r="N32" s="143"/>
      <c r="O32" s="143"/>
      <c r="P32" s="144">
        <v>7.0</v>
      </c>
      <c r="Q32" s="143"/>
      <c r="R32" s="143"/>
      <c r="S32" s="143"/>
      <c r="T32" s="141"/>
      <c r="U32" s="141"/>
      <c r="V32" s="62">
        <f t="shared" si="9"/>
        <v>4.781</v>
      </c>
      <c r="W32" s="121">
        <v>10.0</v>
      </c>
      <c r="X32" s="123">
        <f>'PROY. INTER'!W32</f>
        <v>6.47</v>
      </c>
      <c r="Y32" s="62">
        <f t="shared" si="10"/>
        <v>8.235</v>
      </c>
      <c r="Z32" s="62">
        <f t="shared" si="11"/>
        <v>2.4705</v>
      </c>
      <c r="AA32" s="64">
        <f t="shared" si="12"/>
        <v>7.25</v>
      </c>
      <c r="AC32" s="2"/>
      <c r="AE32" s="56">
        <v>21.0</v>
      </c>
      <c r="AF32" s="124" t="str">
        <f t="shared" ref="AF32:AG32" si="105">B32</f>
        <v/>
      </c>
      <c r="AG32" s="125" t="str">
        <f t="shared" si="105"/>
        <v>Torres Vera Anderson</v>
      </c>
      <c r="AH32" s="139">
        <v>8.0</v>
      </c>
      <c r="AI32" s="139">
        <v>8.0</v>
      </c>
      <c r="AJ32" s="139">
        <v>8.0</v>
      </c>
      <c r="AK32" s="140"/>
      <c r="AL32" s="139">
        <v>10.0</v>
      </c>
      <c r="AM32" s="139">
        <v>8.0</v>
      </c>
      <c r="AN32" s="140"/>
      <c r="AO32" s="140"/>
      <c r="AP32" s="62"/>
      <c r="AQ32" s="62"/>
      <c r="AR32" s="144">
        <v>7.0</v>
      </c>
      <c r="AS32" s="143"/>
      <c r="AT32" s="143"/>
      <c r="AU32" s="143"/>
      <c r="AV32" s="143"/>
      <c r="AW32" s="143"/>
      <c r="AX32" s="141"/>
      <c r="AY32" s="141"/>
      <c r="AZ32" s="62">
        <f t="shared" si="14"/>
        <v>5.712</v>
      </c>
      <c r="BA32" s="121">
        <v>10.0</v>
      </c>
      <c r="BB32" s="123">
        <f>'PROY. INTER'!AX32</f>
        <v>10</v>
      </c>
      <c r="BC32" s="62">
        <f t="shared" si="15"/>
        <v>10</v>
      </c>
      <c r="BD32" s="62">
        <f t="shared" si="16"/>
        <v>3</v>
      </c>
      <c r="BE32" s="64">
        <f t="shared" si="17"/>
        <v>8.71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7.25</v>
      </c>
      <c r="CQ32" s="129">
        <f t="shared" si="25"/>
        <v>8.71</v>
      </c>
      <c r="CR32" s="129">
        <f t="shared" si="26"/>
        <v>0</v>
      </c>
      <c r="CS32" s="130">
        <f t="shared" si="27"/>
        <v>5.32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5.32</v>
      </c>
      <c r="DB32" s="136"/>
      <c r="DC32" s="137">
        <f t="shared" si="31"/>
        <v>5.32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7.0</v>
      </c>
      <c r="E33" s="139">
        <v>8.0</v>
      </c>
      <c r="F33" s="139">
        <v>8.0</v>
      </c>
      <c r="G33" s="140"/>
      <c r="H33" s="139">
        <v>8.0</v>
      </c>
      <c r="I33" s="139">
        <v>10.0</v>
      </c>
      <c r="J33" s="140"/>
      <c r="K33" s="140"/>
      <c r="L33" s="62"/>
      <c r="M33" s="62"/>
      <c r="N33" s="143"/>
      <c r="O33" s="143"/>
      <c r="P33" s="144">
        <v>10.0</v>
      </c>
      <c r="Q33" s="143"/>
      <c r="R33" s="143"/>
      <c r="S33" s="143"/>
      <c r="T33" s="141"/>
      <c r="U33" s="141"/>
      <c r="V33" s="62">
        <f t="shared" si="9"/>
        <v>5.95</v>
      </c>
      <c r="W33" s="121">
        <v>9.0</v>
      </c>
      <c r="X33" s="123">
        <f>'PROY. INTER'!W33</f>
        <v>9.2</v>
      </c>
      <c r="Y33" s="62">
        <f t="shared" si="10"/>
        <v>9.1</v>
      </c>
      <c r="Z33" s="62">
        <f t="shared" si="11"/>
        <v>2.73</v>
      </c>
      <c r="AA33" s="64">
        <f t="shared" si="12"/>
        <v>8.68</v>
      </c>
      <c r="AC33" s="2"/>
      <c r="AE33" s="56">
        <v>22.0</v>
      </c>
      <c r="AF33" s="124" t="str">
        <f t="shared" ref="AF33:AG33" si="109">B33</f>
        <v/>
      </c>
      <c r="AG33" s="125" t="str">
        <f t="shared" si="109"/>
        <v>Valero Pefiafiel Carlos José</v>
      </c>
      <c r="AH33" s="139">
        <v>10.0</v>
      </c>
      <c r="AI33" s="139">
        <v>8.0</v>
      </c>
      <c r="AJ33" s="139">
        <v>10.0</v>
      </c>
      <c r="AK33" s="140"/>
      <c r="AL33" s="139">
        <v>8.0</v>
      </c>
      <c r="AM33" s="139">
        <v>8.0</v>
      </c>
      <c r="AN33" s="140"/>
      <c r="AO33" s="140"/>
      <c r="AP33" s="62"/>
      <c r="AQ33" s="62"/>
      <c r="AR33" s="144">
        <v>8.0</v>
      </c>
      <c r="AS33" s="143"/>
      <c r="AT33" s="143"/>
      <c r="AU33" s="143"/>
      <c r="AV33" s="143"/>
      <c r="AW33" s="143"/>
      <c r="AX33" s="141"/>
      <c r="AY33" s="141"/>
      <c r="AZ33" s="62">
        <f t="shared" si="14"/>
        <v>6.062</v>
      </c>
      <c r="BA33" s="121">
        <v>10.0</v>
      </c>
      <c r="BB33" s="123">
        <f>'PROY. INTER'!AX33</f>
        <v>10</v>
      </c>
      <c r="BC33" s="62">
        <f t="shared" si="15"/>
        <v>10</v>
      </c>
      <c r="BD33" s="62">
        <f t="shared" si="16"/>
        <v>3</v>
      </c>
      <c r="BE33" s="64">
        <f t="shared" si="17"/>
        <v>9.06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8.68</v>
      </c>
      <c r="CQ33" s="129">
        <f t="shared" si="25"/>
        <v>9.06</v>
      </c>
      <c r="CR33" s="129">
        <f t="shared" si="26"/>
        <v>0</v>
      </c>
      <c r="CS33" s="130">
        <f t="shared" si="27"/>
        <v>5.91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5.91</v>
      </c>
      <c r="DB33" s="136"/>
      <c r="DC33" s="137">
        <f t="shared" si="31"/>
        <v>5.91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9.0</v>
      </c>
      <c r="E34" s="139">
        <v>8.0</v>
      </c>
      <c r="F34" s="139">
        <v>10.0</v>
      </c>
      <c r="G34" s="140"/>
      <c r="H34" s="139">
        <v>7.0</v>
      </c>
      <c r="I34" s="139">
        <v>7.0</v>
      </c>
      <c r="J34" s="140"/>
      <c r="K34" s="140"/>
      <c r="L34" s="62"/>
      <c r="M34" s="62"/>
      <c r="N34" s="143"/>
      <c r="O34" s="143"/>
      <c r="P34" s="144">
        <v>10.0</v>
      </c>
      <c r="Q34" s="143"/>
      <c r="R34" s="143"/>
      <c r="S34" s="143"/>
      <c r="T34" s="141"/>
      <c r="U34" s="141"/>
      <c r="V34" s="62">
        <f t="shared" si="9"/>
        <v>5.95</v>
      </c>
      <c r="W34" s="121">
        <v>9.0</v>
      </c>
      <c r="X34" s="123">
        <f>'PROY. INTER'!W34</f>
        <v>7.33</v>
      </c>
      <c r="Y34" s="62">
        <f t="shared" si="10"/>
        <v>8.165</v>
      </c>
      <c r="Z34" s="62">
        <f t="shared" si="11"/>
        <v>2.4495</v>
      </c>
      <c r="AA34" s="64">
        <f t="shared" si="12"/>
        <v>8.39</v>
      </c>
      <c r="AC34" s="2"/>
      <c r="AE34" s="56">
        <v>23.0</v>
      </c>
      <c r="AF34" s="124" t="str">
        <f t="shared" ref="AF34:AG34" si="113">B34</f>
        <v/>
      </c>
      <c r="AG34" s="125" t="str">
        <f t="shared" si="113"/>
        <v>Veliz chicaiza Alex isaac</v>
      </c>
      <c r="AH34" s="139">
        <v>8.0</v>
      </c>
      <c r="AI34" s="139">
        <v>8.0</v>
      </c>
      <c r="AJ34" s="139">
        <v>9.0</v>
      </c>
      <c r="AK34" s="140"/>
      <c r="AL34" s="139">
        <v>8.0</v>
      </c>
      <c r="AM34" s="139">
        <v>8.0</v>
      </c>
      <c r="AN34" s="140"/>
      <c r="AO34" s="140"/>
      <c r="AP34" s="62"/>
      <c r="AQ34" s="62"/>
      <c r="AR34" s="144">
        <v>7.0</v>
      </c>
      <c r="AS34" s="143"/>
      <c r="AT34" s="143"/>
      <c r="AU34" s="143"/>
      <c r="AV34" s="143"/>
      <c r="AW34" s="143"/>
      <c r="AX34" s="141"/>
      <c r="AY34" s="141"/>
      <c r="AZ34" s="62">
        <f t="shared" si="14"/>
        <v>5.6</v>
      </c>
      <c r="BA34" s="121">
        <v>10.0</v>
      </c>
      <c r="BB34" s="123">
        <f>'PROY. INTER'!AX34</f>
        <v>10</v>
      </c>
      <c r="BC34" s="62">
        <f t="shared" si="15"/>
        <v>10</v>
      </c>
      <c r="BD34" s="62">
        <f t="shared" si="16"/>
        <v>3</v>
      </c>
      <c r="BE34" s="64">
        <f t="shared" si="17"/>
        <v>8.6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8.39</v>
      </c>
      <c r="CQ34" s="129">
        <f t="shared" si="25"/>
        <v>8.6</v>
      </c>
      <c r="CR34" s="129">
        <f t="shared" si="26"/>
        <v>0</v>
      </c>
      <c r="CS34" s="130">
        <f t="shared" si="27"/>
        <v>5.66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5.66</v>
      </c>
      <c r="DB34" s="136"/>
      <c r="DC34" s="137">
        <f t="shared" si="31"/>
        <v>5.66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8.0</v>
      </c>
      <c r="E35" s="139">
        <v>8.0</v>
      </c>
      <c r="F35" s="139">
        <v>8.0</v>
      </c>
      <c r="G35" s="140"/>
      <c r="H35" s="139">
        <v>8.0</v>
      </c>
      <c r="I35" s="139">
        <v>9.0</v>
      </c>
      <c r="J35" s="140"/>
      <c r="K35" s="140"/>
      <c r="L35" s="62"/>
      <c r="M35" s="62"/>
      <c r="N35" s="143"/>
      <c r="O35" s="143"/>
      <c r="P35" s="144">
        <v>9.0</v>
      </c>
      <c r="Q35" s="143"/>
      <c r="R35" s="143"/>
      <c r="S35" s="143"/>
      <c r="T35" s="141"/>
      <c r="U35" s="141"/>
      <c r="V35" s="62">
        <f t="shared" si="9"/>
        <v>5.831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8.79</v>
      </c>
      <c r="AC35" s="2"/>
      <c r="AE35" s="56">
        <v>24.0</v>
      </c>
      <c r="AF35" s="124" t="str">
        <f t="shared" ref="AF35:AG35" si="117">B35</f>
        <v/>
      </c>
      <c r="AG35" s="125" t="str">
        <f t="shared" si="117"/>
        <v>Zambrano Zhicay Victor Humberto</v>
      </c>
      <c r="AH35" s="139">
        <v>8.0</v>
      </c>
      <c r="AI35" s="139">
        <v>8.0</v>
      </c>
      <c r="AJ35" s="139">
        <v>10.0</v>
      </c>
      <c r="AK35" s="140"/>
      <c r="AL35" s="139">
        <v>8.0</v>
      </c>
      <c r="AM35" s="139">
        <v>8.0</v>
      </c>
      <c r="AN35" s="140"/>
      <c r="AO35" s="140"/>
      <c r="AP35" s="62"/>
      <c r="AQ35" s="62"/>
      <c r="AR35" s="144">
        <v>8.0</v>
      </c>
      <c r="AS35" s="143"/>
      <c r="AT35" s="143"/>
      <c r="AU35" s="143"/>
      <c r="AV35" s="143"/>
      <c r="AW35" s="143"/>
      <c r="AX35" s="141"/>
      <c r="AY35" s="141"/>
      <c r="AZ35" s="62">
        <f t="shared" si="14"/>
        <v>5.831</v>
      </c>
      <c r="BA35" s="121">
        <v>10.0</v>
      </c>
      <c r="BB35" s="123">
        <f>'PROY. INTER'!AX35</f>
        <v>10</v>
      </c>
      <c r="BC35" s="62">
        <f t="shared" si="15"/>
        <v>10</v>
      </c>
      <c r="BD35" s="62">
        <f t="shared" si="16"/>
        <v>3</v>
      </c>
      <c r="BE35" s="64">
        <f t="shared" si="17"/>
        <v>8.83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8.79</v>
      </c>
      <c r="CQ35" s="129">
        <f t="shared" si="25"/>
        <v>8.83</v>
      </c>
      <c r="CR35" s="129">
        <f t="shared" si="26"/>
        <v>0</v>
      </c>
      <c r="CS35" s="130">
        <f t="shared" si="27"/>
        <v>5.87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5.87</v>
      </c>
      <c r="DB35" s="136"/>
      <c r="DC35" s="137">
        <f t="shared" si="31"/>
        <v>5.87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12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143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12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143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39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12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143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12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143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12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143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12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143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>
        <f>'PROY. INTER'!AX61</f>
        <v>0</v>
      </c>
      <c r="BC61" s="62">
        <f t="shared" si="15"/>
        <v>0</v>
      </c>
      <c r="BD61" s="62">
        <f t="shared" si="16"/>
        <v>0</v>
      </c>
      <c r="BE61" s="64">
        <f t="shared" si="17"/>
        <v>0</v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>
        <f t="shared" si="25"/>
        <v>0</v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5.68625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23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1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 AH12:AO61">
    <cfRule type="cellIs" dxfId="0" priority="1" operator="lessThan">
      <formula>7</formula>
    </cfRule>
  </conditionalFormatting>
  <conditionalFormatting sqref="BL12:BS61">
    <cfRule type="cellIs" dxfId="0" priority="2" operator="lessThan">
      <formula>7</formula>
    </cfRule>
  </conditionalFormatting>
  <conditionalFormatting sqref="CT12:CT61">
    <cfRule type="containsText" dxfId="1" priority="3" operator="containsText" text="REPROBADO">
      <formula>NOT(ISERROR(SEARCH(("REPROBADO"),(CT12))))</formula>
    </cfRule>
  </conditionalFormatting>
  <conditionalFormatting sqref="CT12:CT61">
    <cfRule type="containsText" dxfId="2" priority="4" operator="containsText" text="SUPLETORIO">
      <formula>NOT(ISERROR(SEARCH(("SUPLETORIO"),(CT12))))</formula>
    </cfRule>
  </conditionalFormatting>
  <conditionalFormatting sqref="CT12:CT61">
    <cfRule type="containsText" dxfId="3" priority="5" operator="containsText" text="APROBADO">
      <formula>NOT(ISERROR(SEARCH(("APROBADO"),(CT12))))</formula>
    </cfRule>
  </conditionalFormatting>
  <conditionalFormatting sqref="CT12:CT61">
    <cfRule type="containsText" dxfId="4" priority="6" operator="containsText" text="REMEDIAL">
      <formula>NOT(ISERROR(SEARCH(("REMEDIAL"),(CT12))))</formula>
    </cfRule>
  </conditionalFormatting>
  <conditionalFormatting sqref="CT12:CT61">
    <cfRule type="containsText" dxfId="5" priority="7" operator="containsText" text="SUPLETORIO">
      <formula>NOT(ISERROR(SEARCH(("SUPLETORIO"),(CT12))))</formula>
    </cfRule>
  </conditionalFormatting>
  <conditionalFormatting sqref="CT12:CT61">
    <cfRule type="containsText" dxfId="6" priority="8" operator="containsText" text="APROBADO">
      <formula>NOT(ISERROR(SEARCH(("APROBADO"),(CT12))))</formula>
    </cfRule>
  </conditionalFormatting>
  <conditionalFormatting sqref="DC12:DC61">
    <cfRule type="expression" dxfId="7" priority="9">
      <formula>ISERROR(DC12)</formula>
    </cfRule>
  </conditionalFormatting>
  <conditionalFormatting sqref="DD12:DD61">
    <cfRule type="containsText" dxfId="0" priority="10" operator="containsText" text="NO PROMOVIDO">
      <formula>NOT(ISERROR(SEARCH(("NO PROMOVIDO"),(DD12))))</formula>
    </cfRule>
  </conditionalFormatting>
  <conditionalFormatting sqref="DD12:DD61">
    <cfRule type="containsText" dxfId="8" priority="11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EL VALOR DEBE SER ENTRE 0 Y 10 PTS" sqref="D12:U61 W12:W61 AH12:AY61 BA12:BA61 BL12:CC61 CE12:CE61">
      <formula1>0.0</formula1>
      <formula2>10.0</formula2>
    </dataValidation>
  </dataValidations>
  <printOptions/>
  <pageMargins bottom="0.1968503937007874" footer="0.0" header="0.0" left="0.5703860188208183" right="0.3032744105834034" top="0.1968502807306906"/>
  <pageSetup paperSize="9" scale="65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  <col customWidth="1" min="109" max="109" width="14.0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184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Ing. Eleana Pluas Pino, Mgter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Ing. Eleana Pluas Pino, Mgter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Ing. Eleana Pluas Pino, Mgter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Ing. Eleana Pluas Pino, Mgter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185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EMPRENDIMIENTO Y GESTION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EMPRENDIMIENTO Y GESTION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EMPRENDIMIENTO Y GESTION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EMPRENDIMIENTO Y GESTION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186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187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188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EMP!CM10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20"/>
      <c r="F12" s="119">
        <v>10.0</v>
      </c>
      <c r="G12" s="120"/>
      <c r="H12" s="119">
        <v>10.0</v>
      </c>
      <c r="I12" s="120"/>
      <c r="J12" s="119">
        <v>10.0</v>
      </c>
      <c r="K12" s="120"/>
      <c r="L12" s="62"/>
      <c r="M12" s="62"/>
      <c r="N12" s="121">
        <v>10.0</v>
      </c>
      <c r="O12" s="62"/>
      <c r="P12" s="121">
        <v>10.0</v>
      </c>
      <c r="Q12" s="62"/>
      <c r="R12" s="121">
        <v>9.0</v>
      </c>
      <c r="S12" s="62"/>
      <c r="T12" s="122"/>
      <c r="U12" s="122"/>
      <c r="V12" s="62">
        <f t="shared" ref="V12:V61" si="9">IFERROR(TRUNC(AVERAGE(D12:U12),2),"")*70/100</f>
        <v>6.895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9.89</v>
      </c>
      <c r="AC12" s="2"/>
      <c r="AE12" s="56">
        <v>1.0</v>
      </c>
      <c r="AF12" s="124" t="str">
        <f t="shared" ref="AF12:AG12" si="5">B12</f>
        <v/>
      </c>
      <c r="AG12" s="65" t="str">
        <f t="shared" si="5"/>
        <v>Almeida Alvarado Ariana Guisela</v>
      </c>
      <c r="AH12" s="119">
        <v>10.0</v>
      </c>
      <c r="AI12" s="140"/>
      <c r="AJ12" s="139">
        <v>10.0</v>
      </c>
      <c r="AK12" s="140"/>
      <c r="AL12" s="139">
        <v>10.0</v>
      </c>
      <c r="AM12" s="140"/>
      <c r="AN12" s="140"/>
      <c r="AO12" s="140"/>
      <c r="AP12" s="62"/>
      <c r="AQ12" s="62"/>
      <c r="AR12" s="62"/>
      <c r="AS12" s="62"/>
      <c r="AT12" s="121">
        <v>10.0</v>
      </c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9.89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6.63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6.63</v>
      </c>
      <c r="DB12" s="136"/>
      <c r="DC12" s="137">
        <f t="shared" ref="DC12:DC61" si="31">IF(DA12&gt;=7,DA12,IF(DA12="","",IF(DB12="",AVERAGE(DA12:DB12),IF(AND(DA12&lt;4.01,DB12&lt;&gt;""),DA12,IF(DB12&lt;7,DA12,7)))))</f>
        <v>6.63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10.0</v>
      </c>
      <c r="E13" s="140"/>
      <c r="F13" s="139">
        <v>10.0</v>
      </c>
      <c r="G13" s="140"/>
      <c r="H13" s="139">
        <v>10.0</v>
      </c>
      <c r="I13" s="140"/>
      <c r="J13" s="139">
        <v>10.0</v>
      </c>
      <c r="K13" s="140"/>
      <c r="L13" s="62"/>
      <c r="M13" s="62"/>
      <c r="N13" s="121">
        <v>10.0</v>
      </c>
      <c r="O13" s="62"/>
      <c r="P13" s="121">
        <v>10.0</v>
      </c>
      <c r="Q13" s="62"/>
      <c r="R13" s="121">
        <v>10.0</v>
      </c>
      <c r="S13" s="62"/>
      <c r="T13" s="141"/>
      <c r="U13" s="141"/>
      <c r="V13" s="62">
        <f t="shared" si="9"/>
        <v>7</v>
      </c>
      <c r="W13" s="121">
        <v>9.0</v>
      </c>
      <c r="X13" s="123">
        <f>'PROY. INTER'!W13</f>
        <v>10</v>
      </c>
      <c r="Y13" s="62">
        <f t="shared" si="10"/>
        <v>9.5</v>
      </c>
      <c r="Z13" s="62">
        <f t="shared" si="11"/>
        <v>2.85</v>
      </c>
      <c r="AA13" s="64">
        <f t="shared" si="12"/>
        <v>9.85</v>
      </c>
      <c r="AC13" s="2"/>
      <c r="AE13" s="56">
        <v>2.0</v>
      </c>
      <c r="AF13" s="124" t="str">
        <f t="shared" ref="AF13:AG13" si="13">B13</f>
        <v/>
      </c>
      <c r="AG13" s="65" t="str">
        <f t="shared" si="13"/>
        <v>Alvarado Vargas Dacmar Alejandra</v>
      </c>
      <c r="AH13" s="139">
        <v>10.0</v>
      </c>
      <c r="AI13" s="140"/>
      <c r="AJ13" s="139">
        <v>10.0</v>
      </c>
      <c r="AK13" s="140"/>
      <c r="AL13" s="139">
        <v>10.0</v>
      </c>
      <c r="AM13" s="140"/>
      <c r="AN13" s="140"/>
      <c r="AO13" s="140"/>
      <c r="AP13" s="62"/>
      <c r="AQ13" s="62"/>
      <c r="AR13" s="62"/>
      <c r="AS13" s="62"/>
      <c r="AT13" s="121">
        <v>10.0</v>
      </c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9.85</v>
      </c>
      <c r="CQ13" s="129">
        <f t="shared" si="25"/>
        <v>10</v>
      </c>
      <c r="CR13" s="129">
        <f t="shared" si="26"/>
        <v>0</v>
      </c>
      <c r="CS13" s="130">
        <f t="shared" si="27"/>
        <v>6.61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6.61</v>
      </c>
      <c r="DB13" s="142"/>
      <c r="DC13" s="137">
        <f t="shared" si="31"/>
        <v>6.61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10.0</v>
      </c>
      <c r="E14" s="140"/>
      <c r="F14" s="139">
        <v>8.0</v>
      </c>
      <c r="G14" s="140"/>
      <c r="H14" s="139">
        <v>9.0</v>
      </c>
      <c r="I14" s="140"/>
      <c r="J14" s="139">
        <v>10.0</v>
      </c>
      <c r="K14" s="140"/>
      <c r="L14" s="62"/>
      <c r="M14" s="62"/>
      <c r="N14" s="144">
        <v>10.0</v>
      </c>
      <c r="O14" s="143"/>
      <c r="P14" s="144">
        <v>9.0</v>
      </c>
      <c r="Q14" s="143"/>
      <c r="R14" s="144">
        <v>8.0</v>
      </c>
      <c r="S14" s="143"/>
      <c r="T14" s="141"/>
      <c r="U14" s="141"/>
      <c r="V14" s="62">
        <f t="shared" si="9"/>
        <v>6.398</v>
      </c>
      <c r="W14" s="121">
        <v>8.5</v>
      </c>
      <c r="X14" s="123">
        <f>'PROY. INTER'!W14</f>
        <v>8.2</v>
      </c>
      <c r="Y14" s="62">
        <f t="shared" si="10"/>
        <v>8.35</v>
      </c>
      <c r="Z14" s="62">
        <f t="shared" si="11"/>
        <v>2.505</v>
      </c>
      <c r="AA14" s="64">
        <f t="shared" si="12"/>
        <v>8.9</v>
      </c>
      <c r="AC14" s="2"/>
      <c r="AE14" s="56">
        <v>3.0</v>
      </c>
      <c r="AF14" s="124" t="str">
        <f t="shared" ref="AF14:AG14" si="33">B14</f>
        <v/>
      </c>
      <c r="AG14" s="65" t="str">
        <f t="shared" si="33"/>
        <v>Ampuero Cornejo Cesar Jeanpierre</v>
      </c>
      <c r="AH14" s="139">
        <v>8.0</v>
      </c>
      <c r="AI14" s="140"/>
      <c r="AJ14" s="139">
        <v>8.0</v>
      </c>
      <c r="AK14" s="140"/>
      <c r="AL14" s="139">
        <v>8.0</v>
      </c>
      <c r="AM14" s="140"/>
      <c r="AN14" s="140"/>
      <c r="AO14" s="140"/>
      <c r="AP14" s="62"/>
      <c r="AQ14" s="62"/>
      <c r="AR14" s="62"/>
      <c r="AS14" s="143"/>
      <c r="AT14" s="121">
        <v>10.0</v>
      </c>
      <c r="AU14" s="143"/>
      <c r="AV14" s="143"/>
      <c r="AW14" s="143"/>
      <c r="AX14" s="141"/>
      <c r="AY14" s="141"/>
      <c r="AZ14" s="62">
        <f t="shared" si="14"/>
        <v>5.95</v>
      </c>
      <c r="BA14" s="121">
        <v>7.0</v>
      </c>
      <c r="BB14" s="123">
        <f>'PROY. INTER'!AX14</f>
        <v>10</v>
      </c>
      <c r="BC14" s="62">
        <f t="shared" si="15"/>
        <v>8.5</v>
      </c>
      <c r="BD14" s="62">
        <f t="shared" si="16"/>
        <v>2.55</v>
      </c>
      <c r="BE14" s="64">
        <f t="shared" si="17"/>
        <v>8.5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8.9</v>
      </c>
      <c r="CQ14" s="129">
        <f t="shared" si="25"/>
        <v>8.5</v>
      </c>
      <c r="CR14" s="129">
        <f t="shared" si="26"/>
        <v>0</v>
      </c>
      <c r="CS14" s="130">
        <f t="shared" si="27"/>
        <v>5.8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5.8</v>
      </c>
      <c r="DB14" s="136"/>
      <c r="DC14" s="137">
        <f t="shared" si="31"/>
        <v>5.8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7.0</v>
      </c>
      <c r="E15" s="140"/>
      <c r="F15" s="139">
        <v>7.0</v>
      </c>
      <c r="G15" s="140"/>
      <c r="H15" s="139">
        <v>5.0</v>
      </c>
      <c r="I15" s="140"/>
      <c r="J15" s="139">
        <v>5.0</v>
      </c>
      <c r="K15" s="140"/>
      <c r="L15" s="62"/>
      <c r="M15" s="62"/>
      <c r="N15" s="144">
        <v>8.0</v>
      </c>
      <c r="O15" s="143"/>
      <c r="P15" s="144">
        <v>5.0</v>
      </c>
      <c r="Q15" s="143"/>
      <c r="R15" s="144">
        <v>5.0</v>
      </c>
      <c r="S15" s="143"/>
      <c r="T15" s="141"/>
      <c r="U15" s="141"/>
      <c r="V15" s="62">
        <f t="shared" si="9"/>
        <v>4.2</v>
      </c>
      <c r="W15" s="121">
        <v>8.0</v>
      </c>
      <c r="X15" s="123">
        <f>'PROY. INTER'!W15</f>
        <v>6.73</v>
      </c>
      <c r="Y15" s="62">
        <f t="shared" si="10"/>
        <v>7.365</v>
      </c>
      <c r="Z15" s="62">
        <f t="shared" si="11"/>
        <v>2.2095</v>
      </c>
      <c r="AA15" s="64">
        <f t="shared" si="12"/>
        <v>6.4</v>
      </c>
      <c r="AC15" s="2"/>
      <c r="AE15" s="56">
        <v>4.0</v>
      </c>
      <c r="AF15" s="124" t="str">
        <f t="shared" ref="AF15:AG15" si="37">B15</f>
        <v/>
      </c>
      <c r="AG15" s="65" t="str">
        <f t="shared" si="37"/>
        <v>Aylla Murillo Kerly Kristhel</v>
      </c>
      <c r="AH15" s="139">
        <v>5.0</v>
      </c>
      <c r="AI15" s="140"/>
      <c r="AJ15" s="139">
        <v>7.0</v>
      </c>
      <c r="AK15" s="140"/>
      <c r="AL15" s="139">
        <v>10.0</v>
      </c>
      <c r="AM15" s="140"/>
      <c r="AN15" s="140"/>
      <c r="AO15" s="140"/>
      <c r="AP15" s="62"/>
      <c r="AQ15" s="62"/>
      <c r="AR15" s="62"/>
      <c r="AS15" s="143"/>
      <c r="AT15" s="121">
        <v>10.0</v>
      </c>
      <c r="AU15" s="143"/>
      <c r="AV15" s="143"/>
      <c r="AW15" s="143"/>
      <c r="AX15" s="141"/>
      <c r="AY15" s="141"/>
      <c r="AZ15" s="62">
        <f t="shared" si="14"/>
        <v>5.6</v>
      </c>
      <c r="BA15" s="121">
        <v>7.0</v>
      </c>
      <c r="BB15" s="123">
        <f>'PROY. INTER'!AX15</f>
        <v>10</v>
      </c>
      <c r="BC15" s="62">
        <f t="shared" si="15"/>
        <v>8.5</v>
      </c>
      <c r="BD15" s="62">
        <f t="shared" si="16"/>
        <v>2.55</v>
      </c>
      <c r="BE15" s="64">
        <f t="shared" si="17"/>
        <v>8.15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6.4</v>
      </c>
      <c r="CQ15" s="129">
        <f t="shared" si="25"/>
        <v>8.15</v>
      </c>
      <c r="CR15" s="129">
        <f t="shared" si="26"/>
        <v>0</v>
      </c>
      <c r="CS15" s="130">
        <f t="shared" si="27"/>
        <v>4.85</v>
      </c>
      <c r="CT15" s="131" t="str">
        <f t="shared" si="28"/>
        <v>REPROBADO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4.85</v>
      </c>
      <c r="DB15" s="136"/>
      <c r="DC15" s="137">
        <f t="shared" si="31"/>
        <v>4.85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7.0</v>
      </c>
      <c r="E16" s="140"/>
      <c r="F16" s="139">
        <v>7.0</v>
      </c>
      <c r="G16" s="140"/>
      <c r="H16" s="139">
        <v>7.0</v>
      </c>
      <c r="I16" s="140"/>
      <c r="J16" s="139">
        <v>8.0</v>
      </c>
      <c r="K16" s="140"/>
      <c r="L16" s="62"/>
      <c r="M16" s="62"/>
      <c r="N16" s="144">
        <v>10.0</v>
      </c>
      <c r="O16" s="143"/>
      <c r="P16" s="144">
        <v>5.0</v>
      </c>
      <c r="Q16" s="143"/>
      <c r="R16" s="144">
        <v>5.0</v>
      </c>
      <c r="S16" s="143"/>
      <c r="T16" s="141"/>
      <c r="U16" s="141"/>
      <c r="V16" s="62">
        <f t="shared" si="9"/>
        <v>4.9</v>
      </c>
      <c r="W16" s="121">
        <v>10.0</v>
      </c>
      <c r="X16" s="123">
        <f>'PROY. INTER'!W16</f>
        <v>6</v>
      </c>
      <c r="Y16" s="62">
        <f t="shared" si="10"/>
        <v>8</v>
      </c>
      <c r="Z16" s="62">
        <f t="shared" si="11"/>
        <v>2.4</v>
      </c>
      <c r="AA16" s="64">
        <f t="shared" si="12"/>
        <v>7.3</v>
      </c>
      <c r="AC16" s="2"/>
      <c r="AE16" s="56">
        <v>5.0</v>
      </c>
      <c r="AF16" s="124" t="str">
        <f t="shared" ref="AF16:AG16" si="41">B16</f>
        <v/>
      </c>
      <c r="AG16" s="65" t="str">
        <f t="shared" si="41"/>
        <v>Campuzano Meza Naydelyn Odeth</v>
      </c>
      <c r="AH16" s="139">
        <v>5.0</v>
      </c>
      <c r="AI16" s="140"/>
      <c r="AJ16" s="139">
        <v>8.0</v>
      </c>
      <c r="AK16" s="140"/>
      <c r="AL16" s="139">
        <v>10.0</v>
      </c>
      <c r="AM16" s="140"/>
      <c r="AN16" s="140"/>
      <c r="AO16" s="140"/>
      <c r="AP16" s="62"/>
      <c r="AQ16" s="62"/>
      <c r="AR16" s="62"/>
      <c r="AS16" s="143"/>
      <c r="AT16" s="121">
        <v>10.0</v>
      </c>
      <c r="AU16" s="143"/>
      <c r="AV16" s="143"/>
      <c r="AW16" s="143"/>
      <c r="AX16" s="141"/>
      <c r="AY16" s="141"/>
      <c r="AZ16" s="62">
        <f t="shared" si="14"/>
        <v>5.775</v>
      </c>
      <c r="BA16" s="121">
        <v>7.0</v>
      </c>
      <c r="BB16" s="123">
        <f>'PROY. INTER'!AX16</f>
        <v>2</v>
      </c>
      <c r="BC16" s="62">
        <f t="shared" si="15"/>
        <v>4.5</v>
      </c>
      <c r="BD16" s="62">
        <f t="shared" si="16"/>
        <v>1.35</v>
      </c>
      <c r="BE16" s="64">
        <f t="shared" si="17"/>
        <v>7.12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7.3</v>
      </c>
      <c r="CQ16" s="129">
        <f t="shared" si="25"/>
        <v>7.12</v>
      </c>
      <c r="CR16" s="129">
        <f t="shared" si="26"/>
        <v>0</v>
      </c>
      <c r="CS16" s="130">
        <f t="shared" si="27"/>
        <v>4.8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4.8</v>
      </c>
      <c r="DB16" s="136"/>
      <c r="DC16" s="137">
        <f t="shared" si="31"/>
        <v>4.8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10.0</v>
      </c>
      <c r="E17" s="140"/>
      <c r="F17" s="139">
        <v>9.0</v>
      </c>
      <c r="G17" s="140"/>
      <c r="H17" s="139">
        <v>8.0</v>
      </c>
      <c r="I17" s="140"/>
      <c r="J17" s="139">
        <v>8.0</v>
      </c>
      <c r="K17" s="140"/>
      <c r="L17" s="62"/>
      <c r="M17" s="62"/>
      <c r="N17" s="144">
        <v>10.0</v>
      </c>
      <c r="O17" s="143"/>
      <c r="P17" s="144">
        <v>8.0</v>
      </c>
      <c r="Q17" s="143"/>
      <c r="R17" s="144">
        <v>8.0</v>
      </c>
      <c r="S17" s="143"/>
      <c r="T17" s="141"/>
      <c r="U17" s="141"/>
      <c r="V17" s="62">
        <f t="shared" si="9"/>
        <v>6.097</v>
      </c>
      <c r="W17" s="121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9.07</v>
      </c>
      <c r="AC17" s="2"/>
      <c r="AE17" s="56">
        <v>6.0</v>
      </c>
      <c r="AF17" s="124" t="str">
        <f t="shared" ref="AF17:AG17" si="45">B17</f>
        <v/>
      </c>
      <c r="AG17" s="65" t="str">
        <f t="shared" si="45"/>
        <v>Cantos Zúñiga a Hernán Snayder</v>
      </c>
      <c r="AH17" s="139">
        <v>9.0</v>
      </c>
      <c r="AI17" s="140"/>
      <c r="AJ17" s="139">
        <v>9.0</v>
      </c>
      <c r="AK17" s="140"/>
      <c r="AL17" s="139">
        <v>10.0</v>
      </c>
      <c r="AM17" s="140"/>
      <c r="AN17" s="140"/>
      <c r="AO17" s="140"/>
      <c r="AP17" s="62"/>
      <c r="AQ17" s="62"/>
      <c r="AR17" s="62"/>
      <c r="AS17" s="143"/>
      <c r="AT17" s="121">
        <v>10.0</v>
      </c>
      <c r="AU17" s="143"/>
      <c r="AV17" s="143"/>
      <c r="AW17" s="143"/>
      <c r="AX17" s="141"/>
      <c r="AY17" s="141"/>
      <c r="AZ17" s="62">
        <f t="shared" si="14"/>
        <v>6.65</v>
      </c>
      <c r="BA17" s="121">
        <v>8.0</v>
      </c>
      <c r="BB17" s="123">
        <f>'PROY. INTER'!AX17</f>
        <v>10</v>
      </c>
      <c r="BC17" s="62">
        <f t="shared" si="15"/>
        <v>9</v>
      </c>
      <c r="BD17" s="62">
        <f t="shared" si="16"/>
        <v>2.7</v>
      </c>
      <c r="BE17" s="64">
        <f t="shared" si="17"/>
        <v>9.35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9.07</v>
      </c>
      <c r="CQ17" s="129">
        <f t="shared" si="25"/>
        <v>9.35</v>
      </c>
      <c r="CR17" s="129">
        <f t="shared" si="26"/>
        <v>0</v>
      </c>
      <c r="CS17" s="130">
        <f t="shared" si="27"/>
        <v>6.14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6.14</v>
      </c>
      <c r="DB17" s="136"/>
      <c r="DC17" s="137">
        <f t="shared" si="31"/>
        <v>6.14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7.0</v>
      </c>
      <c r="E18" s="140"/>
      <c r="F18" s="139">
        <v>7.0</v>
      </c>
      <c r="G18" s="140"/>
      <c r="H18" s="139">
        <v>10.0</v>
      </c>
      <c r="I18" s="140"/>
      <c r="J18" s="139">
        <v>8.0</v>
      </c>
      <c r="K18" s="140"/>
      <c r="L18" s="62"/>
      <c r="M18" s="62"/>
      <c r="N18" s="144">
        <v>5.0</v>
      </c>
      <c r="O18" s="143"/>
      <c r="P18" s="144">
        <v>7.0</v>
      </c>
      <c r="Q18" s="143"/>
      <c r="R18" s="144">
        <v>9.0</v>
      </c>
      <c r="S18" s="143"/>
      <c r="T18" s="141"/>
      <c r="U18" s="141"/>
      <c r="V18" s="62">
        <f t="shared" si="9"/>
        <v>5.299</v>
      </c>
      <c r="W18" s="121">
        <v>8.0</v>
      </c>
      <c r="X18" s="123">
        <f>'PROY. INTER'!W18</f>
        <v>9</v>
      </c>
      <c r="Y18" s="62">
        <f t="shared" si="10"/>
        <v>8.5</v>
      </c>
      <c r="Z18" s="62">
        <f t="shared" si="11"/>
        <v>2.55</v>
      </c>
      <c r="AA18" s="64">
        <f t="shared" si="12"/>
        <v>7.84</v>
      </c>
      <c r="AC18" s="2"/>
      <c r="AE18" s="56">
        <v>7.0</v>
      </c>
      <c r="AF18" s="124" t="str">
        <f t="shared" ref="AF18:AG18" si="49">B18</f>
        <v/>
      </c>
      <c r="AG18" s="65" t="str">
        <f t="shared" si="49"/>
        <v>Carranza Dumes Genesis Daniela</v>
      </c>
      <c r="AH18" s="139">
        <v>8.0</v>
      </c>
      <c r="AI18" s="140"/>
      <c r="AJ18" s="139">
        <v>7.0</v>
      </c>
      <c r="AK18" s="140"/>
      <c r="AL18" s="139">
        <v>10.0</v>
      </c>
      <c r="AM18" s="140"/>
      <c r="AN18" s="140"/>
      <c r="AO18" s="140"/>
      <c r="AP18" s="62"/>
      <c r="AQ18" s="62"/>
      <c r="AR18" s="62"/>
      <c r="AS18" s="143"/>
      <c r="AT18" s="121">
        <v>10.0</v>
      </c>
      <c r="AU18" s="143"/>
      <c r="AV18" s="143"/>
      <c r="AW18" s="143"/>
      <c r="AX18" s="141"/>
      <c r="AY18" s="141"/>
      <c r="AZ18" s="62">
        <f t="shared" si="14"/>
        <v>6.125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7.62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7.84</v>
      </c>
      <c r="CQ18" s="129">
        <f t="shared" si="25"/>
        <v>7.62</v>
      </c>
      <c r="CR18" s="129">
        <f t="shared" si="26"/>
        <v>0</v>
      </c>
      <c r="CS18" s="130">
        <f t="shared" si="27"/>
        <v>5.15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5.15</v>
      </c>
      <c r="DB18" s="136"/>
      <c r="DC18" s="137">
        <f t="shared" si="31"/>
        <v>5.15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9.0</v>
      </c>
      <c r="E19" s="140"/>
      <c r="F19" s="139">
        <v>7.0</v>
      </c>
      <c r="G19" s="140"/>
      <c r="H19" s="139">
        <v>5.0</v>
      </c>
      <c r="I19" s="140"/>
      <c r="J19" s="139">
        <v>7.0</v>
      </c>
      <c r="K19" s="140"/>
      <c r="L19" s="62"/>
      <c r="M19" s="62"/>
      <c r="N19" s="144">
        <v>7.0</v>
      </c>
      <c r="O19" s="143"/>
      <c r="P19" s="144">
        <v>7.0</v>
      </c>
      <c r="Q19" s="143"/>
      <c r="R19" s="144">
        <v>7.0</v>
      </c>
      <c r="S19" s="143"/>
      <c r="T19" s="141"/>
      <c r="U19" s="141"/>
      <c r="V19" s="62">
        <f t="shared" si="9"/>
        <v>4.9</v>
      </c>
      <c r="W19" s="121">
        <v>10.0</v>
      </c>
      <c r="X19" s="123">
        <f>'PROY. INTER'!W19</f>
        <v>6</v>
      </c>
      <c r="Y19" s="62">
        <f t="shared" si="10"/>
        <v>8</v>
      </c>
      <c r="Z19" s="62">
        <f t="shared" si="11"/>
        <v>2.4</v>
      </c>
      <c r="AA19" s="64">
        <f t="shared" si="12"/>
        <v>7.3</v>
      </c>
      <c r="AC19" s="2"/>
      <c r="AE19" s="56">
        <v>8.0</v>
      </c>
      <c r="AF19" s="124" t="str">
        <f t="shared" ref="AF19:AG19" si="53">B19</f>
        <v/>
      </c>
      <c r="AG19" s="65" t="str">
        <f t="shared" si="53"/>
        <v>Castro De La Rosa Cristopher Ruben</v>
      </c>
      <c r="AH19" s="139">
        <v>9.0</v>
      </c>
      <c r="AI19" s="140"/>
      <c r="AJ19" s="139">
        <v>8.0</v>
      </c>
      <c r="AK19" s="140"/>
      <c r="AL19" s="139">
        <v>7.0</v>
      </c>
      <c r="AM19" s="140"/>
      <c r="AN19" s="140"/>
      <c r="AO19" s="140"/>
      <c r="AP19" s="62"/>
      <c r="AQ19" s="62"/>
      <c r="AR19" s="62"/>
      <c r="AS19" s="143"/>
      <c r="AT19" s="121">
        <v>10.0</v>
      </c>
      <c r="AU19" s="143"/>
      <c r="AV19" s="143"/>
      <c r="AW19" s="143"/>
      <c r="AX19" s="141"/>
      <c r="AY19" s="141"/>
      <c r="AZ19" s="62">
        <f t="shared" si="14"/>
        <v>5.95</v>
      </c>
      <c r="BA19" s="121">
        <v>7.0</v>
      </c>
      <c r="BB19" s="123">
        <f>'PROY. INTER'!AX19</f>
        <v>2</v>
      </c>
      <c r="BC19" s="62">
        <f t="shared" si="15"/>
        <v>4.5</v>
      </c>
      <c r="BD19" s="62">
        <f t="shared" si="16"/>
        <v>1.35</v>
      </c>
      <c r="BE19" s="64">
        <f t="shared" si="17"/>
        <v>7.3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7.3</v>
      </c>
      <c r="CQ19" s="129">
        <f t="shared" si="25"/>
        <v>7.3</v>
      </c>
      <c r="CR19" s="129">
        <f t="shared" si="26"/>
        <v>0</v>
      </c>
      <c r="CS19" s="130">
        <f t="shared" si="27"/>
        <v>4.86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4.86</v>
      </c>
      <c r="DB19" s="136"/>
      <c r="DC19" s="137">
        <f t="shared" si="31"/>
        <v>4.86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5.0</v>
      </c>
      <c r="E20" s="140"/>
      <c r="F20" s="139">
        <v>5.0</v>
      </c>
      <c r="G20" s="140"/>
      <c r="H20" s="139">
        <v>5.0</v>
      </c>
      <c r="I20" s="140"/>
      <c r="J20" s="139">
        <v>7.0</v>
      </c>
      <c r="K20" s="140"/>
      <c r="L20" s="62"/>
      <c r="M20" s="62"/>
      <c r="N20" s="144">
        <v>10.0</v>
      </c>
      <c r="O20" s="143"/>
      <c r="P20" s="144">
        <v>5.0</v>
      </c>
      <c r="Q20" s="143"/>
      <c r="R20" s="144">
        <v>7.0</v>
      </c>
      <c r="S20" s="143"/>
      <c r="T20" s="141"/>
      <c r="U20" s="141"/>
      <c r="V20" s="62">
        <f t="shared" si="9"/>
        <v>4.396</v>
      </c>
      <c r="W20" s="121">
        <v>8.5</v>
      </c>
      <c r="X20" s="123">
        <f>'PROY. INTER'!W20</f>
        <v>6</v>
      </c>
      <c r="Y20" s="62">
        <f t="shared" si="10"/>
        <v>7.25</v>
      </c>
      <c r="Z20" s="62">
        <f t="shared" si="11"/>
        <v>2.175</v>
      </c>
      <c r="AA20" s="64">
        <f t="shared" si="12"/>
        <v>6.57</v>
      </c>
      <c r="AC20" s="2"/>
      <c r="AE20" s="56">
        <v>9.0</v>
      </c>
      <c r="AF20" s="124" t="str">
        <f t="shared" ref="AF20:AG20" si="57">B20</f>
        <v/>
      </c>
      <c r="AG20" s="65" t="str">
        <f t="shared" si="57"/>
        <v>Chamba Maurad Joshelyn Juleixi</v>
      </c>
      <c r="AH20" s="139">
        <v>7.0</v>
      </c>
      <c r="AI20" s="140"/>
      <c r="AJ20" s="139">
        <v>7.0</v>
      </c>
      <c r="AK20" s="140"/>
      <c r="AL20" s="139">
        <v>7.0</v>
      </c>
      <c r="AM20" s="140"/>
      <c r="AN20" s="140"/>
      <c r="AO20" s="140"/>
      <c r="AP20" s="62"/>
      <c r="AQ20" s="62"/>
      <c r="AR20" s="62"/>
      <c r="AS20" s="143"/>
      <c r="AT20" s="121">
        <v>10.0</v>
      </c>
      <c r="AU20" s="143"/>
      <c r="AV20" s="143"/>
      <c r="AW20" s="143"/>
      <c r="AX20" s="141"/>
      <c r="AY20" s="141"/>
      <c r="AZ20" s="62">
        <f t="shared" si="14"/>
        <v>5.425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7.97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6.57</v>
      </c>
      <c r="CQ20" s="129">
        <f t="shared" si="25"/>
        <v>7.97</v>
      </c>
      <c r="CR20" s="129">
        <f t="shared" si="26"/>
        <v>0</v>
      </c>
      <c r="CS20" s="130">
        <f t="shared" si="27"/>
        <v>4.84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4.84</v>
      </c>
      <c r="DB20" s="136"/>
      <c r="DC20" s="137">
        <f t="shared" si="31"/>
        <v>4.84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5.0</v>
      </c>
      <c r="E21" s="140"/>
      <c r="F21" s="139">
        <v>5.0</v>
      </c>
      <c r="G21" s="140"/>
      <c r="H21" s="139">
        <v>5.0</v>
      </c>
      <c r="I21" s="140"/>
      <c r="J21" s="139">
        <v>7.0</v>
      </c>
      <c r="K21" s="140"/>
      <c r="L21" s="62"/>
      <c r="M21" s="62"/>
      <c r="N21" s="144">
        <v>9.0</v>
      </c>
      <c r="O21" s="143"/>
      <c r="P21" s="144">
        <v>7.0</v>
      </c>
      <c r="Q21" s="143"/>
      <c r="R21" s="144">
        <v>7.0</v>
      </c>
      <c r="S21" s="143"/>
      <c r="T21" s="141"/>
      <c r="U21" s="141"/>
      <c r="V21" s="62">
        <f t="shared" si="9"/>
        <v>4.494</v>
      </c>
      <c r="W21" s="121">
        <v>7.0</v>
      </c>
      <c r="X21" s="123">
        <f>'PROY. INTER'!W21</f>
        <v>6</v>
      </c>
      <c r="Y21" s="62">
        <f t="shared" si="10"/>
        <v>6.5</v>
      </c>
      <c r="Z21" s="62">
        <f t="shared" si="11"/>
        <v>1.95</v>
      </c>
      <c r="AA21" s="64">
        <f t="shared" si="12"/>
        <v>6.44</v>
      </c>
      <c r="AC21" s="2"/>
      <c r="AE21" s="56">
        <v>10.0</v>
      </c>
      <c r="AF21" s="124" t="str">
        <f t="shared" ref="AF21:AG21" si="61">B21</f>
        <v/>
      </c>
      <c r="AG21" s="65" t="str">
        <f t="shared" si="61"/>
        <v>Cedeño Sanchez Josué</v>
      </c>
      <c r="AH21" s="139">
        <v>8.0</v>
      </c>
      <c r="AI21" s="140"/>
      <c r="AJ21" s="139">
        <v>7.0</v>
      </c>
      <c r="AK21" s="140"/>
      <c r="AL21" s="139">
        <v>10.0</v>
      </c>
      <c r="AM21" s="140"/>
      <c r="AN21" s="140"/>
      <c r="AO21" s="140"/>
      <c r="AP21" s="62"/>
      <c r="AQ21" s="62"/>
      <c r="AR21" s="62"/>
      <c r="AS21" s="143"/>
      <c r="AT21" s="121">
        <v>10.0</v>
      </c>
      <c r="AU21" s="143"/>
      <c r="AV21" s="143"/>
      <c r="AW21" s="143"/>
      <c r="AX21" s="141"/>
      <c r="AY21" s="141"/>
      <c r="AZ21" s="62">
        <f t="shared" si="14"/>
        <v>6.125</v>
      </c>
      <c r="BA21" s="121">
        <v>7.0</v>
      </c>
      <c r="BB21" s="123">
        <f>'PROY. INTER'!AX21</f>
        <v>2</v>
      </c>
      <c r="BC21" s="62">
        <f t="shared" si="15"/>
        <v>4.5</v>
      </c>
      <c r="BD21" s="62">
        <f t="shared" si="16"/>
        <v>1.35</v>
      </c>
      <c r="BE21" s="64">
        <f t="shared" si="17"/>
        <v>7.47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6.44</v>
      </c>
      <c r="CQ21" s="129">
        <f t="shared" si="25"/>
        <v>7.47</v>
      </c>
      <c r="CR21" s="129">
        <f t="shared" si="26"/>
        <v>0</v>
      </c>
      <c r="CS21" s="130">
        <f t="shared" si="27"/>
        <v>4.63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4.63</v>
      </c>
      <c r="DB21" s="136"/>
      <c r="DC21" s="137">
        <f t="shared" si="31"/>
        <v>4.63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9.0</v>
      </c>
      <c r="E22" s="140"/>
      <c r="F22" s="139">
        <v>10.0</v>
      </c>
      <c r="G22" s="140"/>
      <c r="H22" s="139">
        <v>10.0</v>
      </c>
      <c r="I22" s="140"/>
      <c r="J22" s="139">
        <v>10.0</v>
      </c>
      <c r="K22" s="140"/>
      <c r="L22" s="62"/>
      <c r="M22" s="62"/>
      <c r="N22" s="144">
        <v>10.0</v>
      </c>
      <c r="O22" s="143"/>
      <c r="P22" s="144">
        <v>10.0</v>
      </c>
      <c r="Q22" s="143"/>
      <c r="R22" s="144">
        <v>10.0</v>
      </c>
      <c r="S22" s="143"/>
      <c r="T22" s="141"/>
      <c r="U22" s="141"/>
      <c r="V22" s="62">
        <f t="shared" si="9"/>
        <v>6.895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9.89</v>
      </c>
      <c r="AC22" s="2"/>
      <c r="AE22" s="56">
        <v>11.0</v>
      </c>
      <c r="AF22" s="124" t="str">
        <f t="shared" ref="AF22:AG22" si="65">B22</f>
        <v/>
      </c>
      <c r="AG22" s="65" t="str">
        <f t="shared" si="65"/>
        <v>Espinoza Martinez Stefano Juliano</v>
      </c>
      <c r="AH22" s="139">
        <v>10.0</v>
      </c>
      <c r="AI22" s="140"/>
      <c r="AJ22" s="139">
        <v>10.0</v>
      </c>
      <c r="AK22" s="140"/>
      <c r="AL22" s="139">
        <v>10.0</v>
      </c>
      <c r="AM22" s="140"/>
      <c r="AN22" s="140"/>
      <c r="AO22" s="140"/>
      <c r="AP22" s="62"/>
      <c r="AQ22" s="62"/>
      <c r="AR22" s="62"/>
      <c r="AS22" s="143"/>
      <c r="AT22" s="121">
        <v>10.0</v>
      </c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9.89</v>
      </c>
      <c r="CQ22" s="129">
        <f t="shared" si="25"/>
        <v>10</v>
      </c>
      <c r="CR22" s="129">
        <f t="shared" si="26"/>
        <v>0</v>
      </c>
      <c r="CS22" s="130">
        <f t="shared" si="27"/>
        <v>6.63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6.63</v>
      </c>
      <c r="DB22" s="136"/>
      <c r="DC22" s="137">
        <f t="shared" si="31"/>
        <v>6.63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7.0</v>
      </c>
      <c r="E23" s="140"/>
      <c r="F23" s="139">
        <v>10.0</v>
      </c>
      <c r="G23" s="140"/>
      <c r="H23" s="139">
        <v>10.0</v>
      </c>
      <c r="I23" s="140"/>
      <c r="J23" s="139">
        <v>10.0</v>
      </c>
      <c r="K23" s="140"/>
      <c r="L23" s="62"/>
      <c r="M23" s="62"/>
      <c r="N23" s="144">
        <v>7.0</v>
      </c>
      <c r="O23" s="143"/>
      <c r="P23" s="144">
        <v>10.0</v>
      </c>
      <c r="Q23" s="143"/>
      <c r="R23" s="144">
        <v>10.0</v>
      </c>
      <c r="S23" s="143"/>
      <c r="T23" s="141"/>
      <c r="U23" s="141"/>
      <c r="V23" s="62">
        <f t="shared" si="9"/>
        <v>6.398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8.97</v>
      </c>
      <c r="AC23" s="2"/>
      <c r="AE23" s="56">
        <v>12.0</v>
      </c>
      <c r="AF23" s="124" t="str">
        <f t="shared" ref="AF23:AG23" si="69">B23</f>
        <v/>
      </c>
      <c r="AG23" s="65" t="str">
        <f t="shared" si="69"/>
        <v>Espinoza Morante Melany Ginger</v>
      </c>
      <c r="AH23" s="139">
        <v>7.0</v>
      </c>
      <c r="AI23" s="140"/>
      <c r="AJ23" s="139">
        <v>9.0</v>
      </c>
      <c r="AK23" s="140"/>
      <c r="AL23" s="139">
        <v>10.0</v>
      </c>
      <c r="AM23" s="140"/>
      <c r="AN23" s="140"/>
      <c r="AO23" s="140"/>
      <c r="AP23" s="62"/>
      <c r="AQ23" s="62"/>
      <c r="AR23" s="62"/>
      <c r="AS23" s="143"/>
      <c r="AT23" s="121">
        <v>10.0</v>
      </c>
      <c r="AU23" s="143"/>
      <c r="AV23" s="143"/>
      <c r="AW23" s="143"/>
      <c r="AX23" s="141"/>
      <c r="AY23" s="141"/>
      <c r="AZ23" s="62">
        <f t="shared" si="14"/>
        <v>6.3</v>
      </c>
      <c r="BA23" s="121">
        <v>10.0</v>
      </c>
      <c r="BB23" s="123">
        <f>'PROY. INTER'!AX23</f>
        <v>10</v>
      </c>
      <c r="BC23" s="62">
        <f t="shared" si="15"/>
        <v>10</v>
      </c>
      <c r="BD23" s="62">
        <f t="shared" si="16"/>
        <v>3</v>
      </c>
      <c r="BE23" s="64">
        <f t="shared" si="17"/>
        <v>9.3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8.97</v>
      </c>
      <c r="CQ23" s="129">
        <f t="shared" si="25"/>
        <v>9.3</v>
      </c>
      <c r="CR23" s="129">
        <f t="shared" si="26"/>
        <v>0</v>
      </c>
      <c r="CS23" s="130">
        <f t="shared" si="27"/>
        <v>6.09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6.09</v>
      </c>
      <c r="DB23" s="136"/>
      <c r="DC23" s="137">
        <f t="shared" si="31"/>
        <v>6.09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10.0</v>
      </c>
      <c r="E24" s="140"/>
      <c r="F24" s="139">
        <v>10.0</v>
      </c>
      <c r="G24" s="140"/>
      <c r="H24" s="139">
        <v>10.0</v>
      </c>
      <c r="I24" s="140"/>
      <c r="J24" s="139">
        <v>10.0</v>
      </c>
      <c r="K24" s="140"/>
      <c r="L24" s="62"/>
      <c r="M24" s="62"/>
      <c r="N24" s="144">
        <v>10.0</v>
      </c>
      <c r="O24" s="143"/>
      <c r="P24" s="144">
        <v>10.0</v>
      </c>
      <c r="Q24" s="143"/>
      <c r="R24" s="144">
        <v>10.0</v>
      </c>
      <c r="S24" s="143"/>
      <c r="T24" s="141"/>
      <c r="U24" s="141"/>
      <c r="V24" s="62">
        <f t="shared" si="9"/>
        <v>7</v>
      </c>
      <c r="W24" s="121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9.85</v>
      </c>
      <c r="AC24" s="2"/>
      <c r="AE24" s="56">
        <v>13.0</v>
      </c>
      <c r="AF24" s="124" t="str">
        <f t="shared" ref="AF24:AG24" si="73">B24</f>
        <v/>
      </c>
      <c r="AG24" s="65" t="str">
        <f t="shared" si="73"/>
        <v>Garrido franco Génesis Lissette</v>
      </c>
      <c r="AH24" s="139">
        <v>10.0</v>
      </c>
      <c r="AI24" s="140"/>
      <c r="AJ24" s="139">
        <v>10.0</v>
      </c>
      <c r="AK24" s="140"/>
      <c r="AL24" s="139">
        <v>10.0</v>
      </c>
      <c r="AM24" s="140"/>
      <c r="AN24" s="140"/>
      <c r="AO24" s="140"/>
      <c r="AP24" s="62"/>
      <c r="AQ24" s="62"/>
      <c r="AR24" s="62"/>
      <c r="AS24" s="143"/>
      <c r="AT24" s="121">
        <v>10.0</v>
      </c>
      <c r="AU24" s="143"/>
      <c r="AV24" s="143"/>
      <c r="AW24" s="143"/>
      <c r="AX24" s="141"/>
      <c r="AY24" s="141"/>
      <c r="AZ24" s="62">
        <f t="shared" si="14"/>
        <v>7</v>
      </c>
      <c r="BA24" s="121">
        <v>10.0</v>
      </c>
      <c r="BB24" s="123">
        <f>'PROY. INTER'!AX24</f>
        <v>10</v>
      </c>
      <c r="BC24" s="62">
        <f t="shared" si="15"/>
        <v>10</v>
      </c>
      <c r="BD24" s="62">
        <f t="shared" si="16"/>
        <v>3</v>
      </c>
      <c r="BE24" s="64">
        <f t="shared" si="17"/>
        <v>10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9.85</v>
      </c>
      <c r="CQ24" s="129">
        <f t="shared" si="25"/>
        <v>10</v>
      </c>
      <c r="CR24" s="129">
        <f t="shared" si="26"/>
        <v>0</v>
      </c>
      <c r="CS24" s="130">
        <f t="shared" si="27"/>
        <v>6.61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6.61</v>
      </c>
      <c r="DB24" s="136"/>
      <c r="DC24" s="137">
        <f t="shared" si="31"/>
        <v>6.61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9.0</v>
      </c>
      <c r="E25" s="140"/>
      <c r="F25" s="139">
        <v>5.0</v>
      </c>
      <c r="G25" s="140"/>
      <c r="H25" s="139">
        <v>5.0</v>
      </c>
      <c r="I25" s="140"/>
      <c r="J25" s="139">
        <v>7.0</v>
      </c>
      <c r="K25" s="140"/>
      <c r="L25" s="62"/>
      <c r="M25" s="62"/>
      <c r="N25" s="144">
        <v>7.0</v>
      </c>
      <c r="O25" s="143"/>
      <c r="P25" s="144">
        <v>5.0</v>
      </c>
      <c r="Q25" s="143"/>
      <c r="R25" s="144">
        <v>5.0</v>
      </c>
      <c r="S25" s="143"/>
      <c r="T25" s="141"/>
      <c r="U25" s="141"/>
      <c r="V25" s="62">
        <f t="shared" si="9"/>
        <v>4.298</v>
      </c>
      <c r="W25" s="121">
        <v>7.0</v>
      </c>
      <c r="X25" s="123">
        <f>'PROY. INTER'!W25</f>
        <v>6</v>
      </c>
      <c r="Y25" s="62">
        <f t="shared" si="10"/>
        <v>6.5</v>
      </c>
      <c r="Z25" s="62">
        <f t="shared" si="11"/>
        <v>1.95</v>
      </c>
      <c r="AA25" s="64">
        <f t="shared" si="12"/>
        <v>6.24</v>
      </c>
      <c r="AC25" s="2"/>
      <c r="AE25" s="56">
        <v>14.0</v>
      </c>
      <c r="AF25" s="124" t="str">
        <f t="shared" ref="AF25:AG25" si="77">B25</f>
        <v/>
      </c>
      <c r="AG25" s="65" t="str">
        <f t="shared" si="77"/>
        <v>Gonzalez Gonzalez Jean Carlos</v>
      </c>
      <c r="AH25" s="139">
        <v>8.0</v>
      </c>
      <c r="AI25" s="140"/>
      <c r="AJ25" s="139">
        <v>8.0</v>
      </c>
      <c r="AK25" s="139"/>
      <c r="AL25" s="139">
        <v>8.0</v>
      </c>
      <c r="AM25" s="140"/>
      <c r="AN25" s="140"/>
      <c r="AO25" s="140"/>
      <c r="AP25" s="62"/>
      <c r="AQ25" s="62"/>
      <c r="AR25" s="62"/>
      <c r="AS25" s="143"/>
      <c r="AT25" s="121">
        <v>10.0</v>
      </c>
      <c r="AU25" s="143"/>
      <c r="AV25" s="143"/>
      <c r="AW25" s="143"/>
      <c r="AX25" s="141"/>
      <c r="AY25" s="141"/>
      <c r="AZ25" s="62">
        <f t="shared" si="14"/>
        <v>5.95</v>
      </c>
      <c r="BA25" s="121">
        <v>6.0</v>
      </c>
      <c r="BB25" s="123">
        <f>'PROY. INTER'!AX25</f>
        <v>10</v>
      </c>
      <c r="BC25" s="62">
        <f t="shared" si="15"/>
        <v>8</v>
      </c>
      <c r="BD25" s="62">
        <f t="shared" si="16"/>
        <v>2.4</v>
      </c>
      <c r="BE25" s="64">
        <f t="shared" si="17"/>
        <v>8.35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6.24</v>
      </c>
      <c r="CQ25" s="129">
        <f t="shared" si="25"/>
        <v>8.35</v>
      </c>
      <c r="CR25" s="129">
        <f t="shared" si="26"/>
        <v>0</v>
      </c>
      <c r="CS25" s="130">
        <f t="shared" si="27"/>
        <v>4.86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4.86</v>
      </c>
      <c r="DB25" s="136"/>
      <c r="DC25" s="137">
        <f t="shared" si="31"/>
        <v>4.86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10.0</v>
      </c>
      <c r="E26" s="140"/>
      <c r="F26" s="139">
        <v>10.0</v>
      </c>
      <c r="G26" s="140"/>
      <c r="H26" s="139">
        <v>8.0</v>
      </c>
      <c r="I26" s="140"/>
      <c r="J26" s="139">
        <v>9.0</v>
      </c>
      <c r="K26" s="140"/>
      <c r="L26" s="62"/>
      <c r="M26" s="62"/>
      <c r="N26" s="144">
        <v>10.0</v>
      </c>
      <c r="O26" s="143"/>
      <c r="P26" s="144">
        <v>10.0</v>
      </c>
      <c r="Q26" s="143"/>
      <c r="R26" s="144">
        <v>9.0</v>
      </c>
      <c r="S26" s="143"/>
      <c r="T26" s="141"/>
      <c r="U26" s="141"/>
      <c r="V26" s="62">
        <f t="shared" si="9"/>
        <v>6.594</v>
      </c>
      <c r="W26" s="121">
        <v>9.0</v>
      </c>
      <c r="X26" s="123">
        <f>'PROY. INTER'!W26</f>
        <v>7.73</v>
      </c>
      <c r="Y26" s="62">
        <f t="shared" si="10"/>
        <v>8.365</v>
      </c>
      <c r="Z26" s="62">
        <f t="shared" si="11"/>
        <v>2.5095</v>
      </c>
      <c r="AA26" s="64">
        <f t="shared" si="12"/>
        <v>9.1</v>
      </c>
      <c r="AC26" s="2"/>
      <c r="AE26" s="56">
        <v>15.0</v>
      </c>
      <c r="AF26" s="124" t="str">
        <f t="shared" ref="AF26:AG26" si="81">B26</f>
        <v/>
      </c>
      <c r="AG26" s="65" t="str">
        <f t="shared" si="81"/>
        <v>Guevara Benites Jean Pierre</v>
      </c>
      <c r="AH26" s="139">
        <v>7.0</v>
      </c>
      <c r="AI26" s="140"/>
      <c r="AJ26" s="139">
        <v>10.0</v>
      </c>
      <c r="AK26" s="140"/>
      <c r="AL26" s="139">
        <v>10.0</v>
      </c>
      <c r="AM26" s="140"/>
      <c r="AN26" s="140"/>
      <c r="AO26" s="140"/>
      <c r="AP26" s="62"/>
      <c r="AQ26" s="62"/>
      <c r="AR26" s="62"/>
      <c r="AS26" s="143"/>
      <c r="AT26" s="121">
        <v>10.0</v>
      </c>
      <c r="AU26" s="143"/>
      <c r="AV26" s="143"/>
      <c r="AW26" s="143"/>
      <c r="AX26" s="141"/>
      <c r="AY26" s="141"/>
      <c r="AZ26" s="62">
        <f t="shared" si="14"/>
        <v>6.475</v>
      </c>
      <c r="BA26" s="121">
        <v>8.0</v>
      </c>
      <c r="BB26" s="123">
        <f>'PROY. INTER'!AX26</f>
        <v>10</v>
      </c>
      <c r="BC26" s="62">
        <f t="shared" si="15"/>
        <v>9</v>
      </c>
      <c r="BD26" s="62">
        <f t="shared" si="16"/>
        <v>2.7</v>
      </c>
      <c r="BE26" s="64">
        <f t="shared" si="17"/>
        <v>9.17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9.1</v>
      </c>
      <c r="CQ26" s="129">
        <f t="shared" si="25"/>
        <v>9.17</v>
      </c>
      <c r="CR26" s="129">
        <f t="shared" si="26"/>
        <v>0</v>
      </c>
      <c r="CS26" s="130">
        <f t="shared" si="27"/>
        <v>6.09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6.09</v>
      </c>
      <c r="DB26" s="136"/>
      <c r="DC26" s="137">
        <f t="shared" si="31"/>
        <v>6.09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7.0</v>
      </c>
      <c r="E27" s="140"/>
      <c r="F27" s="139">
        <v>7.0</v>
      </c>
      <c r="G27" s="140"/>
      <c r="H27" s="139">
        <v>8.0</v>
      </c>
      <c r="I27" s="140"/>
      <c r="J27" s="139">
        <v>8.0</v>
      </c>
      <c r="K27" s="140"/>
      <c r="L27" s="62"/>
      <c r="M27" s="62"/>
      <c r="N27" s="144">
        <v>5.0</v>
      </c>
      <c r="O27" s="143"/>
      <c r="P27" s="144">
        <v>7.0</v>
      </c>
      <c r="Q27" s="143"/>
      <c r="R27" s="144">
        <v>8.0</v>
      </c>
      <c r="S27" s="143"/>
      <c r="T27" s="141"/>
      <c r="U27" s="141"/>
      <c r="V27" s="62">
        <f t="shared" si="9"/>
        <v>4.998</v>
      </c>
      <c r="W27" s="121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12"/>
        <v>6.94</v>
      </c>
      <c r="AC27" s="2"/>
      <c r="AE27" s="56">
        <v>16.0</v>
      </c>
      <c r="AF27" s="124" t="str">
        <f t="shared" ref="AF27:AG27" si="85">B27</f>
        <v/>
      </c>
      <c r="AG27" s="65" t="str">
        <f t="shared" si="85"/>
        <v>Mero Carcamo Adriana Carolina</v>
      </c>
      <c r="AH27" s="139">
        <v>7.0</v>
      </c>
      <c r="AI27" s="140"/>
      <c r="AJ27" s="139">
        <v>7.0</v>
      </c>
      <c r="AK27" s="140"/>
      <c r="AL27" s="139">
        <v>10.0</v>
      </c>
      <c r="AM27" s="140"/>
      <c r="AN27" s="140"/>
      <c r="AO27" s="140"/>
      <c r="AP27" s="62"/>
      <c r="AQ27" s="62"/>
      <c r="AR27" s="62"/>
      <c r="AS27" s="143"/>
      <c r="AT27" s="121">
        <v>10.0</v>
      </c>
      <c r="AU27" s="143"/>
      <c r="AV27" s="143"/>
      <c r="AW27" s="143"/>
      <c r="AX27" s="141"/>
      <c r="AY27" s="141"/>
      <c r="AZ27" s="62">
        <f t="shared" si="14"/>
        <v>5.95</v>
      </c>
      <c r="BA27" s="121">
        <v>7.0</v>
      </c>
      <c r="BB27" s="123">
        <f>'PROY. INTER'!AX27</f>
        <v>2</v>
      </c>
      <c r="BC27" s="62">
        <f t="shared" si="15"/>
        <v>4.5</v>
      </c>
      <c r="BD27" s="62">
        <f t="shared" si="16"/>
        <v>1.35</v>
      </c>
      <c r="BE27" s="64">
        <f t="shared" si="17"/>
        <v>7.3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6.94</v>
      </c>
      <c r="CQ27" s="129">
        <f t="shared" si="25"/>
        <v>7.3</v>
      </c>
      <c r="CR27" s="129">
        <f t="shared" si="26"/>
        <v>0</v>
      </c>
      <c r="CS27" s="130">
        <f t="shared" si="27"/>
        <v>4.74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4.74</v>
      </c>
      <c r="DB27" s="136"/>
      <c r="DC27" s="137">
        <f t="shared" si="31"/>
        <v>4.74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10.0</v>
      </c>
      <c r="E28" s="140"/>
      <c r="F28" s="139">
        <v>10.0</v>
      </c>
      <c r="G28" s="140"/>
      <c r="H28" s="139">
        <v>10.0</v>
      </c>
      <c r="I28" s="140"/>
      <c r="J28" s="139">
        <v>10.0</v>
      </c>
      <c r="K28" s="140"/>
      <c r="L28" s="62"/>
      <c r="M28" s="62"/>
      <c r="N28" s="144">
        <v>10.0</v>
      </c>
      <c r="O28" s="143"/>
      <c r="P28" s="144">
        <v>10.0</v>
      </c>
      <c r="Q28" s="143"/>
      <c r="R28" s="144">
        <v>10.0</v>
      </c>
      <c r="S28" s="143"/>
      <c r="T28" s="141"/>
      <c r="U28" s="141"/>
      <c r="V28" s="62">
        <f t="shared" si="9"/>
        <v>7</v>
      </c>
      <c r="W28" s="121">
        <v>8.0</v>
      </c>
      <c r="X28" s="123">
        <f>'PROY. INTER'!W28</f>
        <v>9.73</v>
      </c>
      <c r="Y28" s="62">
        <f t="shared" si="10"/>
        <v>8.865</v>
      </c>
      <c r="Z28" s="62">
        <f t="shared" si="11"/>
        <v>2.6595</v>
      </c>
      <c r="AA28" s="64">
        <f t="shared" si="12"/>
        <v>9.65</v>
      </c>
      <c r="AC28" s="2"/>
      <c r="AE28" s="56">
        <v>17.0</v>
      </c>
      <c r="AF28" s="124" t="str">
        <f t="shared" ref="AF28:AG28" si="89">B28</f>
        <v/>
      </c>
      <c r="AG28" s="65" t="str">
        <f t="shared" si="89"/>
        <v>Moreira Villamar Darwin Matias</v>
      </c>
      <c r="AH28" s="139">
        <v>10.0</v>
      </c>
      <c r="AI28" s="140"/>
      <c r="AJ28" s="139">
        <v>10.0</v>
      </c>
      <c r="AK28" s="140"/>
      <c r="AL28" s="139">
        <v>10.0</v>
      </c>
      <c r="AM28" s="140"/>
      <c r="AN28" s="140"/>
      <c r="AO28" s="140"/>
      <c r="AP28" s="62"/>
      <c r="AQ28" s="62"/>
      <c r="AR28" s="62"/>
      <c r="AS28" s="143"/>
      <c r="AT28" s="121">
        <v>10.0</v>
      </c>
      <c r="AU28" s="143"/>
      <c r="AV28" s="143"/>
      <c r="AW28" s="143"/>
      <c r="AX28" s="141"/>
      <c r="AY28" s="141"/>
      <c r="AZ28" s="62">
        <f t="shared" si="14"/>
        <v>7</v>
      </c>
      <c r="BA28" s="121">
        <v>10.0</v>
      </c>
      <c r="BB28" s="123">
        <f>'PROY. INTER'!AX28</f>
        <v>10</v>
      </c>
      <c r="BC28" s="62">
        <f t="shared" si="15"/>
        <v>10</v>
      </c>
      <c r="BD28" s="62">
        <f t="shared" si="16"/>
        <v>3</v>
      </c>
      <c r="BE28" s="64">
        <f t="shared" si="17"/>
        <v>10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9.65</v>
      </c>
      <c r="CQ28" s="129">
        <f t="shared" si="25"/>
        <v>10</v>
      </c>
      <c r="CR28" s="129">
        <f t="shared" si="26"/>
        <v>0</v>
      </c>
      <c r="CS28" s="130">
        <f t="shared" si="27"/>
        <v>6.55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6.55</v>
      </c>
      <c r="DB28" s="136"/>
      <c r="DC28" s="137">
        <f t="shared" si="31"/>
        <v>6.55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40"/>
      <c r="F29" s="139">
        <v>10.0</v>
      </c>
      <c r="G29" s="140"/>
      <c r="H29" s="139">
        <v>7.0</v>
      </c>
      <c r="I29" s="140"/>
      <c r="J29" s="139">
        <v>9.0</v>
      </c>
      <c r="K29" s="140"/>
      <c r="L29" s="62"/>
      <c r="M29" s="62"/>
      <c r="N29" s="144">
        <v>10.0</v>
      </c>
      <c r="O29" s="143"/>
      <c r="P29" s="144">
        <v>8.0</v>
      </c>
      <c r="Q29" s="143"/>
      <c r="R29" s="144">
        <v>9.0</v>
      </c>
      <c r="S29" s="143"/>
      <c r="T29" s="141"/>
      <c r="U29" s="141"/>
      <c r="V29" s="62">
        <f t="shared" si="9"/>
        <v>6.3</v>
      </c>
      <c r="W29" s="121">
        <v>8.0</v>
      </c>
      <c r="X29" s="123">
        <f>'PROY. INTER'!W29</f>
        <v>9.2</v>
      </c>
      <c r="Y29" s="62">
        <f t="shared" si="10"/>
        <v>8.6</v>
      </c>
      <c r="Z29" s="62">
        <f t="shared" si="11"/>
        <v>2.58</v>
      </c>
      <c r="AA29" s="64">
        <f t="shared" si="12"/>
        <v>8.88</v>
      </c>
      <c r="AC29" s="2"/>
      <c r="AE29" s="56">
        <v>18.0</v>
      </c>
      <c r="AF29" s="124" t="str">
        <f t="shared" ref="AF29:AG29" si="93">B29</f>
        <v/>
      </c>
      <c r="AG29" s="65" t="str">
        <f t="shared" si="93"/>
        <v>Peña Macias Enrique Alexander</v>
      </c>
      <c r="AH29" s="139">
        <v>7.0</v>
      </c>
      <c r="AI29" s="140"/>
      <c r="AJ29" s="139">
        <v>9.0</v>
      </c>
      <c r="AK29" s="140"/>
      <c r="AL29" s="139">
        <v>10.0</v>
      </c>
      <c r="AM29" s="140"/>
      <c r="AN29" s="140"/>
      <c r="AO29" s="140"/>
      <c r="AP29" s="62"/>
      <c r="AQ29" s="62"/>
      <c r="AR29" s="62"/>
      <c r="AS29" s="143"/>
      <c r="AT29" s="121">
        <v>10.0</v>
      </c>
      <c r="AU29" s="143"/>
      <c r="AV29" s="143"/>
      <c r="AW29" s="143"/>
      <c r="AX29" s="141"/>
      <c r="AY29" s="141"/>
      <c r="AZ29" s="62">
        <f t="shared" si="14"/>
        <v>6.3</v>
      </c>
      <c r="BA29" s="121">
        <v>8.0</v>
      </c>
      <c r="BB29" s="123">
        <f>'PROY. INTER'!AX29</f>
        <v>10</v>
      </c>
      <c r="BC29" s="62">
        <f t="shared" si="15"/>
        <v>9</v>
      </c>
      <c r="BD29" s="62">
        <f t="shared" si="16"/>
        <v>2.7</v>
      </c>
      <c r="BE29" s="64">
        <f t="shared" si="17"/>
        <v>9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8.88</v>
      </c>
      <c r="CQ29" s="129">
        <f t="shared" si="25"/>
        <v>9</v>
      </c>
      <c r="CR29" s="129">
        <f t="shared" si="26"/>
        <v>0</v>
      </c>
      <c r="CS29" s="130">
        <f t="shared" si="27"/>
        <v>5.96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5.96</v>
      </c>
      <c r="DB29" s="136"/>
      <c r="DC29" s="137">
        <f t="shared" si="31"/>
        <v>5.96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9.0</v>
      </c>
      <c r="E30" s="140"/>
      <c r="F30" s="139">
        <v>10.0</v>
      </c>
      <c r="G30" s="140"/>
      <c r="H30" s="139">
        <v>8.0</v>
      </c>
      <c r="I30" s="140"/>
      <c r="J30" s="139">
        <v>7.0</v>
      </c>
      <c r="K30" s="140"/>
      <c r="L30" s="62"/>
      <c r="M30" s="62"/>
      <c r="N30" s="144">
        <v>10.0</v>
      </c>
      <c r="O30" s="143"/>
      <c r="P30" s="144">
        <v>10.0</v>
      </c>
      <c r="Q30" s="143"/>
      <c r="R30" s="144">
        <v>7.0</v>
      </c>
      <c r="S30" s="143"/>
      <c r="T30" s="141"/>
      <c r="U30" s="141"/>
      <c r="V30" s="62">
        <f t="shared" si="9"/>
        <v>6.097</v>
      </c>
      <c r="W30" s="121">
        <v>8.0</v>
      </c>
      <c r="X30" s="123">
        <f>'PROY. INTER'!W30</f>
        <v>9.47</v>
      </c>
      <c r="Y30" s="62">
        <f t="shared" si="10"/>
        <v>8.735</v>
      </c>
      <c r="Z30" s="62">
        <f t="shared" si="11"/>
        <v>2.6205</v>
      </c>
      <c r="AA30" s="64">
        <f t="shared" si="12"/>
        <v>8.71</v>
      </c>
      <c r="AC30" s="2"/>
      <c r="AE30" s="56">
        <v>19.0</v>
      </c>
      <c r="AF30" s="124" t="str">
        <f t="shared" ref="AF30:AG30" si="97">B30</f>
        <v/>
      </c>
      <c r="AG30" s="65" t="str">
        <f t="shared" si="97"/>
        <v>Roman Arreaga Stefani Asley</v>
      </c>
      <c r="AH30" s="139">
        <v>8.0</v>
      </c>
      <c r="AI30" s="140"/>
      <c r="AJ30" s="139">
        <v>9.0</v>
      </c>
      <c r="AK30" s="140"/>
      <c r="AL30" s="139">
        <v>10.0</v>
      </c>
      <c r="AM30" s="140"/>
      <c r="AN30" s="140"/>
      <c r="AO30" s="140"/>
      <c r="AP30" s="62"/>
      <c r="AQ30" s="62"/>
      <c r="AR30" s="62"/>
      <c r="AS30" s="143"/>
      <c r="AT30" s="121">
        <v>10.0</v>
      </c>
      <c r="AU30" s="143"/>
      <c r="AV30" s="143"/>
      <c r="AW30" s="143"/>
      <c r="AX30" s="141"/>
      <c r="AY30" s="141"/>
      <c r="AZ30" s="62">
        <f t="shared" si="14"/>
        <v>6.475</v>
      </c>
      <c r="BA30" s="121">
        <v>8.0</v>
      </c>
      <c r="BB30" s="123">
        <f>'PROY. INTER'!AX30</f>
        <v>10</v>
      </c>
      <c r="BC30" s="62">
        <f t="shared" si="15"/>
        <v>9</v>
      </c>
      <c r="BD30" s="62">
        <f t="shared" si="16"/>
        <v>2.7</v>
      </c>
      <c r="BE30" s="64">
        <f t="shared" si="17"/>
        <v>9.17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8.71</v>
      </c>
      <c r="CQ30" s="129">
        <f t="shared" si="25"/>
        <v>9.17</v>
      </c>
      <c r="CR30" s="129">
        <f t="shared" si="26"/>
        <v>0</v>
      </c>
      <c r="CS30" s="130">
        <f t="shared" si="27"/>
        <v>5.96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5.96</v>
      </c>
      <c r="DB30" s="136"/>
      <c r="DC30" s="137">
        <f t="shared" si="31"/>
        <v>5.96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40"/>
      <c r="F31" s="139">
        <v>10.0</v>
      </c>
      <c r="G31" s="140"/>
      <c r="H31" s="139">
        <v>10.0</v>
      </c>
      <c r="I31" s="140"/>
      <c r="J31" s="139">
        <v>10.0</v>
      </c>
      <c r="K31" s="140"/>
      <c r="L31" s="62"/>
      <c r="M31" s="62"/>
      <c r="N31" s="144">
        <v>10.0</v>
      </c>
      <c r="O31" s="143"/>
      <c r="P31" s="144">
        <v>10.0</v>
      </c>
      <c r="Q31" s="143"/>
      <c r="R31" s="144">
        <v>10.0</v>
      </c>
      <c r="S31" s="143"/>
      <c r="T31" s="141"/>
      <c r="U31" s="141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65" t="str">
        <f t="shared" si="101"/>
        <v>Sánchez Ponce Sandra Stefania</v>
      </c>
      <c r="AH31" s="139">
        <v>10.0</v>
      </c>
      <c r="AI31" s="140"/>
      <c r="AJ31" s="139">
        <v>10.0</v>
      </c>
      <c r="AK31" s="140"/>
      <c r="AL31" s="139">
        <v>10.0</v>
      </c>
      <c r="AM31" s="140"/>
      <c r="AN31" s="140"/>
      <c r="AO31" s="140"/>
      <c r="AP31" s="62"/>
      <c r="AQ31" s="62"/>
      <c r="AR31" s="62"/>
      <c r="AS31" s="143"/>
      <c r="AT31" s="121">
        <v>10.0</v>
      </c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7.0</v>
      </c>
      <c r="E32" s="140"/>
      <c r="F32" s="139">
        <v>7.0</v>
      </c>
      <c r="G32" s="140"/>
      <c r="H32" s="139">
        <v>7.0</v>
      </c>
      <c r="I32" s="140"/>
      <c r="J32" s="139">
        <v>7.0</v>
      </c>
      <c r="K32" s="140"/>
      <c r="L32" s="62"/>
      <c r="M32" s="62"/>
      <c r="N32" s="144">
        <v>7.0</v>
      </c>
      <c r="O32" s="143"/>
      <c r="P32" s="144">
        <v>7.0</v>
      </c>
      <c r="Q32" s="143"/>
      <c r="R32" s="144">
        <v>8.0</v>
      </c>
      <c r="S32" s="143"/>
      <c r="T32" s="141"/>
      <c r="U32" s="141"/>
      <c r="V32" s="62">
        <f t="shared" si="9"/>
        <v>4.998</v>
      </c>
      <c r="W32" s="121">
        <v>8.0</v>
      </c>
      <c r="X32" s="123">
        <f>'PROY. INTER'!W32</f>
        <v>6.47</v>
      </c>
      <c r="Y32" s="62">
        <f t="shared" si="10"/>
        <v>7.235</v>
      </c>
      <c r="Z32" s="62">
        <f t="shared" si="11"/>
        <v>2.1705</v>
      </c>
      <c r="AA32" s="64">
        <f t="shared" si="12"/>
        <v>7.16</v>
      </c>
      <c r="AC32" s="2"/>
      <c r="AE32" s="56">
        <v>21.0</v>
      </c>
      <c r="AF32" s="124" t="str">
        <f t="shared" ref="AF32:AG32" si="105">B32</f>
        <v/>
      </c>
      <c r="AG32" s="65" t="str">
        <f t="shared" si="105"/>
        <v>Torres Vera Anderson</v>
      </c>
      <c r="AH32" s="139">
        <v>7.0</v>
      </c>
      <c r="AI32" s="140"/>
      <c r="AJ32" s="139">
        <v>8.0</v>
      </c>
      <c r="AK32" s="140"/>
      <c r="AL32" s="139">
        <v>10.0</v>
      </c>
      <c r="AM32" s="140"/>
      <c r="AN32" s="140"/>
      <c r="AO32" s="140"/>
      <c r="AP32" s="62"/>
      <c r="AQ32" s="62"/>
      <c r="AR32" s="62"/>
      <c r="AS32" s="143"/>
      <c r="AT32" s="121">
        <v>10.0</v>
      </c>
      <c r="AU32" s="143"/>
      <c r="AV32" s="143"/>
      <c r="AW32" s="143"/>
      <c r="AX32" s="141"/>
      <c r="AY32" s="141"/>
      <c r="AZ32" s="62">
        <f t="shared" si="14"/>
        <v>6.125</v>
      </c>
      <c r="BA32" s="121">
        <v>8.0</v>
      </c>
      <c r="BB32" s="123">
        <f>'PROY. INTER'!AX32</f>
        <v>10</v>
      </c>
      <c r="BC32" s="62">
        <f t="shared" si="15"/>
        <v>9</v>
      </c>
      <c r="BD32" s="62">
        <f t="shared" si="16"/>
        <v>2.7</v>
      </c>
      <c r="BE32" s="64">
        <f t="shared" si="17"/>
        <v>8.82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7.16</v>
      </c>
      <c r="CQ32" s="129">
        <f t="shared" si="25"/>
        <v>8.82</v>
      </c>
      <c r="CR32" s="129">
        <f t="shared" si="26"/>
        <v>0</v>
      </c>
      <c r="CS32" s="130">
        <f t="shared" si="27"/>
        <v>5.32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5.32</v>
      </c>
      <c r="DB32" s="136"/>
      <c r="DC32" s="137">
        <f t="shared" si="31"/>
        <v>5.32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10.0</v>
      </c>
      <c r="E33" s="140"/>
      <c r="F33" s="139">
        <v>8.0</v>
      </c>
      <c r="G33" s="140"/>
      <c r="H33" s="139">
        <v>8.0</v>
      </c>
      <c r="I33" s="140"/>
      <c r="J33" s="139">
        <v>8.0</v>
      </c>
      <c r="K33" s="140"/>
      <c r="L33" s="62"/>
      <c r="M33" s="62"/>
      <c r="N33" s="144">
        <v>10.0</v>
      </c>
      <c r="O33" s="143"/>
      <c r="P33" s="144">
        <v>10.0</v>
      </c>
      <c r="Q33" s="143"/>
      <c r="R33" s="144">
        <v>7.0</v>
      </c>
      <c r="S33" s="143"/>
      <c r="T33" s="141"/>
      <c r="U33" s="141"/>
      <c r="V33" s="62">
        <f t="shared" si="9"/>
        <v>6.097</v>
      </c>
      <c r="W33" s="121">
        <v>8.0</v>
      </c>
      <c r="X33" s="123">
        <f>'PROY. INTER'!W33</f>
        <v>9.2</v>
      </c>
      <c r="Y33" s="62">
        <f t="shared" si="10"/>
        <v>8.6</v>
      </c>
      <c r="Z33" s="62">
        <f t="shared" si="11"/>
        <v>2.58</v>
      </c>
      <c r="AA33" s="64">
        <f t="shared" si="12"/>
        <v>8.67</v>
      </c>
      <c r="AC33" s="2"/>
      <c r="AE33" s="56">
        <v>22.0</v>
      </c>
      <c r="AF33" s="124" t="str">
        <f t="shared" ref="AF33:AG33" si="109">B33</f>
        <v/>
      </c>
      <c r="AG33" s="65" t="str">
        <f t="shared" si="109"/>
        <v>Valero Pefiafiel Carlos José</v>
      </c>
      <c r="AH33" s="139">
        <v>7.0</v>
      </c>
      <c r="AI33" s="140"/>
      <c r="AJ33" s="139">
        <v>8.0</v>
      </c>
      <c r="AK33" s="140"/>
      <c r="AL33" s="139">
        <v>10.0</v>
      </c>
      <c r="AM33" s="140"/>
      <c r="AN33" s="140"/>
      <c r="AO33" s="140"/>
      <c r="AP33" s="62"/>
      <c r="AQ33" s="62"/>
      <c r="AR33" s="62"/>
      <c r="AS33" s="143"/>
      <c r="AT33" s="121">
        <v>10.0</v>
      </c>
      <c r="AU33" s="143"/>
      <c r="AV33" s="143"/>
      <c r="AW33" s="143"/>
      <c r="AX33" s="141"/>
      <c r="AY33" s="141"/>
      <c r="AZ33" s="62">
        <f t="shared" si="14"/>
        <v>6.125</v>
      </c>
      <c r="BA33" s="121">
        <v>7.0</v>
      </c>
      <c r="BB33" s="123">
        <f>'PROY. INTER'!AX33</f>
        <v>10</v>
      </c>
      <c r="BC33" s="62">
        <f t="shared" si="15"/>
        <v>8.5</v>
      </c>
      <c r="BD33" s="62">
        <f t="shared" si="16"/>
        <v>2.55</v>
      </c>
      <c r="BE33" s="64">
        <f t="shared" si="17"/>
        <v>8.67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8.67</v>
      </c>
      <c r="CQ33" s="129">
        <f t="shared" si="25"/>
        <v>8.67</v>
      </c>
      <c r="CR33" s="129">
        <f t="shared" si="26"/>
        <v>0</v>
      </c>
      <c r="CS33" s="130">
        <f t="shared" si="27"/>
        <v>5.78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5.78</v>
      </c>
      <c r="DB33" s="136"/>
      <c r="DC33" s="137">
        <f t="shared" si="31"/>
        <v>5.78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7.0</v>
      </c>
      <c r="E34" s="140"/>
      <c r="F34" s="139">
        <v>10.0</v>
      </c>
      <c r="G34" s="140"/>
      <c r="H34" s="139">
        <v>7.0</v>
      </c>
      <c r="I34" s="140"/>
      <c r="J34" s="139">
        <v>9.0</v>
      </c>
      <c r="K34" s="140"/>
      <c r="L34" s="62"/>
      <c r="M34" s="62"/>
      <c r="N34" s="144">
        <v>5.0</v>
      </c>
      <c r="O34" s="143"/>
      <c r="P34" s="144">
        <v>10.0</v>
      </c>
      <c r="Q34" s="143"/>
      <c r="R34" s="144">
        <v>9.0</v>
      </c>
      <c r="S34" s="143"/>
      <c r="T34" s="141"/>
      <c r="U34" s="141"/>
      <c r="V34" s="62">
        <f t="shared" si="9"/>
        <v>5.698</v>
      </c>
      <c r="W34" s="121">
        <v>9.0</v>
      </c>
      <c r="X34" s="123">
        <f>'PROY. INTER'!W34</f>
        <v>7.33</v>
      </c>
      <c r="Y34" s="62">
        <f t="shared" si="10"/>
        <v>8.165</v>
      </c>
      <c r="Z34" s="62">
        <f t="shared" si="11"/>
        <v>2.4495</v>
      </c>
      <c r="AA34" s="64">
        <f t="shared" si="12"/>
        <v>8.14</v>
      </c>
      <c r="AC34" s="2"/>
      <c r="AE34" s="56">
        <v>23.0</v>
      </c>
      <c r="AF34" s="124" t="str">
        <f t="shared" ref="AF34:AG34" si="113">B34</f>
        <v/>
      </c>
      <c r="AG34" s="65" t="str">
        <f t="shared" si="113"/>
        <v>Veliz chicaiza Alex isaac</v>
      </c>
      <c r="AH34" s="139">
        <v>7.0</v>
      </c>
      <c r="AI34" s="140"/>
      <c r="AJ34" s="139">
        <v>8.0</v>
      </c>
      <c r="AK34" s="140"/>
      <c r="AL34" s="139">
        <v>10.0</v>
      </c>
      <c r="AM34" s="140"/>
      <c r="AN34" s="140"/>
      <c r="AO34" s="140"/>
      <c r="AP34" s="62"/>
      <c r="AQ34" s="62"/>
      <c r="AR34" s="62"/>
      <c r="AS34" s="143"/>
      <c r="AT34" s="121">
        <v>10.0</v>
      </c>
      <c r="AU34" s="143"/>
      <c r="AV34" s="143"/>
      <c r="AW34" s="143"/>
      <c r="AX34" s="141"/>
      <c r="AY34" s="141"/>
      <c r="AZ34" s="62">
        <f t="shared" si="14"/>
        <v>6.125</v>
      </c>
      <c r="BA34" s="121">
        <v>7.0</v>
      </c>
      <c r="BB34" s="123">
        <f>'PROY. INTER'!AX34</f>
        <v>10</v>
      </c>
      <c r="BC34" s="62">
        <f t="shared" si="15"/>
        <v>8.5</v>
      </c>
      <c r="BD34" s="62">
        <f t="shared" si="16"/>
        <v>2.55</v>
      </c>
      <c r="BE34" s="64">
        <f t="shared" si="17"/>
        <v>8.67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8.14</v>
      </c>
      <c r="CQ34" s="129">
        <f t="shared" si="25"/>
        <v>8.67</v>
      </c>
      <c r="CR34" s="129">
        <f t="shared" si="26"/>
        <v>0</v>
      </c>
      <c r="CS34" s="130">
        <f t="shared" si="27"/>
        <v>5.6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5.6</v>
      </c>
      <c r="DB34" s="136"/>
      <c r="DC34" s="137">
        <f t="shared" si="31"/>
        <v>5.6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10.0</v>
      </c>
      <c r="E35" s="140"/>
      <c r="F35" s="139">
        <v>10.0</v>
      </c>
      <c r="G35" s="140"/>
      <c r="H35" s="139">
        <v>10.0</v>
      </c>
      <c r="I35" s="140"/>
      <c r="J35" s="139">
        <v>10.0</v>
      </c>
      <c r="K35" s="140"/>
      <c r="L35" s="62"/>
      <c r="M35" s="62"/>
      <c r="N35" s="144">
        <v>10.0</v>
      </c>
      <c r="O35" s="143"/>
      <c r="P35" s="144">
        <v>10.0</v>
      </c>
      <c r="Q35" s="143"/>
      <c r="R35" s="144">
        <v>10.0</v>
      </c>
      <c r="S35" s="143"/>
      <c r="T35" s="141"/>
      <c r="U35" s="141"/>
      <c r="V35" s="62">
        <f t="shared" si="9"/>
        <v>7</v>
      </c>
      <c r="W35" s="62"/>
      <c r="X35" s="123">
        <f>'PROY. INTER'!W35</f>
        <v>9.73</v>
      </c>
      <c r="Y35" s="62">
        <f t="shared" si="10"/>
        <v>9.73</v>
      </c>
      <c r="Z35" s="62">
        <f t="shared" si="11"/>
        <v>2.919</v>
      </c>
      <c r="AA35" s="64">
        <f t="shared" si="12"/>
        <v>9.91</v>
      </c>
      <c r="AC35" s="2"/>
      <c r="AE35" s="56">
        <v>24.0</v>
      </c>
      <c r="AF35" s="124" t="str">
        <f t="shared" ref="AF35:AG35" si="117">B35</f>
        <v/>
      </c>
      <c r="AG35" s="65" t="str">
        <f t="shared" si="117"/>
        <v>Zambrano Zhicay Victor Humberto</v>
      </c>
      <c r="AH35" s="139">
        <v>10.0</v>
      </c>
      <c r="AI35" s="140"/>
      <c r="AJ35" s="139">
        <v>10.0</v>
      </c>
      <c r="AK35" s="140"/>
      <c r="AL35" s="139">
        <v>10.0</v>
      </c>
      <c r="AM35" s="140"/>
      <c r="AN35" s="140"/>
      <c r="AO35" s="140"/>
      <c r="AP35" s="62"/>
      <c r="AQ35" s="62"/>
      <c r="AR35" s="62"/>
      <c r="AS35" s="143"/>
      <c r="AT35" s="121">
        <v>10.0</v>
      </c>
      <c r="AU35" s="143"/>
      <c r="AV35" s="143"/>
      <c r="AW35" s="143"/>
      <c r="AX35" s="141"/>
      <c r="AY35" s="141"/>
      <c r="AZ35" s="62">
        <f t="shared" si="14"/>
        <v>7</v>
      </c>
      <c r="BA35" s="121">
        <v>10.0</v>
      </c>
      <c r="BB35" s="123">
        <f>'PROY. INTER'!AX35</f>
        <v>10</v>
      </c>
      <c r="BC35" s="62">
        <f t="shared" si="15"/>
        <v>10</v>
      </c>
      <c r="BD35" s="62">
        <f t="shared" si="16"/>
        <v>3</v>
      </c>
      <c r="BE35" s="64">
        <f t="shared" si="17"/>
        <v>10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9.91</v>
      </c>
      <c r="CQ35" s="129">
        <f t="shared" si="25"/>
        <v>10</v>
      </c>
      <c r="CR35" s="129">
        <f t="shared" si="26"/>
        <v>0</v>
      </c>
      <c r="CS35" s="130">
        <f t="shared" si="27"/>
        <v>6.63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6.63</v>
      </c>
      <c r="DB35" s="136"/>
      <c r="DC35" s="137">
        <f t="shared" si="31"/>
        <v>6.63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6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6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6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6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6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6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62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5.74125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 AH12:AH35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S" sqref="BL12:CC61 CE12:CE61">
      <formula1>0.0</formula1>
      <formula2>10.0</formula2>
    </dataValidation>
    <dataValidation type="decimal" allowBlank="1" showInputMessage="1" showErrorMessage="1" prompt="EL VALOR DEBE SER ENTRE 0 Y 10 PTS" sqref="AH12:AH35 D12:U61 W12:W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179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Lic. Leticia Hernandez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Lic. Leticia Hernandez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Lic. Leticia Hernandez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Lic. Leticia Hernandez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189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EDUCACION PARA LA CIUDADANIA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EDUCACION PARA LA CIUDADANIA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EDUCACION PARA LA CIUDADANIA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EDUCACION PARA LA CIUDADANIA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190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191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192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'EDUCACION PARA LA CIUDADANIA '!CM10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19">
        <v>10.0</v>
      </c>
      <c r="F12" s="119">
        <v>10.0</v>
      </c>
      <c r="G12" s="120"/>
      <c r="H12" s="119">
        <v>10.0</v>
      </c>
      <c r="I12" s="119">
        <v>10.0</v>
      </c>
      <c r="J12" s="120"/>
      <c r="K12" s="120"/>
      <c r="L12" s="62"/>
      <c r="M12" s="62"/>
      <c r="N12" s="62"/>
      <c r="O12" s="62"/>
      <c r="P12" s="121">
        <v>10.0</v>
      </c>
      <c r="Q12" s="62"/>
      <c r="R12" s="62"/>
      <c r="S12" s="62"/>
      <c r="T12" s="122"/>
      <c r="U12" s="122"/>
      <c r="V12" s="62">
        <f t="shared" ref="V12:V61" si="9">IFERROR(TRUNC(AVERAGE(D12:U12),2),"")*70/100</f>
        <v>7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10</v>
      </c>
      <c r="AC12" s="2"/>
      <c r="AE12" s="56">
        <v>1.0</v>
      </c>
      <c r="AF12" s="124" t="str">
        <f t="shared" ref="AF12:AG12" si="5">B12</f>
        <v/>
      </c>
      <c r="AG12" s="65" t="str">
        <f t="shared" si="5"/>
        <v>Almeida Alvarado Ariana Guisela</v>
      </c>
      <c r="AH12" s="139">
        <v>10.0</v>
      </c>
      <c r="AI12" s="139">
        <v>10.0</v>
      </c>
      <c r="AJ12" s="139">
        <v>10.0</v>
      </c>
      <c r="AK12" s="139"/>
      <c r="AL12" s="139">
        <v>10.0</v>
      </c>
      <c r="AM12" s="139">
        <v>10.0</v>
      </c>
      <c r="AN12" s="140"/>
      <c r="AO12" s="140"/>
      <c r="AP12" s="62"/>
      <c r="AQ12" s="62"/>
      <c r="AR12" s="121">
        <v>10.0</v>
      </c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10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6.66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6.66</v>
      </c>
      <c r="DB12" s="136"/>
      <c r="DC12" s="137">
        <f t="shared" ref="DC12:DC61" si="31">IF(DA12&gt;=7,DA12,IF(DA12="","",IF(DB12="",AVERAGE(DA12:DB12),IF(AND(DA12&lt;4.01,DB12&lt;&gt;""),DA12,IF(DB12&lt;7,DA12,7)))))</f>
        <v>6.66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7.0</v>
      </c>
      <c r="E13" s="139">
        <v>8.0</v>
      </c>
      <c r="F13" s="139">
        <v>10.0</v>
      </c>
      <c r="G13" s="140"/>
      <c r="H13" s="139">
        <v>10.0</v>
      </c>
      <c r="I13" s="139">
        <v>10.0</v>
      </c>
      <c r="J13" s="140"/>
      <c r="K13" s="140"/>
      <c r="L13" s="62"/>
      <c r="M13" s="62"/>
      <c r="N13" s="62"/>
      <c r="O13" s="62"/>
      <c r="P13" s="121">
        <v>10.0</v>
      </c>
      <c r="Q13" s="62"/>
      <c r="R13" s="62"/>
      <c r="S13" s="62"/>
      <c r="T13" s="141"/>
      <c r="U13" s="141"/>
      <c r="V13" s="62">
        <f t="shared" si="9"/>
        <v>6.412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9.41</v>
      </c>
      <c r="AC13" s="2"/>
      <c r="AE13" s="56">
        <v>2.0</v>
      </c>
      <c r="AF13" s="124" t="str">
        <f t="shared" ref="AF13:AG13" si="13">B13</f>
        <v/>
      </c>
      <c r="AG13" s="65" t="str">
        <f t="shared" si="13"/>
        <v>Alvarado Vargas Dacmar Alejandra</v>
      </c>
      <c r="AH13" s="139">
        <v>10.0</v>
      </c>
      <c r="AI13" s="139">
        <v>10.0</v>
      </c>
      <c r="AJ13" s="139">
        <v>10.0</v>
      </c>
      <c r="AK13" s="140"/>
      <c r="AL13" s="139">
        <v>10.0</v>
      </c>
      <c r="AM13" s="139">
        <v>10.0</v>
      </c>
      <c r="AN13" s="140"/>
      <c r="AO13" s="140"/>
      <c r="AP13" s="62"/>
      <c r="AQ13" s="62"/>
      <c r="AR13" s="121">
        <v>10.0</v>
      </c>
      <c r="AS13" s="62"/>
      <c r="AT13" s="62"/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9.41</v>
      </c>
      <c r="CQ13" s="129">
        <f t="shared" si="25"/>
        <v>10</v>
      </c>
      <c r="CR13" s="129">
        <f t="shared" si="26"/>
        <v>0</v>
      </c>
      <c r="CS13" s="130">
        <f t="shared" si="27"/>
        <v>6.47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6.47</v>
      </c>
      <c r="DB13" s="142"/>
      <c r="DC13" s="137">
        <f t="shared" si="31"/>
        <v>6.47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7.0</v>
      </c>
      <c r="E14" s="139">
        <v>8.0</v>
      </c>
      <c r="F14" s="139">
        <v>8.0</v>
      </c>
      <c r="G14" s="140"/>
      <c r="H14" s="139">
        <v>8.0</v>
      </c>
      <c r="I14" s="139">
        <v>8.0</v>
      </c>
      <c r="J14" s="140"/>
      <c r="K14" s="140"/>
      <c r="L14" s="62"/>
      <c r="M14" s="62"/>
      <c r="N14" s="143"/>
      <c r="O14" s="143"/>
      <c r="P14" s="144">
        <v>8.0</v>
      </c>
      <c r="Q14" s="143"/>
      <c r="R14" s="143"/>
      <c r="S14" s="143"/>
      <c r="T14" s="141"/>
      <c r="U14" s="141"/>
      <c r="V14" s="62">
        <f t="shared" si="9"/>
        <v>5.481</v>
      </c>
      <c r="W14" s="121">
        <v>10.0</v>
      </c>
      <c r="X14" s="123">
        <f>'PROY. INTER'!W14</f>
        <v>8.2</v>
      </c>
      <c r="Y14" s="62">
        <f t="shared" si="10"/>
        <v>9.1</v>
      </c>
      <c r="Z14" s="62">
        <f t="shared" si="11"/>
        <v>2.73</v>
      </c>
      <c r="AA14" s="64">
        <f t="shared" si="12"/>
        <v>8.21</v>
      </c>
      <c r="AC14" s="2"/>
      <c r="AE14" s="56">
        <v>3.0</v>
      </c>
      <c r="AF14" s="124" t="str">
        <f t="shared" ref="AF14:AG14" si="33">B14</f>
        <v/>
      </c>
      <c r="AG14" s="65" t="str">
        <f t="shared" si="33"/>
        <v>Ampuero Cornejo Cesar Jeanpierre</v>
      </c>
      <c r="AH14" s="139">
        <v>8.0</v>
      </c>
      <c r="AI14" s="139">
        <v>8.0</v>
      </c>
      <c r="AJ14" s="139">
        <v>10.0</v>
      </c>
      <c r="AK14" s="140"/>
      <c r="AL14" s="139">
        <v>10.0</v>
      </c>
      <c r="AM14" s="139">
        <v>8.0</v>
      </c>
      <c r="AN14" s="140"/>
      <c r="AO14" s="140"/>
      <c r="AP14" s="62"/>
      <c r="AQ14" s="62"/>
      <c r="AR14" s="121">
        <v>8.0</v>
      </c>
      <c r="AS14" s="143"/>
      <c r="AT14" s="143"/>
      <c r="AU14" s="143"/>
      <c r="AV14" s="143"/>
      <c r="AW14" s="143"/>
      <c r="AX14" s="141"/>
      <c r="AY14" s="141"/>
      <c r="AZ14" s="62">
        <f t="shared" si="14"/>
        <v>6.062</v>
      </c>
      <c r="BA14" s="121">
        <v>10.0</v>
      </c>
      <c r="BB14" s="123">
        <f>'PROY. INTER'!AX14</f>
        <v>10</v>
      </c>
      <c r="BC14" s="62">
        <f t="shared" si="15"/>
        <v>10</v>
      </c>
      <c r="BD14" s="62">
        <f t="shared" si="16"/>
        <v>3</v>
      </c>
      <c r="BE14" s="64">
        <f t="shared" si="17"/>
        <v>9.06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8.21</v>
      </c>
      <c r="CQ14" s="129">
        <f t="shared" si="25"/>
        <v>9.06</v>
      </c>
      <c r="CR14" s="129">
        <f t="shared" si="26"/>
        <v>0</v>
      </c>
      <c r="CS14" s="130">
        <f t="shared" si="27"/>
        <v>5.75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5.75</v>
      </c>
      <c r="DB14" s="136"/>
      <c r="DC14" s="137">
        <f t="shared" si="31"/>
        <v>5.75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7.0</v>
      </c>
      <c r="E15" s="139">
        <v>7.0</v>
      </c>
      <c r="F15" s="139">
        <v>7.0</v>
      </c>
      <c r="G15" s="140"/>
      <c r="H15" s="139">
        <v>7.0</v>
      </c>
      <c r="I15" s="139">
        <v>7.0</v>
      </c>
      <c r="J15" s="140"/>
      <c r="K15" s="140"/>
      <c r="L15" s="62"/>
      <c r="M15" s="62"/>
      <c r="N15" s="143"/>
      <c r="O15" s="143"/>
      <c r="P15" s="144">
        <v>7.0</v>
      </c>
      <c r="Q15" s="143"/>
      <c r="R15" s="143"/>
      <c r="S15" s="143"/>
      <c r="T15" s="141"/>
      <c r="U15" s="141"/>
      <c r="V15" s="62">
        <f t="shared" si="9"/>
        <v>4.9</v>
      </c>
      <c r="W15" s="121">
        <v>9.0</v>
      </c>
      <c r="X15" s="123">
        <f>'PROY. INTER'!W15</f>
        <v>6.73</v>
      </c>
      <c r="Y15" s="62">
        <f t="shared" si="10"/>
        <v>7.865</v>
      </c>
      <c r="Z15" s="62">
        <f t="shared" si="11"/>
        <v>2.3595</v>
      </c>
      <c r="AA15" s="64">
        <f t="shared" si="12"/>
        <v>7.25</v>
      </c>
      <c r="AC15" s="2"/>
      <c r="AE15" s="56">
        <v>4.0</v>
      </c>
      <c r="AF15" s="124" t="str">
        <f t="shared" ref="AF15:AG15" si="37">B15</f>
        <v/>
      </c>
      <c r="AG15" s="65" t="str">
        <f t="shared" si="37"/>
        <v>Aylla Murillo Kerly Kristhel</v>
      </c>
      <c r="AH15" s="139">
        <v>8.0</v>
      </c>
      <c r="AI15" s="139">
        <v>8.0</v>
      </c>
      <c r="AJ15" s="139">
        <v>7.0</v>
      </c>
      <c r="AK15" s="140"/>
      <c r="AL15" s="139">
        <v>8.0</v>
      </c>
      <c r="AM15" s="139">
        <v>8.0</v>
      </c>
      <c r="AN15" s="140"/>
      <c r="AO15" s="140"/>
      <c r="AP15" s="62"/>
      <c r="AQ15" s="62"/>
      <c r="AR15" s="121">
        <v>7.0</v>
      </c>
      <c r="AS15" s="143"/>
      <c r="AT15" s="143"/>
      <c r="AU15" s="143"/>
      <c r="AV15" s="143"/>
      <c r="AW15" s="143"/>
      <c r="AX15" s="141"/>
      <c r="AY15" s="141"/>
      <c r="AZ15" s="62">
        <f t="shared" si="14"/>
        <v>5.362</v>
      </c>
      <c r="BA15" s="121">
        <v>10.0</v>
      </c>
      <c r="BB15" s="123">
        <f>'PROY. INTER'!AX15</f>
        <v>10</v>
      </c>
      <c r="BC15" s="62">
        <f t="shared" si="15"/>
        <v>10</v>
      </c>
      <c r="BD15" s="62">
        <f t="shared" si="16"/>
        <v>3</v>
      </c>
      <c r="BE15" s="64">
        <f t="shared" si="17"/>
        <v>8.36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7.25</v>
      </c>
      <c r="CQ15" s="129">
        <f t="shared" si="25"/>
        <v>8.36</v>
      </c>
      <c r="CR15" s="129">
        <f t="shared" si="26"/>
        <v>0</v>
      </c>
      <c r="CS15" s="130">
        <f t="shared" si="27"/>
        <v>5.2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5.2</v>
      </c>
      <c r="DB15" s="136"/>
      <c r="DC15" s="137">
        <f t="shared" si="31"/>
        <v>5.2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7.0</v>
      </c>
      <c r="E16" s="139">
        <v>7.0</v>
      </c>
      <c r="F16" s="139">
        <v>7.0</v>
      </c>
      <c r="G16" s="140"/>
      <c r="H16" s="139">
        <v>7.0</v>
      </c>
      <c r="I16" s="139">
        <v>7.0</v>
      </c>
      <c r="J16" s="140"/>
      <c r="K16" s="140"/>
      <c r="L16" s="62"/>
      <c r="M16" s="62"/>
      <c r="N16" s="143"/>
      <c r="O16" s="143"/>
      <c r="P16" s="144">
        <v>8.0</v>
      </c>
      <c r="Q16" s="143"/>
      <c r="R16" s="143"/>
      <c r="S16" s="143"/>
      <c r="T16" s="141"/>
      <c r="U16" s="141"/>
      <c r="V16" s="62">
        <f t="shared" si="9"/>
        <v>5.012</v>
      </c>
      <c r="W16" s="121">
        <v>8.0</v>
      </c>
      <c r="X16" s="123">
        <f>'PROY. INTER'!W16</f>
        <v>6</v>
      </c>
      <c r="Y16" s="62">
        <f t="shared" si="10"/>
        <v>7</v>
      </c>
      <c r="Z16" s="62">
        <f t="shared" si="11"/>
        <v>2.1</v>
      </c>
      <c r="AA16" s="64">
        <f t="shared" si="12"/>
        <v>7.11</v>
      </c>
      <c r="AC16" s="2"/>
      <c r="AE16" s="56">
        <v>5.0</v>
      </c>
      <c r="AF16" s="124" t="str">
        <f t="shared" ref="AF16:AG16" si="41">B16</f>
        <v/>
      </c>
      <c r="AG16" s="65" t="str">
        <f t="shared" si="41"/>
        <v>Campuzano Meza Naydelyn Odeth</v>
      </c>
      <c r="AH16" s="139">
        <v>9.0</v>
      </c>
      <c r="AI16" s="139">
        <v>8.0</v>
      </c>
      <c r="AJ16" s="139">
        <v>8.0</v>
      </c>
      <c r="AK16" s="140"/>
      <c r="AL16" s="139">
        <v>8.0</v>
      </c>
      <c r="AM16" s="139">
        <v>8.0</v>
      </c>
      <c r="AN16" s="140"/>
      <c r="AO16" s="140"/>
      <c r="AP16" s="62"/>
      <c r="AQ16" s="62"/>
      <c r="AR16" s="121">
        <v>8.0</v>
      </c>
      <c r="AS16" s="143"/>
      <c r="AT16" s="143"/>
      <c r="AU16" s="143"/>
      <c r="AV16" s="143"/>
      <c r="AW16" s="143"/>
      <c r="AX16" s="141"/>
      <c r="AY16" s="141"/>
      <c r="AZ16" s="62">
        <f t="shared" si="14"/>
        <v>5.712</v>
      </c>
      <c r="BA16" s="121">
        <v>7.0</v>
      </c>
      <c r="BB16" s="123">
        <f>'PROY. INTER'!AX16</f>
        <v>2</v>
      </c>
      <c r="BC16" s="62">
        <f t="shared" si="15"/>
        <v>4.5</v>
      </c>
      <c r="BD16" s="62">
        <f t="shared" si="16"/>
        <v>1.35</v>
      </c>
      <c r="BE16" s="64">
        <f t="shared" si="17"/>
        <v>7.06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7.11</v>
      </c>
      <c r="CQ16" s="129">
        <f t="shared" si="25"/>
        <v>7.06</v>
      </c>
      <c r="CR16" s="129">
        <f t="shared" si="26"/>
        <v>0</v>
      </c>
      <c r="CS16" s="130">
        <f t="shared" si="27"/>
        <v>4.72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4.72</v>
      </c>
      <c r="DB16" s="136"/>
      <c r="DC16" s="137">
        <f t="shared" si="31"/>
        <v>4.72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7.0</v>
      </c>
      <c r="E17" s="139">
        <v>7.0</v>
      </c>
      <c r="F17" s="139">
        <v>8.0</v>
      </c>
      <c r="G17" s="140"/>
      <c r="H17" s="139">
        <v>8.0</v>
      </c>
      <c r="I17" s="139">
        <v>8.0</v>
      </c>
      <c r="J17" s="140"/>
      <c r="K17" s="140"/>
      <c r="L17" s="62"/>
      <c r="M17" s="62"/>
      <c r="N17" s="143"/>
      <c r="O17" s="143"/>
      <c r="P17" s="144">
        <v>8.0</v>
      </c>
      <c r="Q17" s="143"/>
      <c r="R17" s="143"/>
      <c r="S17" s="143"/>
      <c r="T17" s="141"/>
      <c r="U17" s="141"/>
      <c r="V17" s="62">
        <f t="shared" si="9"/>
        <v>5.362</v>
      </c>
      <c r="W17" s="121">
        <v>10.0</v>
      </c>
      <c r="X17" s="123">
        <f>'PROY. INTER'!W17</f>
        <v>9.87</v>
      </c>
      <c r="Y17" s="62">
        <f t="shared" si="10"/>
        <v>9.935</v>
      </c>
      <c r="Z17" s="62">
        <f t="shared" si="11"/>
        <v>2.9805</v>
      </c>
      <c r="AA17" s="64">
        <f t="shared" si="12"/>
        <v>8.34</v>
      </c>
      <c r="AC17" s="2"/>
      <c r="AE17" s="56">
        <v>6.0</v>
      </c>
      <c r="AF17" s="124" t="str">
        <f t="shared" ref="AF17:AG17" si="45">B17</f>
        <v/>
      </c>
      <c r="AG17" s="65" t="str">
        <f t="shared" si="45"/>
        <v>Cantos Zúñiga a Hernán Snayder</v>
      </c>
      <c r="AH17" s="139">
        <v>10.0</v>
      </c>
      <c r="AI17" s="139">
        <v>8.0</v>
      </c>
      <c r="AJ17" s="139">
        <v>8.0</v>
      </c>
      <c r="AK17" s="140"/>
      <c r="AL17" s="139">
        <v>8.0</v>
      </c>
      <c r="AM17" s="139">
        <v>10.0</v>
      </c>
      <c r="AN17" s="140"/>
      <c r="AO17" s="140"/>
      <c r="AP17" s="62"/>
      <c r="AQ17" s="62"/>
      <c r="AR17" s="121">
        <v>8.0</v>
      </c>
      <c r="AS17" s="143"/>
      <c r="AT17" s="143"/>
      <c r="AU17" s="143"/>
      <c r="AV17" s="143"/>
      <c r="AW17" s="143"/>
      <c r="AX17" s="141"/>
      <c r="AY17" s="141"/>
      <c r="AZ17" s="62">
        <f t="shared" si="14"/>
        <v>6.062</v>
      </c>
      <c r="BA17" s="121">
        <v>8.0</v>
      </c>
      <c r="BB17" s="123">
        <f>'PROY. INTER'!AX17</f>
        <v>10</v>
      </c>
      <c r="BC17" s="62">
        <f t="shared" si="15"/>
        <v>9</v>
      </c>
      <c r="BD17" s="62">
        <f t="shared" si="16"/>
        <v>2.7</v>
      </c>
      <c r="BE17" s="64">
        <f t="shared" si="17"/>
        <v>8.76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8.34</v>
      </c>
      <c r="CQ17" s="129">
        <f t="shared" si="25"/>
        <v>8.76</v>
      </c>
      <c r="CR17" s="129">
        <f t="shared" si="26"/>
        <v>0</v>
      </c>
      <c r="CS17" s="130">
        <f t="shared" si="27"/>
        <v>5.7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5.7</v>
      </c>
      <c r="DB17" s="136"/>
      <c r="DC17" s="137">
        <f t="shared" si="31"/>
        <v>5.7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7.0</v>
      </c>
      <c r="E18" s="139">
        <v>8.0</v>
      </c>
      <c r="F18" s="139">
        <v>9.0</v>
      </c>
      <c r="G18" s="140"/>
      <c r="H18" s="139">
        <v>10.0</v>
      </c>
      <c r="I18" s="139">
        <v>10.0</v>
      </c>
      <c r="J18" s="140"/>
      <c r="K18" s="140"/>
      <c r="L18" s="62"/>
      <c r="M18" s="62"/>
      <c r="N18" s="143"/>
      <c r="O18" s="143"/>
      <c r="P18" s="144">
        <v>8.0</v>
      </c>
      <c r="Q18" s="143"/>
      <c r="R18" s="143"/>
      <c r="S18" s="143"/>
      <c r="T18" s="141"/>
      <c r="U18" s="141"/>
      <c r="V18" s="62">
        <f t="shared" si="9"/>
        <v>6.062</v>
      </c>
      <c r="W18" s="121">
        <v>10.0</v>
      </c>
      <c r="X18" s="123">
        <f>'PROY. INTER'!W18</f>
        <v>9</v>
      </c>
      <c r="Y18" s="62">
        <f t="shared" si="10"/>
        <v>9.5</v>
      </c>
      <c r="Z18" s="62">
        <f t="shared" si="11"/>
        <v>2.85</v>
      </c>
      <c r="AA18" s="64">
        <f t="shared" si="12"/>
        <v>8.91</v>
      </c>
      <c r="AC18" s="2"/>
      <c r="AE18" s="56">
        <v>7.0</v>
      </c>
      <c r="AF18" s="124" t="str">
        <f t="shared" ref="AF18:AG18" si="49">B18</f>
        <v/>
      </c>
      <c r="AG18" s="65" t="str">
        <f t="shared" si="49"/>
        <v>Carranza Dumes Genesis Daniela</v>
      </c>
      <c r="AH18" s="139">
        <v>10.0</v>
      </c>
      <c r="AI18" s="139">
        <v>8.0</v>
      </c>
      <c r="AJ18" s="139">
        <v>8.0</v>
      </c>
      <c r="AK18" s="140"/>
      <c r="AL18" s="139">
        <v>8.0</v>
      </c>
      <c r="AM18" s="139">
        <v>10.0</v>
      </c>
      <c r="AN18" s="140"/>
      <c r="AO18" s="140"/>
      <c r="AP18" s="62"/>
      <c r="AQ18" s="62"/>
      <c r="AR18" s="121">
        <v>8.0</v>
      </c>
      <c r="AS18" s="143"/>
      <c r="AT18" s="143"/>
      <c r="AU18" s="143"/>
      <c r="AV18" s="143"/>
      <c r="AW18" s="143"/>
      <c r="AX18" s="141"/>
      <c r="AY18" s="141"/>
      <c r="AZ18" s="62">
        <f t="shared" si="14"/>
        <v>6.062</v>
      </c>
      <c r="BA18" s="121">
        <v>10.0</v>
      </c>
      <c r="BB18" s="123">
        <f>'PROY. INTER'!AX18</f>
        <v>2</v>
      </c>
      <c r="BC18" s="62">
        <f t="shared" si="15"/>
        <v>6</v>
      </c>
      <c r="BD18" s="62">
        <f t="shared" si="16"/>
        <v>1.8</v>
      </c>
      <c r="BE18" s="64">
        <f t="shared" si="17"/>
        <v>7.86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8.91</v>
      </c>
      <c r="CQ18" s="129">
        <f t="shared" si="25"/>
        <v>7.86</v>
      </c>
      <c r="CR18" s="129">
        <f t="shared" si="26"/>
        <v>0</v>
      </c>
      <c r="CS18" s="130">
        <f t="shared" si="27"/>
        <v>5.59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5.59</v>
      </c>
      <c r="DB18" s="136"/>
      <c r="DC18" s="137">
        <f t="shared" si="31"/>
        <v>5.59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8.0</v>
      </c>
      <c r="E19" s="139">
        <v>7.0</v>
      </c>
      <c r="F19" s="139">
        <v>8.0</v>
      </c>
      <c r="G19" s="140"/>
      <c r="H19" s="139">
        <v>10.0</v>
      </c>
      <c r="I19" s="139">
        <v>10.0</v>
      </c>
      <c r="J19" s="140"/>
      <c r="K19" s="140"/>
      <c r="L19" s="62"/>
      <c r="M19" s="62"/>
      <c r="N19" s="143"/>
      <c r="O19" s="143"/>
      <c r="P19" s="144">
        <v>8.0</v>
      </c>
      <c r="Q19" s="143"/>
      <c r="R19" s="143"/>
      <c r="S19" s="143"/>
      <c r="T19" s="141"/>
      <c r="U19" s="141"/>
      <c r="V19" s="62">
        <f t="shared" si="9"/>
        <v>5.95</v>
      </c>
      <c r="W19" s="121">
        <v>8.0</v>
      </c>
      <c r="X19" s="123">
        <f>'PROY. INTER'!W19</f>
        <v>6</v>
      </c>
      <c r="Y19" s="62">
        <f t="shared" si="10"/>
        <v>7</v>
      </c>
      <c r="Z19" s="62">
        <f t="shared" si="11"/>
        <v>2.1</v>
      </c>
      <c r="AA19" s="64">
        <f t="shared" si="12"/>
        <v>8.05</v>
      </c>
      <c r="AC19" s="2"/>
      <c r="AE19" s="56">
        <v>8.0</v>
      </c>
      <c r="AF19" s="124" t="str">
        <f t="shared" ref="AF19:AG19" si="53">B19</f>
        <v/>
      </c>
      <c r="AG19" s="65" t="str">
        <f t="shared" si="53"/>
        <v>Castro De La Rosa Cristopher Ruben</v>
      </c>
      <c r="AH19" s="139">
        <v>8.0</v>
      </c>
      <c r="AI19" s="139">
        <v>8.0</v>
      </c>
      <c r="AJ19" s="139">
        <v>7.0</v>
      </c>
      <c r="AK19" s="140"/>
      <c r="AL19" s="139">
        <v>7.0</v>
      </c>
      <c r="AM19" s="139">
        <v>7.0</v>
      </c>
      <c r="AN19" s="140"/>
      <c r="AO19" s="140"/>
      <c r="AP19" s="62"/>
      <c r="AQ19" s="62"/>
      <c r="AR19" s="121">
        <v>8.0</v>
      </c>
      <c r="AS19" s="143"/>
      <c r="AT19" s="143"/>
      <c r="AU19" s="143"/>
      <c r="AV19" s="143"/>
      <c r="AW19" s="143"/>
      <c r="AX19" s="141"/>
      <c r="AY19" s="141"/>
      <c r="AZ19" s="62">
        <f t="shared" si="14"/>
        <v>5.25</v>
      </c>
      <c r="BA19" s="121">
        <v>10.0</v>
      </c>
      <c r="BB19" s="123">
        <f>'PROY. INTER'!AX19</f>
        <v>2</v>
      </c>
      <c r="BC19" s="62">
        <f t="shared" si="15"/>
        <v>6</v>
      </c>
      <c r="BD19" s="62">
        <f t="shared" si="16"/>
        <v>1.8</v>
      </c>
      <c r="BE19" s="64">
        <f t="shared" si="17"/>
        <v>7.05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8.05</v>
      </c>
      <c r="CQ19" s="129">
        <f t="shared" si="25"/>
        <v>7.05</v>
      </c>
      <c r="CR19" s="129">
        <f t="shared" si="26"/>
        <v>0</v>
      </c>
      <c r="CS19" s="130">
        <f t="shared" si="27"/>
        <v>5.03</v>
      </c>
      <c r="CT19" s="131" t="str">
        <f t="shared" si="28"/>
        <v>SUPLETORIO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5.03</v>
      </c>
      <c r="DB19" s="136"/>
      <c r="DC19" s="137">
        <f t="shared" si="31"/>
        <v>5.03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7.0</v>
      </c>
      <c r="E20" s="139">
        <v>7.0</v>
      </c>
      <c r="F20" s="139">
        <v>7.0</v>
      </c>
      <c r="G20" s="140"/>
      <c r="H20" s="139">
        <v>8.0</v>
      </c>
      <c r="I20" s="139">
        <v>8.0</v>
      </c>
      <c r="J20" s="140"/>
      <c r="K20" s="140"/>
      <c r="L20" s="62"/>
      <c r="M20" s="62"/>
      <c r="N20" s="143"/>
      <c r="O20" s="143"/>
      <c r="P20" s="144">
        <v>8.0</v>
      </c>
      <c r="Q20" s="143"/>
      <c r="R20" s="143"/>
      <c r="S20" s="143"/>
      <c r="T20" s="141"/>
      <c r="U20" s="141"/>
      <c r="V20" s="62">
        <f t="shared" si="9"/>
        <v>5.25</v>
      </c>
      <c r="W20" s="121">
        <v>7.0</v>
      </c>
      <c r="X20" s="123">
        <f>'PROY. INTER'!W20</f>
        <v>6</v>
      </c>
      <c r="Y20" s="62">
        <f t="shared" si="10"/>
        <v>6.5</v>
      </c>
      <c r="Z20" s="62">
        <f t="shared" si="11"/>
        <v>1.95</v>
      </c>
      <c r="AA20" s="64">
        <f t="shared" si="12"/>
        <v>7.2</v>
      </c>
      <c r="AC20" s="2"/>
      <c r="AE20" s="56">
        <v>9.0</v>
      </c>
      <c r="AF20" s="124" t="str">
        <f t="shared" ref="AF20:AG20" si="57">B20</f>
        <v/>
      </c>
      <c r="AG20" s="65" t="str">
        <f t="shared" si="57"/>
        <v>Chamba Maurad Joshelyn Juleixi</v>
      </c>
      <c r="AH20" s="139">
        <v>7.0</v>
      </c>
      <c r="AI20" s="139">
        <v>8.0</v>
      </c>
      <c r="AJ20" s="139">
        <v>8.0</v>
      </c>
      <c r="AK20" s="140"/>
      <c r="AL20" s="139">
        <v>7.0</v>
      </c>
      <c r="AM20" s="139">
        <v>7.0</v>
      </c>
      <c r="AN20" s="140"/>
      <c r="AO20" s="140"/>
      <c r="AP20" s="62"/>
      <c r="AQ20" s="62"/>
      <c r="AR20" s="121">
        <v>7.0</v>
      </c>
      <c r="AS20" s="143"/>
      <c r="AT20" s="143"/>
      <c r="AU20" s="143"/>
      <c r="AV20" s="143"/>
      <c r="AW20" s="143"/>
      <c r="AX20" s="141"/>
      <c r="AY20" s="141"/>
      <c r="AZ20" s="62">
        <f t="shared" si="14"/>
        <v>5.131</v>
      </c>
      <c r="BA20" s="121">
        <v>7.0</v>
      </c>
      <c r="BB20" s="123">
        <f>'PROY. INTER'!AX20</f>
        <v>10</v>
      </c>
      <c r="BC20" s="62">
        <f t="shared" si="15"/>
        <v>8.5</v>
      </c>
      <c r="BD20" s="62">
        <f t="shared" si="16"/>
        <v>2.55</v>
      </c>
      <c r="BE20" s="64">
        <f t="shared" si="17"/>
        <v>7.68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7.2</v>
      </c>
      <c r="CQ20" s="129">
        <f t="shared" si="25"/>
        <v>7.68</v>
      </c>
      <c r="CR20" s="129">
        <f t="shared" si="26"/>
        <v>0</v>
      </c>
      <c r="CS20" s="130">
        <f t="shared" si="27"/>
        <v>4.96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4.96</v>
      </c>
      <c r="DB20" s="136"/>
      <c r="DC20" s="137">
        <f t="shared" si="31"/>
        <v>4.96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6.0</v>
      </c>
      <c r="E21" s="139">
        <v>8.0</v>
      </c>
      <c r="F21" s="139">
        <v>7.0</v>
      </c>
      <c r="G21" s="140"/>
      <c r="H21" s="139">
        <v>7.0</v>
      </c>
      <c r="I21" s="139">
        <v>7.0</v>
      </c>
      <c r="J21" s="140"/>
      <c r="K21" s="140"/>
      <c r="L21" s="62"/>
      <c r="M21" s="62"/>
      <c r="N21" s="143"/>
      <c r="O21" s="143"/>
      <c r="P21" s="144">
        <v>7.0</v>
      </c>
      <c r="Q21" s="143"/>
      <c r="R21" s="143"/>
      <c r="S21" s="143"/>
      <c r="T21" s="141"/>
      <c r="U21" s="141"/>
      <c r="V21" s="62">
        <f t="shared" si="9"/>
        <v>4.9</v>
      </c>
      <c r="W21" s="121">
        <v>8.0</v>
      </c>
      <c r="X21" s="123">
        <f>'PROY. INTER'!W21</f>
        <v>6</v>
      </c>
      <c r="Y21" s="62">
        <f t="shared" si="10"/>
        <v>7</v>
      </c>
      <c r="Z21" s="62">
        <f t="shared" si="11"/>
        <v>2.1</v>
      </c>
      <c r="AA21" s="64">
        <f t="shared" si="12"/>
        <v>7</v>
      </c>
      <c r="AC21" s="2"/>
      <c r="AE21" s="56">
        <v>10.0</v>
      </c>
      <c r="AF21" s="124" t="str">
        <f t="shared" ref="AF21:AG21" si="61">B21</f>
        <v/>
      </c>
      <c r="AG21" s="65" t="str">
        <f t="shared" si="61"/>
        <v>Cedeño Sanchez Josué</v>
      </c>
      <c r="AH21" s="140"/>
      <c r="AI21" s="140"/>
      <c r="AJ21" s="140"/>
      <c r="AK21" s="140"/>
      <c r="AL21" s="140"/>
      <c r="AM21" s="140"/>
      <c r="AN21" s="140"/>
      <c r="AO21" s="140"/>
      <c r="AP21" s="62"/>
      <c r="AQ21" s="62"/>
      <c r="AR21" s="62"/>
      <c r="AS21" s="143"/>
      <c r="AT21" s="143"/>
      <c r="AU21" s="143"/>
      <c r="AV21" s="143"/>
      <c r="AW21" s="143"/>
      <c r="AX21" s="141"/>
      <c r="AY21" s="141"/>
      <c r="AZ21" s="62">
        <f t="shared" si="14"/>
        <v>0</v>
      </c>
      <c r="BA21" s="62"/>
      <c r="BB21" s="123">
        <f>'PROY. INTER'!AX21</f>
        <v>2</v>
      </c>
      <c r="BC21" s="62">
        <f t="shared" si="15"/>
        <v>2</v>
      </c>
      <c r="BD21" s="62">
        <f t="shared" si="16"/>
        <v>0.6</v>
      </c>
      <c r="BE21" s="64">
        <f t="shared" si="17"/>
        <v>0.6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7</v>
      </c>
      <c r="CQ21" s="129">
        <f t="shared" si="25"/>
        <v>0.6</v>
      </c>
      <c r="CR21" s="129">
        <f t="shared" si="26"/>
        <v>0</v>
      </c>
      <c r="CS21" s="130">
        <f t="shared" si="27"/>
        <v>2.53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2.53</v>
      </c>
      <c r="DB21" s="136"/>
      <c r="DC21" s="137">
        <f t="shared" si="31"/>
        <v>2.53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39">
        <v>10.0</v>
      </c>
      <c r="F22" s="139">
        <v>10.0</v>
      </c>
      <c r="G22" s="140"/>
      <c r="H22" s="139">
        <v>10.0</v>
      </c>
      <c r="I22" s="139">
        <v>10.0</v>
      </c>
      <c r="J22" s="140"/>
      <c r="K22" s="140"/>
      <c r="L22" s="62"/>
      <c r="M22" s="62"/>
      <c r="N22" s="143"/>
      <c r="O22" s="143"/>
      <c r="P22" s="144">
        <v>10.0</v>
      </c>
      <c r="Q22" s="143"/>
      <c r="R22" s="143"/>
      <c r="S22" s="143"/>
      <c r="T22" s="141"/>
      <c r="U22" s="141"/>
      <c r="V22" s="62">
        <f t="shared" si="9"/>
        <v>7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10</v>
      </c>
      <c r="AC22" s="2"/>
      <c r="AE22" s="56">
        <v>11.0</v>
      </c>
      <c r="AF22" s="124" t="str">
        <f t="shared" ref="AF22:AG22" si="65">B22</f>
        <v/>
      </c>
      <c r="AG22" s="65" t="str">
        <f t="shared" si="65"/>
        <v>Espinoza Martinez Stefano Juliano</v>
      </c>
      <c r="AH22" s="139">
        <v>10.0</v>
      </c>
      <c r="AI22" s="139">
        <v>10.0</v>
      </c>
      <c r="AJ22" s="139">
        <v>10.0</v>
      </c>
      <c r="AK22" s="140"/>
      <c r="AL22" s="139">
        <v>10.0</v>
      </c>
      <c r="AM22" s="139">
        <v>10.0</v>
      </c>
      <c r="AN22" s="140"/>
      <c r="AO22" s="140"/>
      <c r="AP22" s="62"/>
      <c r="AQ22" s="62"/>
      <c r="AR22" s="121">
        <v>10.0</v>
      </c>
      <c r="AS22" s="143"/>
      <c r="AT22" s="143"/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10</v>
      </c>
      <c r="CQ22" s="129">
        <f t="shared" si="25"/>
        <v>10</v>
      </c>
      <c r="CR22" s="129">
        <f t="shared" si="26"/>
        <v>0</v>
      </c>
      <c r="CS22" s="130">
        <f t="shared" si="27"/>
        <v>6.66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6.66</v>
      </c>
      <c r="DB22" s="136"/>
      <c r="DC22" s="137">
        <f t="shared" si="31"/>
        <v>6.66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7.0</v>
      </c>
      <c r="E23" s="139">
        <v>7.0</v>
      </c>
      <c r="F23" s="139">
        <v>8.0</v>
      </c>
      <c r="G23" s="140"/>
      <c r="H23" s="139">
        <v>8.0</v>
      </c>
      <c r="I23" s="139">
        <v>8.0</v>
      </c>
      <c r="J23" s="140"/>
      <c r="K23" s="140"/>
      <c r="L23" s="62"/>
      <c r="M23" s="62"/>
      <c r="N23" s="143"/>
      <c r="O23" s="143"/>
      <c r="P23" s="144">
        <v>10.0</v>
      </c>
      <c r="Q23" s="143"/>
      <c r="R23" s="143"/>
      <c r="S23" s="143"/>
      <c r="T23" s="141"/>
      <c r="U23" s="141"/>
      <c r="V23" s="62">
        <f t="shared" si="9"/>
        <v>5.6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8.18</v>
      </c>
      <c r="AC23" s="2"/>
      <c r="AE23" s="56">
        <v>12.0</v>
      </c>
      <c r="AF23" s="124" t="str">
        <f t="shared" ref="AF23:AG23" si="69">B23</f>
        <v/>
      </c>
      <c r="AG23" s="65" t="str">
        <f t="shared" si="69"/>
        <v>Espinoza Morante Melany Ginger</v>
      </c>
      <c r="AH23" s="139">
        <v>8.0</v>
      </c>
      <c r="AI23" s="139">
        <v>8.0</v>
      </c>
      <c r="AJ23" s="139">
        <v>10.0</v>
      </c>
      <c r="AK23" s="140"/>
      <c r="AL23" s="139">
        <v>10.0</v>
      </c>
      <c r="AM23" s="139">
        <v>8.0</v>
      </c>
      <c r="AN23" s="140"/>
      <c r="AO23" s="140"/>
      <c r="AP23" s="62"/>
      <c r="AQ23" s="62"/>
      <c r="AR23" s="121">
        <v>8.0</v>
      </c>
      <c r="AS23" s="143"/>
      <c r="AT23" s="143"/>
      <c r="AU23" s="143"/>
      <c r="AV23" s="143"/>
      <c r="AW23" s="143"/>
      <c r="AX23" s="141"/>
      <c r="AY23" s="141"/>
      <c r="AZ23" s="62">
        <f t="shared" si="14"/>
        <v>6.062</v>
      </c>
      <c r="BA23" s="121">
        <v>9.0</v>
      </c>
      <c r="BB23" s="123">
        <f>'PROY. INTER'!AX23</f>
        <v>10</v>
      </c>
      <c r="BC23" s="62">
        <f t="shared" si="15"/>
        <v>9.5</v>
      </c>
      <c r="BD23" s="62">
        <f t="shared" si="16"/>
        <v>2.85</v>
      </c>
      <c r="BE23" s="64">
        <f t="shared" si="17"/>
        <v>8.91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8.18</v>
      </c>
      <c r="CQ23" s="129">
        <f t="shared" si="25"/>
        <v>8.91</v>
      </c>
      <c r="CR23" s="129">
        <f t="shared" si="26"/>
        <v>0</v>
      </c>
      <c r="CS23" s="130">
        <f t="shared" si="27"/>
        <v>5.69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5.69</v>
      </c>
      <c r="DB23" s="136"/>
      <c r="DC23" s="137">
        <f t="shared" si="31"/>
        <v>5.69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7.0</v>
      </c>
      <c r="E24" s="139">
        <v>7.0</v>
      </c>
      <c r="F24" s="139">
        <v>7.0</v>
      </c>
      <c r="G24" s="140"/>
      <c r="H24" s="139">
        <v>8.0</v>
      </c>
      <c r="I24" s="139">
        <v>8.0</v>
      </c>
      <c r="J24" s="140"/>
      <c r="K24" s="140"/>
      <c r="L24" s="62"/>
      <c r="M24" s="62"/>
      <c r="N24" s="143"/>
      <c r="O24" s="143"/>
      <c r="P24" s="144">
        <v>10.0</v>
      </c>
      <c r="Q24" s="143"/>
      <c r="R24" s="143"/>
      <c r="S24" s="143"/>
      <c r="T24" s="141"/>
      <c r="U24" s="141"/>
      <c r="V24" s="62">
        <f t="shared" si="9"/>
        <v>5.481</v>
      </c>
      <c r="W24" s="121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8.33</v>
      </c>
      <c r="AC24" s="2"/>
      <c r="AE24" s="56">
        <v>13.0</v>
      </c>
      <c r="AF24" s="124" t="str">
        <f t="shared" ref="AF24:AG24" si="73">B24</f>
        <v/>
      </c>
      <c r="AG24" s="65" t="str">
        <f t="shared" si="73"/>
        <v>Garrido franco Génesis Lissette</v>
      </c>
      <c r="AH24" s="139">
        <v>8.0</v>
      </c>
      <c r="AI24" s="139">
        <v>8.0</v>
      </c>
      <c r="AJ24" s="139">
        <v>9.0</v>
      </c>
      <c r="AK24" s="140"/>
      <c r="AL24" s="139">
        <v>8.0</v>
      </c>
      <c r="AM24" s="139">
        <v>8.0</v>
      </c>
      <c r="AN24" s="140"/>
      <c r="AO24" s="140"/>
      <c r="AP24" s="62"/>
      <c r="AQ24" s="62"/>
      <c r="AR24" s="121">
        <v>8.0</v>
      </c>
      <c r="AS24" s="143"/>
      <c r="AT24" s="143"/>
      <c r="AU24" s="143"/>
      <c r="AV24" s="143"/>
      <c r="AW24" s="143"/>
      <c r="AX24" s="141"/>
      <c r="AY24" s="141"/>
      <c r="AZ24" s="62">
        <f t="shared" si="14"/>
        <v>5.712</v>
      </c>
      <c r="BA24" s="121">
        <v>8.0</v>
      </c>
      <c r="BB24" s="123">
        <f>'PROY. INTER'!AX24</f>
        <v>10</v>
      </c>
      <c r="BC24" s="62">
        <f t="shared" si="15"/>
        <v>9</v>
      </c>
      <c r="BD24" s="62">
        <f t="shared" si="16"/>
        <v>2.7</v>
      </c>
      <c r="BE24" s="64">
        <f t="shared" si="17"/>
        <v>8.41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8.33</v>
      </c>
      <c r="CQ24" s="129">
        <f t="shared" si="25"/>
        <v>8.41</v>
      </c>
      <c r="CR24" s="129">
        <f t="shared" si="26"/>
        <v>0</v>
      </c>
      <c r="CS24" s="130">
        <f t="shared" si="27"/>
        <v>5.58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5.58</v>
      </c>
      <c r="DB24" s="136"/>
      <c r="DC24" s="137">
        <f t="shared" si="31"/>
        <v>5.58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7.0</v>
      </c>
      <c r="E25" s="139">
        <v>7.0</v>
      </c>
      <c r="F25" s="139">
        <v>8.0</v>
      </c>
      <c r="G25" s="140"/>
      <c r="H25" s="139">
        <v>7.0</v>
      </c>
      <c r="I25" s="139">
        <v>7.0</v>
      </c>
      <c r="J25" s="140"/>
      <c r="K25" s="140"/>
      <c r="L25" s="62"/>
      <c r="M25" s="62"/>
      <c r="N25" s="143"/>
      <c r="O25" s="143"/>
      <c r="P25" s="144">
        <v>8.0</v>
      </c>
      <c r="Q25" s="143"/>
      <c r="R25" s="143"/>
      <c r="S25" s="143"/>
      <c r="T25" s="141"/>
      <c r="U25" s="141"/>
      <c r="V25" s="62">
        <f t="shared" si="9"/>
        <v>5.131</v>
      </c>
      <c r="W25" s="121">
        <v>9.0</v>
      </c>
      <c r="X25" s="123">
        <f>'PROY. INTER'!W25</f>
        <v>6</v>
      </c>
      <c r="Y25" s="62">
        <f t="shared" si="10"/>
        <v>7.5</v>
      </c>
      <c r="Z25" s="62">
        <f t="shared" si="11"/>
        <v>2.25</v>
      </c>
      <c r="AA25" s="64">
        <f t="shared" si="12"/>
        <v>7.38</v>
      </c>
      <c r="AC25" s="2"/>
      <c r="AE25" s="56">
        <v>14.0</v>
      </c>
      <c r="AF25" s="124" t="str">
        <f t="shared" ref="AF25:AG25" si="77">B25</f>
        <v/>
      </c>
      <c r="AG25" s="65" t="str">
        <f t="shared" si="77"/>
        <v>Gonzalez Gonzalez Jean Carlos</v>
      </c>
      <c r="AH25" s="139">
        <v>8.0</v>
      </c>
      <c r="AI25" s="139">
        <v>8.0</v>
      </c>
      <c r="AJ25" s="139">
        <v>8.0</v>
      </c>
      <c r="AK25" s="140"/>
      <c r="AL25" s="139">
        <v>8.0</v>
      </c>
      <c r="AM25" s="139">
        <v>7.0</v>
      </c>
      <c r="AN25" s="140"/>
      <c r="AO25" s="140"/>
      <c r="AP25" s="62"/>
      <c r="AQ25" s="62"/>
      <c r="AR25" s="121">
        <v>8.0</v>
      </c>
      <c r="AS25" s="143"/>
      <c r="AT25" s="143"/>
      <c r="AU25" s="143"/>
      <c r="AV25" s="143"/>
      <c r="AW25" s="143"/>
      <c r="AX25" s="141"/>
      <c r="AY25" s="141"/>
      <c r="AZ25" s="62">
        <f t="shared" si="14"/>
        <v>5.481</v>
      </c>
      <c r="BA25" s="121">
        <v>9.0</v>
      </c>
      <c r="BB25" s="123">
        <f>'PROY. INTER'!AX25</f>
        <v>10</v>
      </c>
      <c r="BC25" s="62">
        <f t="shared" si="15"/>
        <v>9.5</v>
      </c>
      <c r="BD25" s="62">
        <f t="shared" si="16"/>
        <v>2.85</v>
      </c>
      <c r="BE25" s="64">
        <f t="shared" si="17"/>
        <v>8.33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7.38</v>
      </c>
      <c r="CQ25" s="129">
        <f t="shared" si="25"/>
        <v>8.33</v>
      </c>
      <c r="CR25" s="129">
        <f t="shared" si="26"/>
        <v>0</v>
      </c>
      <c r="CS25" s="130">
        <f t="shared" si="27"/>
        <v>5.23</v>
      </c>
      <c r="CT25" s="131" t="str">
        <f t="shared" si="28"/>
        <v>SUPLETORIO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5.23</v>
      </c>
      <c r="DB25" s="136"/>
      <c r="DC25" s="137">
        <f t="shared" si="31"/>
        <v>5.23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8.0</v>
      </c>
      <c r="E26" s="139">
        <v>8.0</v>
      </c>
      <c r="F26" s="139">
        <v>7.0</v>
      </c>
      <c r="G26" s="140"/>
      <c r="H26" s="139">
        <v>8.0</v>
      </c>
      <c r="I26" s="139">
        <v>8.0</v>
      </c>
      <c r="J26" s="140"/>
      <c r="K26" s="140"/>
      <c r="L26" s="62"/>
      <c r="M26" s="62"/>
      <c r="N26" s="143"/>
      <c r="O26" s="143"/>
      <c r="P26" s="144">
        <v>10.0</v>
      </c>
      <c r="Q26" s="143"/>
      <c r="R26" s="143"/>
      <c r="S26" s="143"/>
      <c r="T26" s="141"/>
      <c r="U26" s="141"/>
      <c r="V26" s="62">
        <f t="shared" si="9"/>
        <v>5.712</v>
      </c>
      <c r="W26" s="121">
        <v>10.0</v>
      </c>
      <c r="X26" s="123">
        <f>'PROY. INTER'!W26</f>
        <v>7.73</v>
      </c>
      <c r="Y26" s="62">
        <f t="shared" si="10"/>
        <v>8.865</v>
      </c>
      <c r="Z26" s="62">
        <f t="shared" si="11"/>
        <v>2.6595</v>
      </c>
      <c r="AA26" s="64">
        <f t="shared" si="12"/>
        <v>8.37</v>
      </c>
      <c r="AC26" s="2"/>
      <c r="AE26" s="56">
        <v>15.0</v>
      </c>
      <c r="AF26" s="124" t="str">
        <f t="shared" ref="AF26:AG26" si="81">B26</f>
        <v/>
      </c>
      <c r="AG26" s="65" t="str">
        <f t="shared" si="81"/>
        <v>Guevara Benites Jean Pierre</v>
      </c>
      <c r="AH26" s="139">
        <v>8.0</v>
      </c>
      <c r="AI26" s="139">
        <v>8.0</v>
      </c>
      <c r="AJ26" s="139">
        <v>10.0</v>
      </c>
      <c r="AK26" s="140"/>
      <c r="AL26" s="139">
        <v>10.0</v>
      </c>
      <c r="AM26" s="139">
        <v>8.0</v>
      </c>
      <c r="AN26" s="140"/>
      <c r="AO26" s="140"/>
      <c r="AP26" s="62"/>
      <c r="AQ26" s="62"/>
      <c r="AR26" s="121">
        <v>10.0</v>
      </c>
      <c r="AS26" s="143"/>
      <c r="AT26" s="143"/>
      <c r="AU26" s="143"/>
      <c r="AV26" s="143"/>
      <c r="AW26" s="143"/>
      <c r="AX26" s="141"/>
      <c r="AY26" s="141"/>
      <c r="AZ26" s="62">
        <f t="shared" si="14"/>
        <v>6.3</v>
      </c>
      <c r="BA26" s="121">
        <v>10.0</v>
      </c>
      <c r="BB26" s="123">
        <f>'PROY. INTER'!AX26</f>
        <v>10</v>
      </c>
      <c r="BC26" s="62">
        <f t="shared" si="15"/>
        <v>10</v>
      </c>
      <c r="BD26" s="62">
        <f t="shared" si="16"/>
        <v>3</v>
      </c>
      <c r="BE26" s="64">
        <f t="shared" si="17"/>
        <v>9.3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8.37</v>
      </c>
      <c r="CQ26" s="129">
        <f t="shared" si="25"/>
        <v>9.3</v>
      </c>
      <c r="CR26" s="129">
        <f t="shared" si="26"/>
        <v>0</v>
      </c>
      <c r="CS26" s="130">
        <f t="shared" si="27"/>
        <v>5.89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5.89</v>
      </c>
      <c r="DB26" s="136"/>
      <c r="DC26" s="137">
        <f t="shared" si="31"/>
        <v>5.89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7.0</v>
      </c>
      <c r="E27" s="139">
        <v>7.0</v>
      </c>
      <c r="F27" s="139">
        <v>7.0</v>
      </c>
      <c r="G27" s="140"/>
      <c r="H27" s="139">
        <v>8.0</v>
      </c>
      <c r="I27" s="139">
        <v>8.0</v>
      </c>
      <c r="J27" s="140"/>
      <c r="K27" s="140"/>
      <c r="L27" s="62"/>
      <c r="M27" s="62"/>
      <c r="N27" s="143"/>
      <c r="O27" s="143"/>
      <c r="P27" s="144">
        <v>8.0</v>
      </c>
      <c r="Q27" s="143"/>
      <c r="R27" s="143"/>
      <c r="S27" s="143"/>
      <c r="T27" s="141"/>
      <c r="U27" s="141"/>
      <c r="V27" s="62">
        <f t="shared" si="9"/>
        <v>5.25</v>
      </c>
      <c r="W27" s="121">
        <v>9.0</v>
      </c>
      <c r="X27" s="123">
        <f>'PROY. INTER'!W27</f>
        <v>6</v>
      </c>
      <c r="Y27" s="62">
        <f t="shared" si="10"/>
        <v>7.5</v>
      </c>
      <c r="Z27" s="62">
        <f t="shared" si="11"/>
        <v>2.25</v>
      </c>
      <c r="AA27" s="64">
        <f t="shared" si="12"/>
        <v>7.5</v>
      </c>
      <c r="AC27" s="2"/>
      <c r="AE27" s="56">
        <v>16.0</v>
      </c>
      <c r="AF27" s="124" t="str">
        <f t="shared" ref="AF27:AG27" si="85">B27</f>
        <v/>
      </c>
      <c r="AG27" s="65" t="str">
        <f t="shared" si="85"/>
        <v>Mero Carcamo Adriana Carolina</v>
      </c>
      <c r="AH27" s="139">
        <v>8.0</v>
      </c>
      <c r="AI27" s="139">
        <v>7.0</v>
      </c>
      <c r="AJ27" s="139">
        <v>8.0</v>
      </c>
      <c r="AK27" s="140"/>
      <c r="AL27" s="139">
        <v>8.0</v>
      </c>
      <c r="AM27" s="139">
        <v>10.0</v>
      </c>
      <c r="AN27" s="140"/>
      <c r="AO27" s="140"/>
      <c r="AP27" s="62"/>
      <c r="AQ27" s="62"/>
      <c r="AR27" s="121">
        <v>8.0</v>
      </c>
      <c r="AS27" s="143"/>
      <c r="AT27" s="143"/>
      <c r="AU27" s="143"/>
      <c r="AV27" s="143"/>
      <c r="AW27" s="143"/>
      <c r="AX27" s="141"/>
      <c r="AY27" s="141"/>
      <c r="AZ27" s="62">
        <f t="shared" si="14"/>
        <v>5.712</v>
      </c>
      <c r="BA27" s="121">
        <v>10.0</v>
      </c>
      <c r="BB27" s="123">
        <f>'PROY. INTER'!AX27</f>
        <v>2</v>
      </c>
      <c r="BC27" s="62">
        <f t="shared" si="15"/>
        <v>6</v>
      </c>
      <c r="BD27" s="62">
        <f t="shared" si="16"/>
        <v>1.8</v>
      </c>
      <c r="BE27" s="64">
        <f t="shared" si="17"/>
        <v>7.51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7.5</v>
      </c>
      <c r="CQ27" s="129">
        <f t="shared" si="25"/>
        <v>7.51</v>
      </c>
      <c r="CR27" s="129">
        <f t="shared" si="26"/>
        <v>0</v>
      </c>
      <c r="CS27" s="130">
        <f t="shared" si="27"/>
        <v>5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5</v>
      </c>
      <c r="DB27" s="136"/>
      <c r="DC27" s="137">
        <f t="shared" si="31"/>
        <v>5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8.0</v>
      </c>
      <c r="E28" s="139">
        <v>10.0</v>
      </c>
      <c r="F28" s="139">
        <v>10.0</v>
      </c>
      <c r="G28" s="140"/>
      <c r="H28" s="139">
        <v>7.0</v>
      </c>
      <c r="I28" s="139">
        <v>7.0</v>
      </c>
      <c r="J28" s="140"/>
      <c r="K28" s="140"/>
      <c r="L28" s="62"/>
      <c r="M28" s="62"/>
      <c r="N28" s="143"/>
      <c r="O28" s="143"/>
      <c r="P28" s="144">
        <v>10.0</v>
      </c>
      <c r="Q28" s="143"/>
      <c r="R28" s="143"/>
      <c r="S28" s="143"/>
      <c r="T28" s="141"/>
      <c r="U28" s="141"/>
      <c r="V28" s="62">
        <f t="shared" si="9"/>
        <v>6.062</v>
      </c>
      <c r="W28" s="121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9.02</v>
      </c>
      <c r="AC28" s="2"/>
      <c r="AE28" s="56">
        <v>17.0</v>
      </c>
      <c r="AF28" s="124" t="str">
        <f t="shared" ref="AF28:AG28" si="89">B28</f>
        <v/>
      </c>
      <c r="AG28" s="65" t="str">
        <f t="shared" si="89"/>
        <v>Moreira Villamar Darwin Matias</v>
      </c>
      <c r="AH28" s="139">
        <v>10.0</v>
      </c>
      <c r="AI28" s="139">
        <v>10.0</v>
      </c>
      <c r="AJ28" s="139">
        <v>10.0</v>
      </c>
      <c r="AK28" s="140"/>
      <c r="AL28" s="139">
        <v>10.0</v>
      </c>
      <c r="AM28" s="139">
        <v>10.0</v>
      </c>
      <c r="AN28" s="140"/>
      <c r="AO28" s="140"/>
      <c r="AP28" s="62"/>
      <c r="AQ28" s="62"/>
      <c r="AR28" s="121">
        <v>10.0</v>
      </c>
      <c r="AS28" s="143"/>
      <c r="AT28" s="143"/>
      <c r="AU28" s="143"/>
      <c r="AV28" s="143"/>
      <c r="AW28" s="143"/>
      <c r="AX28" s="141"/>
      <c r="AY28" s="141"/>
      <c r="AZ28" s="62">
        <f t="shared" si="14"/>
        <v>7</v>
      </c>
      <c r="BA28" s="121">
        <v>10.0</v>
      </c>
      <c r="BB28" s="123">
        <f>'PROY. INTER'!AX28</f>
        <v>10</v>
      </c>
      <c r="BC28" s="62">
        <f t="shared" si="15"/>
        <v>10</v>
      </c>
      <c r="BD28" s="62">
        <f t="shared" si="16"/>
        <v>3</v>
      </c>
      <c r="BE28" s="64">
        <f t="shared" si="17"/>
        <v>10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9.02</v>
      </c>
      <c r="CQ28" s="129">
        <f t="shared" si="25"/>
        <v>10</v>
      </c>
      <c r="CR28" s="129">
        <f t="shared" si="26"/>
        <v>0</v>
      </c>
      <c r="CS28" s="130">
        <f t="shared" si="27"/>
        <v>6.34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6.34</v>
      </c>
      <c r="DB28" s="136"/>
      <c r="DC28" s="137">
        <f t="shared" si="31"/>
        <v>6.34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39">
        <v>10.0</v>
      </c>
      <c r="F29" s="139">
        <v>10.0</v>
      </c>
      <c r="G29" s="140"/>
      <c r="H29" s="139">
        <v>10.0</v>
      </c>
      <c r="I29" s="139">
        <v>10.0</v>
      </c>
      <c r="J29" s="140"/>
      <c r="K29" s="140"/>
      <c r="L29" s="62"/>
      <c r="M29" s="62"/>
      <c r="N29" s="143"/>
      <c r="O29" s="143"/>
      <c r="P29" s="144">
        <v>10.0</v>
      </c>
      <c r="Q29" s="143"/>
      <c r="R29" s="143"/>
      <c r="S29" s="143"/>
      <c r="T29" s="141"/>
      <c r="U29" s="141"/>
      <c r="V29" s="62">
        <f t="shared" si="9"/>
        <v>7</v>
      </c>
      <c r="W29" s="121">
        <v>10.0</v>
      </c>
      <c r="X29" s="123">
        <f>'PROY. INTER'!W29</f>
        <v>9.2</v>
      </c>
      <c r="Y29" s="62">
        <f t="shared" si="10"/>
        <v>9.6</v>
      </c>
      <c r="Z29" s="62">
        <f t="shared" si="11"/>
        <v>2.88</v>
      </c>
      <c r="AA29" s="64">
        <f t="shared" si="12"/>
        <v>9.88</v>
      </c>
      <c r="AC29" s="2"/>
      <c r="AE29" s="56">
        <v>18.0</v>
      </c>
      <c r="AF29" s="124" t="str">
        <f t="shared" ref="AF29:AG29" si="93">B29</f>
        <v/>
      </c>
      <c r="AG29" s="65" t="str">
        <f t="shared" si="93"/>
        <v>Peña Macias Enrique Alexander</v>
      </c>
      <c r="AH29" s="139">
        <v>10.0</v>
      </c>
      <c r="AI29" s="139">
        <v>10.0</v>
      </c>
      <c r="AJ29" s="139">
        <v>10.0</v>
      </c>
      <c r="AK29" s="140"/>
      <c r="AL29" s="139">
        <v>8.0</v>
      </c>
      <c r="AM29" s="139">
        <v>8.0</v>
      </c>
      <c r="AN29" s="140"/>
      <c r="AO29" s="140"/>
      <c r="AP29" s="62"/>
      <c r="AQ29" s="62"/>
      <c r="AR29" s="121">
        <v>10.0</v>
      </c>
      <c r="AS29" s="143"/>
      <c r="AT29" s="143"/>
      <c r="AU29" s="143"/>
      <c r="AV29" s="143"/>
      <c r="AW29" s="143"/>
      <c r="AX29" s="141"/>
      <c r="AY29" s="141"/>
      <c r="AZ29" s="62">
        <f t="shared" si="14"/>
        <v>6.531</v>
      </c>
      <c r="BA29" s="121">
        <v>10.0</v>
      </c>
      <c r="BB29" s="123">
        <f>'PROY. INTER'!AX29</f>
        <v>10</v>
      </c>
      <c r="BC29" s="62">
        <f t="shared" si="15"/>
        <v>10</v>
      </c>
      <c r="BD29" s="62">
        <f t="shared" si="16"/>
        <v>3</v>
      </c>
      <c r="BE29" s="64">
        <f t="shared" si="17"/>
        <v>9.53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9.88</v>
      </c>
      <c r="CQ29" s="129">
        <f t="shared" si="25"/>
        <v>9.53</v>
      </c>
      <c r="CR29" s="129">
        <f t="shared" si="26"/>
        <v>0</v>
      </c>
      <c r="CS29" s="130">
        <f t="shared" si="27"/>
        <v>6.47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6.47</v>
      </c>
      <c r="DB29" s="136"/>
      <c r="DC29" s="137">
        <f t="shared" si="31"/>
        <v>6.47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8.0</v>
      </c>
      <c r="E30" s="139">
        <v>8.0</v>
      </c>
      <c r="F30" s="139">
        <v>9.0</v>
      </c>
      <c r="G30" s="140"/>
      <c r="H30" s="139">
        <v>8.0</v>
      </c>
      <c r="I30" s="139">
        <v>8.0</v>
      </c>
      <c r="J30" s="140"/>
      <c r="K30" s="140"/>
      <c r="L30" s="62"/>
      <c r="M30" s="62"/>
      <c r="N30" s="143"/>
      <c r="O30" s="143"/>
      <c r="P30" s="144">
        <v>10.0</v>
      </c>
      <c r="Q30" s="143"/>
      <c r="R30" s="143"/>
      <c r="S30" s="143"/>
      <c r="T30" s="141"/>
      <c r="U30" s="141"/>
      <c r="V30" s="62">
        <f t="shared" si="9"/>
        <v>5.95</v>
      </c>
      <c r="W30" s="121">
        <v>10.0</v>
      </c>
      <c r="X30" s="123">
        <f>'PROY. INTER'!W30</f>
        <v>9.47</v>
      </c>
      <c r="Y30" s="62">
        <f t="shared" si="10"/>
        <v>9.735</v>
      </c>
      <c r="Z30" s="62">
        <f t="shared" si="11"/>
        <v>2.9205</v>
      </c>
      <c r="AA30" s="64">
        <f t="shared" si="12"/>
        <v>8.87</v>
      </c>
      <c r="AC30" s="2"/>
      <c r="AE30" s="56">
        <v>19.0</v>
      </c>
      <c r="AF30" s="124" t="str">
        <f t="shared" ref="AF30:AG30" si="97">B30</f>
        <v/>
      </c>
      <c r="AG30" s="65" t="str">
        <f t="shared" si="97"/>
        <v>Roman Arreaga Stefani Asley</v>
      </c>
      <c r="AH30" s="139">
        <v>8.0</v>
      </c>
      <c r="AI30" s="139">
        <v>8.0</v>
      </c>
      <c r="AJ30" s="139">
        <v>10.0</v>
      </c>
      <c r="AK30" s="140"/>
      <c r="AL30" s="139">
        <v>8.0</v>
      </c>
      <c r="AM30" s="139">
        <v>10.0</v>
      </c>
      <c r="AN30" s="140"/>
      <c r="AO30" s="140"/>
      <c r="AP30" s="62"/>
      <c r="AQ30" s="62"/>
      <c r="AR30" s="121">
        <v>10.0</v>
      </c>
      <c r="AS30" s="143"/>
      <c r="AT30" s="143"/>
      <c r="AU30" s="143"/>
      <c r="AV30" s="143"/>
      <c r="AW30" s="143"/>
      <c r="AX30" s="141"/>
      <c r="AY30" s="141"/>
      <c r="AZ30" s="62">
        <f t="shared" si="14"/>
        <v>6.3</v>
      </c>
      <c r="BA30" s="121">
        <v>10.0</v>
      </c>
      <c r="BB30" s="123">
        <f>'PROY. INTER'!AX30</f>
        <v>10</v>
      </c>
      <c r="BC30" s="62">
        <f t="shared" si="15"/>
        <v>10</v>
      </c>
      <c r="BD30" s="62">
        <f t="shared" si="16"/>
        <v>3</v>
      </c>
      <c r="BE30" s="64">
        <f t="shared" si="17"/>
        <v>9.3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8.87</v>
      </c>
      <c r="CQ30" s="129">
        <f t="shared" si="25"/>
        <v>9.3</v>
      </c>
      <c r="CR30" s="129">
        <f t="shared" si="26"/>
        <v>0</v>
      </c>
      <c r="CS30" s="130">
        <f t="shared" si="27"/>
        <v>6.05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6.05</v>
      </c>
      <c r="DB30" s="136"/>
      <c r="DC30" s="137">
        <f t="shared" si="31"/>
        <v>6.05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9.0</v>
      </c>
      <c r="E31" s="139">
        <v>9.0</v>
      </c>
      <c r="F31" s="139">
        <v>10.0</v>
      </c>
      <c r="G31" s="140"/>
      <c r="H31" s="139">
        <v>10.0</v>
      </c>
      <c r="I31" s="139">
        <v>10.0</v>
      </c>
      <c r="J31" s="140"/>
      <c r="K31" s="140"/>
      <c r="L31" s="62"/>
      <c r="M31" s="62"/>
      <c r="N31" s="143"/>
      <c r="O31" s="143"/>
      <c r="P31" s="144">
        <v>10.0</v>
      </c>
      <c r="Q31" s="143"/>
      <c r="R31" s="143"/>
      <c r="S31" s="143"/>
      <c r="T31" s="141"/>
      <c r="U31" s="141"/>
      <c r="V31" s="62">
        <f t="shared" si="9"/>
        <v>6.762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9.76</v>
      </c>
      <c r="AC31" s="2"/>
      <c r="AE31" s="56">
        <v>20.0</v>
      </c>
      <c r="AF31" s="124" t="str">
        <f t="shared" ref="AF31:AG31" si="101">B31</f>
        <v/>
      </c>
      <c r="AG31" s="65" t="str">
        <f t="shared" si="101"/>
        <v>Sánchez Ponce Sandra Stefania</v>
      </c>
      <c r="AH31" s="139">
        <v>10.0</v>
      </c>
      <c r="AI31" s="139">
        <v>10.0</v>
      </c>
      <c r="AJ31" s="139">
        <v>10.0</v>
      </c>
      <c r="AK31" s="140"/>
      <c r="AL31" s="139">
        <v>10.0</v>
      </c>
      <c r="AM31" s="139">
        <v>10.0</v>
      </c>
      <c r="AN31" s="140"/>
      <c r="AO31" s="140"/>
      <c r="AP31" s="62"/>
      <c r="AQ31" s="62"/>
      <c r="AR31" s="121">
        <v>10.0</v>
      </c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9.76</v>
      </c>
      <c r="CQ31" s="129">
        <f t="shared" si="25"/>
        <v>10</v>
      </c>
      <c r="CR31" s="129">
        <f t="shared" si="26"/>
        <v>0</v>
      </c>
      <c r="CS31" s="130">
        <f t="shared" si="27"/>
        <v>6.58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6.58</v>
      </c>
      <c r="DB31" s="136"/>
      <c r="DC31" s="137">
        <f t="shared" si="31"/>
        <v>6.58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7.0</v>
      </c>
      <c r="E32" s="139">
        <v>7.0</v>
      </c>
      <c r="F32" s="139">
        <v>7.0</v>
      </c>
      <c r="G32" s="140"/>
      <c r="H32" s="139">
        <v>7.0</v>
      </c>
      <c r="I32" s="139">
        <v>7.0</v>
      </c>
      <c r="J32" s="140"/>
      <c r="K32" s="140"/>
      <c r="L32" s="62"/>
      <c r="M32" s="62"/>
      <c r="N32" s="143"/>
      <c r="O32" s="143"/>
      <c r="P32" s="144">
        <v>8.0</v>
      </c>
      <c r="Q32" s="143"/>
      <c r="R32" s="143"/>
      <c r="S32" s="143"/>
      <c r="T32" s="141"/>
      <c r="U32" s="141"/>
      <c r="V32" s="62">
        <f t="shared" si="9"/>
        <v>5.012</v>
      </c>
      <c r="W32" s="121">
        <v>9.0</v>
      </c>
      <c r="X32" s="123">
        <f>'PROY. INTER'!W32</f>
        <v>6.47</v>
      </c>
      <c r="Y32" s="62">
        <f t="shared" si="10"/>
        <v>7.735</v>
      </c>
      <c r="Z32" s="62">
        <f t="shared" si="11"/>
        <v>2.3205</v>
      </c>
      <c r="AA32" s="64">
        <f t="shared" si="12"/>
        <v>7.33</v>
      </c>
      <c r="AC32" s="2"/>
      <c r="AE32" s="56">
        <v>21.0</v>
      </c>
      <c r="AF32" s="124" t="str">
        <f t="shared" ref="AF32:AG32" si="105">B32</f>
        <v/>
      </c>
      <c r="AG32" s="65" t="str">
        <f t="shared" si="105"/>
        <v>Torres Vera Anderson</v>
      </c>
      <c r="AH32" s="139">
        <v>8.0</v>
      </c>
      <c r="AI32" s="139">
        <v>7.0</v>
      </c>
      <c r="AJ32" s="139">
        <v>8.0</v>
      </c>
      <c r="AK32" s="140"/>
      <c r="AL32" s="139">
        <v>8.0</v>
      </c>
      <c r="AM32" s="139">
        <v>8.0</v>
      </c>
      <c r="AN32" s="140"/>
      <c r="AO32" s="140"/>
      <c r="AP32" s="62"/>
      <c r="AQ32" s="62"/>
      <c r="AR32" s="121">
        <v>7.0</v>
      </c>
      <c r="AS32" s="143"/>
      <c r="AT32" s="143"/>
      <c r="AU32" s="143"/>
      <c r="AV32" s="143"/>
      <c r="AW32" s="143"/>
      <c r="AX32" s="141"/>
      <c r="AY32" s="141"/>
      <c r="AZ32" s="62">
        <f t="shared" si="14"/>
        <v>5.362</v>
      </c>
      <c r="BA32" s="121">
        <v>10.0</v>
      </c>
      <c r="BB32" s="123">
        <f>'PROY. INTER'!AX32</f>
        <v>10</v>
      </c>
      <c r="BC32" s="62">
        <f t="shared" si="15"/>
        <v>10</v>
      </c>
      <c r="BD32" s="62">
        <f t="shared" si="16"/>
        <v>3</v>
      </c>
      <c r="BE32" s="64">
        <f t="shared" si="17"/>
        <v>8.36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7.33</v>
      </c>
      <c r="CQ32" s="129">
        <f t="shared" si="25"/>
        <v>8.36</v>
      </c>
      <c r="CR32" s="129">
        <f t="shared" si="26"/>
        <v>0</v>
      </c>
      <c r="CS32" s="130">
        <f t="shared" si="27"/>
        <v>5.23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5.23</v>
      </c>
      <c r="DB32" s="136"/>
      <c r="DC32" s="137">
        <f t="shared" si="31"/>
        <v>5.23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8.0</v>
      </c>
      <c r="E33" s="139">
        <v>8.0</v>
      </c>
      <c r="F33" s="139">
        <v>8.0</v>
      </c>
      <c r="G33" s="140"/>
      <c r="H33" s="139">
        <v>8.0</v>
      </c>
      <c r="I33" s="139">
        <v>8.0</v>
      </c>
      <c r="J33" s="140"/>
      <c r="K33" s="140"/>
      <c r="L33" s="62"/>
      <c r="M33" s="62"/>
      <c r="N33" s="143"/>
      <c r="O33" s="143"/>
      <c r="P33" s="144">
        <v>8.0</v>
      </c>
      <c r="Q33" s="143"/>
      <c r="R33" s="143"/>
      <c r="S33" s="143"/>
      <c r="T33" s="141"/>
      <c r="U33" s="141"/>
      <c r="V33" s="62">
        <f t="shared" si="9"/>
        <v>5.6</v>
      </c>
      <c r="W33" s="121">
        <v>10.0</v>
      </c>
      <c r="X33" s="123">
        <f>'PROY. INTER'!W33</f>
        <v>9.2</v>
      </c>
      <c r="Y33" s="62">
        <f t="shared" si="10"/>
        <v>9.6</v>
      </c>
      <c r="Z33" s="62">
        <f t="shared" si="11"/>
        <v>2.88</v>
      </c>
      <c r="AA33" s="64">
        <f t="shared" si="12"/>
        <v>8.48</v>
      </c>
      <c r="AC33" s="2"/>
      <c r="AE33" s="56">
        <v>22.0</v>
      </c>
      <c r="AF33" s="124" t="str">
        <f t="shared" ref="AF33:AG33" si="109">B33</f>
        <v/>
      </c>
      <c r="AG33" s="65" t="str">
        <f t="shared" si="109"/>
        <v>Valero Pefiafiel Carlos José</v>
      </c>
      <c r="AH33" s="139">
        <v>8.0</v>
      </c>
      <c r="AI33" s="139">
        <v>7.0</v>
      </c>
      <c r="AJ33" s="139">
        <v>7.0</v>
      </c>
      <c r="AK33" s="140"/>
      <c r="AL33" s="139">
        <v>8.0</v>
      </c>
      <c r="AM33" s="139">
        <v>8.0</v>
      </c>
      <c r="AN33" s="140"/>
      <c r="AO33" s="140"/>
      <c r="AP33" s="62"/>
      <c r="AQ33" s="62"/>
      <c r="AR33" s="121">
        <v>7.0</v>
      </c>
      <c r="AS33" s="143"/>
      <c r="AT33" s="143"/>
      <c r="AU33" s="143"/>
      <c r="AV33" s="143"/>
      <c r="AW33" s="143"/>
      <c r="AX33" s="141"/>
      <c r="AY33" s="141"/>
      <c r="AZ33" s="62">
        <f t="shared" si="14"/>
        <v>5.25</v>
      </c>
      <c r="BA33" s="121">
        <v>10.0</v>
      </c>
      <c r="BB33" s="123">
        <f>'PROY. INTER'!AX33</f>
        <v>10</v>
      </c>
      <c r="BC33" s="62">
        <f t="shared" si="15"/>
        <v>10</v>
      </c>
      <c r="BD33" s="62">
        <f t="shared" si="16"/>
        <v>3</v>
      </c>
      <c r="BE33" s="64">
        <f t="shared" si="17"/>
        <v>8.25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8.48</v>
      </c>
      <c r="CQ33" s="129">
        <f t="shared" si="25"/>
        <v>8.25</v>
      </c>
      <c r="CR33" s="129">
        <f t="shared" si="26"/>
        <v>0</v>
      </c>
      <c r="CS33" s="130">
        <f t="shared" si="27"/>
        <v>5.57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5.57</v>
      </c>
      <c r="DB33" s="136"/>
      <c r="DC33" s="137">
        <f t="shared" si="31"/>
        <v>5.57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8.0</v>
      </c>
      <c r="E34" s="139">
        <v>8.0</v>
      </c>
      <c r="F34" s="139">
        <v>8.0</v>
      </c>
      <c r="G34" s="140"/>
      <c r="H34" s="139">
        <v>7.0</v>
      </c>
      <c r="I34" s="139">
        <v>7.0</v>
      </c>
      <c r="J34" s="140"/>
      <c r="K34" s="140"/>
      <c r="L34" s="62"/>
      <c r="M34" s="62"/>
      <c r="N34" s="143"/>
      <c r="O34" s="143"/>
      <c r="P34" s="144">
        <v>10.0</v>
      </c>
      <c r="Q34" s="143"/>
      <c r="R34" s="143"/>
      <c r="S34" s="143"/>
      <c r="T34" s="141"/>
      <c r="U34" s="141"/>
      <c r="V34" s="62">
        <f t="shared" si="9"/>
        <v>5.6</v>
      </c>
      <c r="W34" s="121">
        <v>10.0</v>
      </c>
      <c r="X34" s="123">
        <f>'PROY. INTER'!W34</f>
        <v>7.33</v>
      </c>
      <c r="Y34" s="62">
        <f t="shared" si="10"/>
        <v>8.665</v>
      </c>
      <c r="Z34" s="62">
        <f t="shared" si="11"/>
        <v>2.5995</v>
      </c>
      <c r="AA34" s="64">
        <f t="shared" si="12"/>
        <v>8.19</v>
      </c>
      <c r="AC34" s="2"/>
      <c r="AE34" s="56">
        <v>23.0</v>
      </c>
      <c r="AF34" s="124" t="str">
        <f t="shared" ref="AF34:AG34" si="113">B34</f>
        <v/>
      </c>
      <c r="AG34" s="65" t="str">
        <f t="shared" si="113"/>
        <v>Veliz chicaiza Alex isaac</v>
      </c>
      <c r="AH34" s="139">
        <v>7.0</v>
      </c>
      <c r="AI34" s="139">
        <v>8.0</v>
      </c>
      <c r="AJ34" s="139">
        <v>8.0</v>
      </c>
      <c r="AK34" s="140"/>
      <c r="AL34" s="139">
        <v>7.0</v>
      </c>
      <c r="AM34" s="139">
        <v>8.0</v>
      </c>
      <c r="AN34" s="140"/>
      <c r="AO34" s="140"/>
      <c r="AP34" s="62"/>
      <c r="AQ34" s="62"/>
      <c r="AR34" s="121">
        <v>8.0</v>
      </c>
      <c r="AS34" s="143"/>
      <c r="AT34" s="143"/>
      <c r="AU34" s="143"/>
      <c r="AV34" s="143"/>
      <c r="AW34" s="143"/>
      <c r="AX34" s="141"/>
      <c r="AY34" s="141"/>
      <c r="AZ34" s="62">
        <f t="shared" si="14"/>
        <v>5.362</v>
      </c>
      <c r="BA34" s="121">
        <v>10.0</v>
      </c>
      <c r="BB34" s="123">
        <f>'PROY. INTER'!AX34</f>
        <v>10</v>
      </c>
      <c r="BC34" s="62">
        <f t="shared" si="15"/>
        <v>10</v>
      </c>
      <c r="BD34" s="62">
        <f t="shared" si="16"/>
        <v>3</v>
      </c>
      <c r="BE34" s="64">
        <f t="shared" si="17"/>
        <v>8.36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8.19</v>
      </c>
      <c r="CQ34" s="129">
        <f t="shared" si="25"/>
        <v>8.36</v>
      </c>
      <c r="CR34" s="129">
        <f t="shared" si="26"/>
        <v>0</v>
      </c>
      <c r="CS34" s="130">
        <f t="shared" si="27"/>
        <v>5.51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5.51</v>
      </c>
      <c r="DB34" s="136"/>
      <c r="DC34" s="137">
        <f t="shared" si="31"/>
        <v>5.51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7.0</v>
      </c>
      <c r="E35" s="139">
        <v>7.0</v>
      </c>
      <c r="F35" s="139">
        <v>8.0</v>
      </c>
      <c r="G35" s="140"/>
      <c r="H35" s="139">
        <v>8.0</v>
      </c>
      <c r="I35" s="139">
        <v>8.0</v>
      </c>
      <c r="J35" s="140"/>
      <c r="K35" s="140"/>
      <c r="L35" s="62"/>
      <c r="M35" s="62"/>
      <c r="N35" s="143"/>
      <c r="O35" s="143"/>
      <c r="P35" s="144">
        <v>10.0</v>
      </c>
      <c r="Q35" s="143"/>
      <c r="R35" s="143"/>
      <c r="S35" s="143"/>
      <c r="T35" s="141"/>
      <c r="U35" s="141"/>
      <c r="V35" s="62">
        <f t="shared" si="9"/>
        <v>5.6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8.55</v>
      </c>
      <c r="AC35" s="2"/>
      <c r="AE35" s="56">
        <v>24.0</v>
      </c>
      <c r="AF35" s="124" t="str">
        <f t="shared" ref="AF35:AG35" si="117">B35</f>
        <v/>
      </c>
      <c r="AG35" s="65" t="str">
        <f t="shared" si="117"/>
        <v>Zambrano Zhicay Victor Humberto</v>
      </c>
      <c r="AH35" s="139">
        <v>8.0</v>
      </c>
      <c r="AI35" s="139">
        <v>10.0</v>
      </c>
      <c r="AJ35" s="139">
        <v>8.0</v>
      </c>
      <c r="AK35" s="140"/>
      <c r="AL35" s="139">
        <v>10.0</v>
      </c>
      <c r="AM35" s="139">
        <v>8.0</v>
      </c>
      <c r="AN35" s="140"/>
      <c r="AO35" s="140"/>
      <c r="AP35" s="62"/>
      <c r="AQ35" s="62"/>
      <c r="AR35" s="121">
        <v>8.0</v>
      </c>
      <c r="AS35" s="143"/>
      <c r="AT35" s="143"/>
      <c r="AU35" s="143"/>
      <c r="AV35" s="143"/>
      <c r="AW35" s="143"/>
      <c r="AX35" s="141"/>
      <c r="AY35" s="141"/>
      <c r="AZ35" s="62">
        <f t="shared" si="14"/>
        <v>6.062</v>
      </c>
      <c r="BA35" s="121">
        <v>9.0</v>
      </c>
      <c r="BB35" s="123">
        <f>'PROY. INTER'!AX35</f>
        <v>10</v>
      </c>
      <c r="BC35" s="62">
        <f t="shared" si="15"/>
        <v>9.5</v>
      </c>
      <c r="BD35" s="62">
        <f t="shared" si="16"/>
        <v>2.85</v>
      </c>
      <c r="BE35" s="64">
        <f t="shared" si="17"/>
        <v>8.91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8.55</v>
      </c>
      <c r="CQ35" s="129">
        <f t="shared" si="25"/>
        <v>8.91</v>
      </c>
      <c r="CR35" s="129">
        <f t="shared" si="26"/>
        <v>0</v>
      </c>
      <c r="CS35" s="130">
        <f t="shared" si="27"/>
        <v>5.82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5.82</v>
      </c>
      <c r="DB35" s="136"/>
      <c r="DC35" s="137">
        <f t="shared" si="31"/>
        <v>5.82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6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39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6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6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6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6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6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62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5.592916667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23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1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S" sqref="BL12:CC61 CE12:CE61">
      <formula1>0.0</formula1>
      <formula2>10.0</formula2>
    </dataValidation>
    <dataValidation type="decimal" allowBlank="1" showInputMessage="1" showErrorMessage="1" prompt="EL VALOR DEBE SER ENTRE 0 Y 10 PTS" sqref="D12:U61 W12:W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184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Ing. Eleana Pluas Pino, Mgter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Ing. Eleana Pluas Pino, Mgter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Ing. Eleana Pluas Pino, Mgter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Ing. Eleana Pluas Pino, Mgter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3" t="s">
        <v>193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PAQUETES CONTABLES 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PAQUETES CONTABLES 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PAQUETES CONTABLES 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PAQUETES CONTABLES 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195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196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197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'PAQUETES CONTABLES '!CM10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10.0</v>
      </c>
      <c r="E12" s="120"/>
      <c r="F12" s="119">
        <v>10.0</v>
      </c>
      <c r="G12" s="120"/>
      <c r="H12" s="119">
        <v>10.0</v>
      </c>
      <c r="I12" s="120"/>
      <c r="J12" s="119">
        <v>9.0</v>
      </c>
      <c r="K12" s="120"/>
      <c r="L12" s="62"/>
      <c r="M12" s="62"/>
      <c r="N12" s="121">
        <v>10.0</v>
      </c>
      <c r="O12" s="62"/>
      <c r="P12" s="121">
        <v>9.0</v>
      </c>
      <c r="Q12" s="62"/>
      <c r="R12" s="121">
        <v>9.0</v>
      </c>
      <c r="S12" s="62"/>
      <c r="T12" s="122"/>
      <c r="U12" s="122"/>
      <c r="V12" s="62">
        <f t="shared" ref="V12:V61" si="9">IFERROR(TRUNC(AVERAGE(D12:U12),2),"")*70/100</f>
        <v>6.699</v>
      </c>
      <c r="W12" s="121">
        <v>10.0</v>
      </c>
      <c r="X12" s="123">
        <f>'PROY. INTER'!W12</f>
        <v>10</v>
      </c>
      <c r="Y12" s="62">
        <f t="shared" ref="Y12:Y61" si="10">AVERAGE(W12:X12)</f>
        <v>10</v>
      </c>
      <c r="Z12" s="62">
        <f t="shared" ref="Z12:Z61" si="11">Y12*30/100</f>
        <v>3</v>
      </c>
      <c r="AA12" s="64">
        <f t="shared" ref="AA12:AA61" si="12">IFERROR(TRUNC(SUM(V12+Z12),2),"")</f>
        <v>9.69</v>
      </c>
      <c r="AC12" s="2"/>
      <c r="AE12" s="56">
        <v>1.0</v>
      </c>
      <c r="AF12" s="124" t="str">
        <f t="shared" ref="AF12:AG12" si="5">B12</f>
        <v/>
      </c>
      <c r="AG12" s="65" t="str">
        <f t="shared" si="5"/>
        <v>Almeida Alvarado Ariana Guisela</v>
      </c>
      <c r="AH12" s="139">
        <v>10.0</v>
      </c>
      <c r="AI12" s="140"/>
      <c r="AJ12" s="139">
        <v>10.0</v>
      </c>
      <c r="AK12" s="140"/>
      <c r="AL12" s="139">
        <v>10.0</v>
      </c>
      <c r="AM12" s="140"/>
      <c r="AN12" s="140"/>
      <c r="AO12" s="140"/>
      <c r="AP12" s="62"/>
      <c r="AQ12" s="62"/>
      <c r="AR12" s="62"/>
      <c r="AS12" s="62"/>
      <c r="AT12" s="121">
        <v>10.0</v>
      </c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10.0</v>
      </c>
      <c r="BB12" s="123">
        <f>'PROY. INTER'!AX12</f>
        <v>10</v>
      </c>
      <c r="BC12" s="62">
        <f t="shared" ref="BC12:BC61" si="15">AVERAGE(BA12:BB12)</f>
        <v>10</v>
      </c>
      <c r="BD12" s="62">
        <f t="shared" ref="BD12:BD61" si="16">BC12*30/100</f>
        <v>3</v>
      </c>
      <c r="BE12" s="64">
        <f t="shared" ref="BE12:BE61" si="17">IFERROR(TRUNC(SUM(AZ12+BD12),2),"")</f>
        <v>10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9.69</v>
      </c>
      <c r="CQ12" s="129">
        <f t="shared" ref="CQ12:CQ61" si="25">BE12</f>
        <v>10</v>
      </c>
      <c r="CR12" s="129">
        <f t="shared" ref="CR12:CR61" si="26">CI12</f>
        <v>0</v>
      </c>
      <c r="CS12" s="130">
        <f t="shared" ref="CS12:CS61" si="27">IFERROR(TRUNC(AVERAGE(CP12:CR12),2),"")*100/100</f>
        <v>6.56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135">
        <f t="shared" ref="DA12:DA61" si="30">CS12</f>
        <v>6.56</v>
      </c>
      <c r="DB12" s="136"/>
      <c r="DC12" s="137">
        <f t="shared" ref="DC12:DC61" si="31">IF(DA12&gt;=7,DA12,IF(DA12="","",IF(DB12="",AVERAGE(DA12:DB12),IF(AND(DA12&lt;4.01,DB12&lt;&gt;""),DA12,IF(DB12&lt;7,DA12,7)))))</f>
        <v>6.56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10.0</v>
      </c>
      <c r="E13" s="140"/>
      <c r="F13" s="139">
        <v>9.0</v>
      </c>
      <c r="G13" s="140"/>
      <c r="H13" s="139">
        <v>10.0</v>
      </c>
      <c r="I13" s="140"/>
      <c r="J13" s="139">
        <v>10.0</v>
      </c>
      <c r="K13" s="140"/>
      <c r="L13" s="62"/>
      <c r="M13" s="62"/>
      <c r="N13" s="121">
        <v>10.0</v>
      </c>
      <c r="O13" s="62"/>
      <c r="P13" s="121">
        <v>10.0</v>
      </c>
      <c r="Q13" s="62"/>
      <c r="R13" s="121">
        <v>9.0</v>
      </c>
      <c r="S13" s="62"/>
      <c r="T13" s="141"/>
      <c r="U13" s="141"/>
      <c r="V13" s="62">
        <f t="shared" si="9"/>
        <v>6.797</v>
      </c>
      <c r="W13" s="121">
        <v>10.0</v>
      </c>
      <c r="X13" s="123">
        <f>'PROY. INTER'!W13</f>
        <v>10</v>
      </c>
      <c r="Y13" s="62">
        <f t="shared" si="10"/>
        <v>10</v>
      </c>
      <c r="Z13" s="62">
        <f t="shared" si="11"/>
        <v>3</v>
      </c>
      <c r="AA13" s="64">
        <f t="shared" si="12"/>
        <v>9.79</v>
      </c>
      <c r="AC13" s="2"/>
      <c r="AE13" s="56">
        <v>2.0</v>
      </c>
      <c r="AF13" s="124" t="str">
        <f t="shared" ref="AF13:AG13" si="13">B13</f>
        <v/>
      </c>
      <c r="AG13" s="65" t="str">
        <f t="shared" si="13"/>
        <v>Alvarado Vargas Dacmar Alejandra</v>
      </c>
      <c r="AH13" s="139">
        <v>10.0</v>
      </c>
      <c r="AI13" s="140"/>
      <c r="AJ13" s="139">
        <v>10.0</v>
      </c>
      <c r="AK13" s="140"/>
      <c r="AL13" s="139">
        <v>10.0</v>
      </c>
      <c r="AM13" s="140"/>
      <c r="AN13" s="140"/>
      <c r="AO13" s="140"/>
      <c r="AP13" s="62"/>
      <c r="AQ13" s="62"/>
      <c r="AR13" s="62"/>
      <c r="AS13" s="62"/>
      <c r="AT13" s="121">
        <v>10.0</v>
      </c>
      <c r="AU13" s="62"/>
      <c r="AV13" s="62"/>
      <c r="AW13" s="62"/>
      <c r="AX13" s="141"/>
      <c r="AY13" s="141"/>
      <c r="AZ13" s="62">
        <f t="shared" si="14"/>
        <v>7</v>
      </c>
      <c r="BA13" s="121">
        <v>10.0</v>
      </c>
      <c r="BB13" s="123">
        <f>'PROY. INTER'!AX13</f>
        <v>10</v>
      </c>
      <c r="BC13" s="62">
        <f t="shared" si="15"/>
        <v>10</v>
      </c>
      <c r="BD13" s="62">
        <f t="shared" si="16"/>
        <v>3</v>
      </c>
      <c r="BE13" s="64">
        <f t="shared" si="17"/>
        <v>10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9.79</v>
      </c>
      <c r="CQ13" s="129">
        <f t="shared" si="25"/>
        <v>10</v>
      </c>
      <c r="CR13" s="129">
        <f t="shared" si="26"/>
        <v>0</v>
      </c>
      <c r="CS13" s="130">
        <f t="shared" si="27"/>
        <v>6.59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135">
        <f t="shared" si="30"/>
        <v>6.59</v>
      </c>
      <c r="DB13" s="142"/>
      <c r="DC13" s="137">
        <f t="shared" si="31"/>
        <v>6.59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8.0</v>
      </c>
      <c r="E14" s="140"/>
      <c r="F14" s="139">
        <v>5.0</v>
      </c>
      <c r="G14" s="140"/>
      <c r="H14" s="139">
        <v>7.0</v>
      </c>
      <c r="I14" s="140"/>
      <c r="J14" s="139">
        <v>7.0</v>
      </c>
      <c r="K14" s="140"/>
      <c r="L14" s="62"/>
      <c r="M14" s="62"/>
      <c r="N14" s="144">
        <v>8.0</v>
      </c>
      <c r="O14" s="143"/>
      <c r="P14" s="144">
        <v>7.0</v>
      </c>
      <c r="Q14" s="143"/>
      <c r="R14" s="144">
        <v>8.0</v>
      </c>
      <c r="S14" s="143"/>
      <c r="T14" s="141"/>
      <c r="U14" s="141"/>
      <c r="V14" s="62">
        <f t="shared" si="9"/>
        <v>4.998</v>
      </c>
      <c r="W14" s="121">
        <v>8.0</v>
      </c>
      <c r="X14" s="123">
        <f>'PROY. INTER'!W14</f>
        <v>8.2</v>
      </c>
      <c r="Y14" s="62">
        <f t="shared" si="10"/>
        <v>8.1</v>
      </c>
      <c r="Z14" s="62">
        <f t="shared" si="11"/>
        <v>2.43</v>
      </c>
      <c r="AA14" s="64">
        <f t="shared" si="12"/>
        <v>7.42</v>
      </c>
      <c r="AC14" s="2"/>
      <c r="AE14" s="56">
        <v>3.0</v>
      </c>
      <c r="AF14" s="124" t="str">
        <f t="shared" ref="AF14:AG14" si="33">B14</f>
        <v/>
      </c>
      <c r="AG14" s="65" t="str">
        <f t="shared" si="33"/>
        <v>Ampuero Cornejo Cesar Jeanpierre</v>
      </c>
      <c r="AH14" s="139">
        <v>10.0</v>
      </c>
      <c r="AI14" s="140"/>
      <c r="AJ14" s="139">
        <v>8.0</v>
      </c>
      <c r="AK14" s="140"/>
      <c r="AL14" s="139">
        <v>10.0</v>
      </c>
      <c r="AM14" s="140"/>
      <c r="AN14" s="140"/>
      <c r="AO14" s="140"/>
      <c r="AP14" s="62"/>
      <c r="AQ14" s="62"/>
      <c r="AR14" s="62"/>
      <c r="AS14" s="143"/>
      <c r="AT14" s="121">
        <v>10.0</v>
      </c>
      <c r="AU14" s="143"/>
      <c r="AV14" s="143"/>
      <c r="AW14" s="143"/>
      <c r="AX14" s="141"/>
      <c r="AY14" s="141"/>
      <c r="AZ14" s="62">
        <f t="shared" si="14"/>
        <v>6.65</v>
      </c>
      <c r="BA14" s="121">
        <v>7.0</v>
      </c>
      <c r="BB14" s="123">
        <f>'PROY. INTER'!AX14</f>
        <v>10</v>
      </c>
      <c r="BC14" s="62">
        <f t="shared" si="15"/>
        <v>8.5</v>
      </c>
      <c r="BD14" s="62">
        <f t="shared" si="16"/>
        <v>2.55</v>
      </c>
      <c r="BE14" s="64">
        <f t="shared" si="17"/>
        <v>9.2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7.42</v>
      </c>
      <c r="CQ14" s="129">
        <f t="shared" si="25"/>
        <v>9.2</v>
      </c>
      <c r="CR14" s="129">
        <f t="shared" si="26"/>
        <v>0</v>
      </c>
      <c r="CS14" s="130">
        <f t="shared" si="27"/>
        <v>5.54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135">
        <f t="shared" si="30"/>
        <v>5.54</v>
      </c>
      <c r="DB14" s="136"/>
      <c r="DC14" s="137">
        <f t="shared" si="31"/>
        <v>5.54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5.0</v>
      </c>
      <c r="E15" s="140"/>
      <c r="F15" s="139">
        <v>5.0</v>
      </c>
      <c r="G15" s="140"/>
      <c r="H15" s="139">
        <v>7.0</v>
      </c>
      <c r="I15" s="140"/>
      <c r="J15" s="139">
        <v>7.0</v>
      </c>
      <c r="K15" s="140"/>
      <c r="L15" s="62"/>
      <c r="M15" s="62"/>
      <c r="N15" s="144">
        <v>8.0</v>
      </c>
      <c r="O15" s="143"/>
      <c r="P15" s="144">
        <v>9.0</v>
      </c>
      <c r="Q15" s="143"/>
      <c r="R15" s="144">
        <v>7.0</v>
      </c>
      <c r="S15" s="143"/>
      <c r="T15" s="141"/>
      <c r="U15" s="141"/>
      <c r="V15" s="62">
        <f t="shared" si="9"/>
        <v>4.795</v>
      </c>
      <c r="W15" s="121">
        <v>8.0</v>
      </c>
      <c r="X15" s="123">
        <f>'PROY. INTER'!W15</f>
        <v>6.73</v>
      </c>
      <c r="Y15" s="62">
        <f t="shared" si="10"/>
        <v>7.365</v>
      </c>
      <c r="Z15" s="62">
        <f t="shared" si="11"/>
        <v>2.2095</v>
      </c>
      <c r="AA15" s="64">
        <f t="shared" si="12"/>
        <v>7</v>
      </c>
      <c r="AC15" s="2"/>
      <c r="AE15" s="56">
        <v>4.0</v>
      </c>
      <c r="AF15" s="124" t="str">
        <f t="shared" ref="AF15:AG15" si="37">B15</f>
        <v/>
      </c>
      <c r="AG15" s="65" t="str">
        <f t="shared" si="37"/>
        <v>Aylla Murillo Kerly Kristhel</v>
      </c>
      <c r="AH15" s="139">
        <v>5.0</v>
      </c>
      <c r="AI15" s="140"/>
      <c r="AJ15" s="139">
        <v>7.0</v>
      </c>
      <c r="AK15" s="140"/>
      <c r="AL15" s="139">
        <v>10.0</v>
      </c>
      <c r="AM15" s="140"/>
      <c r="AN15" s="140"/>
      <c r="AO15" s="140"/>
      <c r="AP15" s="62"/>
      <c r="AQ15" s="62"/>
      <c r="AR15" s="62"/>
      <c r="AS15" s="143"/>
      <c r="AT15" s="121">
        <v>10.0</v>
      </c>
      <c r="AU15" s="143"/>
      <c r="AV15" s="143"/>
      <c r="AW15" s="143"/>
      <c r="AX15" s="141"/>
      <c r="AY15" s="141"/>
      <c r="AZ15" s="62">
        <f t="shared" si="14"/>
        <v>5.6</v>
      </c>
      <c r="BA15" s="121">
        <v>6.0</v>
      </c>
      <c r="BB15" s="123">
        <f>'PROY. INTER'!AX15</f>
        <v>10</v>
      </c>
      <c r="BC15" s="62">
        <f t="shared" si="15"/>
        <v>8</v>
      </c>
      <c r="BD15" s="62">
        <f t="shared" si="16"/>
        <v>2.4</v>
      </c>
      <c r="BE15" s="64">
        <f t="shared" si="17"/>
        <v>8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</v>
      </c>
      <c r="CQ15" s="129">
        <f t="shared" si="25"/>
        <v>8</v>
      </c>
      <c r="CR15" s="129">
        <f t="shared" si="26"/>
        <v>0</v>
      </c>
      <c r="CS15" s="130">
        <f t="shared" si="27"/>
        <v>5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135">
        <f t="shared" si="30"/>
        <v>5</v>
      </c>
      <c r="DB15" s="136"/>
      <c r="DC15" s="137">
        <f t="shared" si="31"/>
        <v>5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8.0</v>
      </c>
      <c r="E16" s="140"/>
      <c r="F16" s="139">
        <v>7.0</v>
      </c>
      <c r="G16" s="140"/>
      <c r="H16" s="139">
        <v>7.0</v>
      </c>
      <c r="I16" s="140"/>
      <c r="J16" s="139">
        <v>7.0</v>
      </c>
      <c r="K16" s="140"/>
      <c r="L16" s="62"/>
      <c r="M16" s="62"/>
      <c r="N16" s="144">
        <v>7.0</v>
      </c>
      <c r="O16" s="143"/>
      <c r="P16" s="144">
        <v>7.0</v>
      </c>
      <c r="Q16" s="143"/>
      <c r="R16" s="144">
        <v>7.0</v>
      </c>
      <c r="S16" s="143"/>
      <c r="T16" s="141"/>
      <c r="U16" s="141"/>
      <c r="V16" s="62">
        <f t="shared" si="9"/>
        <v>4.998</v>
      </c>
      <c r="W16" s="121">
        <v>8.0</v>
      </c>
      <c r="X16" s="123">
        <f>'PROY. INTER'!W16</f>
        <v>6</v>
      </c>
      <c r="Y16" s="62">
        <f t="shared" si="10"/>
        <v>7</v>
      </c>
      <c r="Z16" s="62">
        <f t="shared" si="11"/>
        <v>2.1</v>
      </c>
      <c r="AA16" s="64">
        <f t="shared" si="12"/>
        <v>7.09</v>
      </c>
      <c r="AC16" s="2"/>
      <c r="AE16" s="56">
        <v>5.0</v>
      </c>
      <c r="AF16" s="124" t="str">
        <f t="shared" ref="AF16:AG16" si="41">B16</f>
        <v/>
      </c>
      <c r="AG16" s="65" t="str">
        <f t="shared" si="41"/>
        <v>Campuzano Meza Naydelyn Odeth</v>
      </c>
      <c r="AH16" s="139">
        <v>8.0</v>
      </c>
      <c r="AI16" s="140"/>
      <c r="AJ16" s="139">
        <v>7.0</v>
      </c>
      <c r="AK16" s="140"/>
      <c r="AL16" s="139">
        <v>10.0</v>
      </c>
      <c r="AM16" s="140"/>
      <c r="AN16" s="140"/>
      <c r="AO16" s="140"/>
      <c r="AP16" s="62"/>
      <c r="AQ16" s="62"/>
      <c r="AR16" s="62"/>
      <c r="AS16" s="143"/>
      <c r="AT16" s="121">
        <v>10.0</v>
      </c>
      <c r="AU16" s="143"/>
      <c r="AV16" s="143"/>
      <c r="AW16" s="143"/>
      <c r="AX16" s="141"/>
      <c r="AY16" s="141"/>
      <c r="AZ16" s="62">
        <f t="shared" si="14"/>
        <v>6.125</v>
      </c>
      <c r="BA16" s="121">
        <v>6.0</v>
      </c>
      <c r="BB16" s="123">
        <f>'PROY. INTER'!AX16</f>
        <v>2</v>
      </c>
      <c r="BC16" s="62">
        <f t="shared" si="15"/>
        <v>4</v>
      </c>
      <c r="BD16" s="62">
        <f t="shared" si="16"/>
        <v>1.2</v>
      </c>
      <c r="BE16" s="64">
        <f t="shared" si="17"/>
        <v>7.32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7.09</v>
      </c>
      <c r="CQ16" s="129">
        <f t="shared" si="25"/>
        <v>7.32</v>
      </c>
      <c r="CR16" s="129">
        <f t="shared" si="26"/>
        <v>0</v>
      </c>
      <c r="CS16" s="130">
        <f t="shared" si="27"/>
        <v>4.8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135">
        <f t="shared" si="30"/>
        <v>4.8</v>
      </c>
      <c r="DB16" s="136"/>
      <c r="DC16" s="137">
        <f t="shared" si="31"/>
        <v>4.8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10.0</v>
      </c>
      <c r="E17" s="140"/>
      <c r="F17" s="139">
        <v>8.0</v>
      </c>
      <c r="G17" s="140"/>
      <c r="H17" s="139">
        <v>10.0</v>
      </c>
      <c r="I17" s="140"/>
      <c r="J17" s="139">
        <v>8.0</v>
      </c>
      <c r="K17" s="140"/>
      <c r="L17" s="62"/>
      <c r="M17" s="62"/>
      <c r="N17" s="144">
        <v>9.0</v>
      </c>
      <c r="O17" s="143"/>
      <c r="P17" s="144">
        <v>8.0</v>
      </c>
      <c r="Q17" s="143"/>
      <c r="R17" s="144">
        <v>8.0</v>
      </c>
      <c r="S17" s="143"/>
      <c r="T17" s="141"/>
      <c r="U17" s="141"/>
      <c r="V17" s="62">
        <f t="shared" si="9"/>
        <v>6.097</v>
      </c>
      <c r="W17" s="121">
        <v>9.0</v>
      </c>
      <c r="X17" s="123">
        <f>'PROY. INTER'!W17</f>
        <v>9.87</v>
      </c>
      <c r="Y17" s="62">
        <f t="shared" si="10"/>
        <v>9.435</v>
      </c>
      <c r="Z17" s="62">
        <f t="shared" si="11"/>
        <v>2.8305</v>
      </c>
      <c r="AA17" s="64">
        <f t="shared" si="12"/>
        <v>8.92</v>
      </c>
      <c r="AC17" s="2"/>
      <c r="AE17" s="56">
        <v>6.0</v>
      </c>
      <c r="AF17" s="124" t="str">
        <f t="shared" ref="AF17:AG17" si="45">B17</f>
        <v/>
      </c>
      <c r="AG17" s="65" t="str">
        <f t="shared" si="45"/>
        <v>Cantos Zúñiga a Hernán Snayder</v>
      </c>
      <c r="AH17" s="139">
        <v>10.0</v>
      </c>
      <c r="AI17" s="140"/>
      <c r="AJ17" s="139">
        <v>8.0</v>
      </c>
      <c r="AK17" s="140"/>
      <c r="AL17" s="139">
        <v>10.0</v>
      </c>
      <c r="AM17" s="140"/>
      <c r="AN17" s="140"/>
      <c r="AO17" s="140"/>
      <c r="AP17" s="62"/>
      <c r="AQ17" s="62"/>
      <c r="AR17" s="62"/>
      <c r="AS17" s="143"/>
      <c r="AT17" s="121">
        <v>10.0</v>
      </c>
      <c r="AU17" s="143"/>
      <c r="AV17" s="143"/>
      <c r="AW17" s="143"/>
      <c r="AX17" s="141"/>
      <c r="AY17" s="141"/>
      <c r="AZ17" s="62">
        <f t="shared" si="14"/>
        <v>6.65</v>
      </c>
      <c r="BA17" s="121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9.2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8.92</v>
      </c>
      <c r="CQ17" s="129">
        <f t="shared" si="25"/>
        <v>9.2</v>
      </c>
      <c r="CR17" s="129">
        <f t="shared" si="26"/>
        <v>0</v>
      </c>
      <c r="CS17" s="130">
        <f t="shared" si="27"/>
        <v>6.04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135">
        <f t="shared" si="30"/>
        <v>6.04</v>
      </c>
      <c r="DB17" s="136"/>
      <c r="DC17" s="137">
        <f t="shared" si="31"/>
        <v>6.04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8.0</v>
      </c>
      <c r="E18" s="140"/>
      <c r="F18" s="139">
        <v>9.0</v>
      </c>
      <c r="G18" s="140"/>
      <c r="H18" s="139">
        <v>8.0</v>
      </c>
      <c r="I18" s="140"/>
      <c r="J18" s="139">
        <v>10.0</v>
      </c>
      <c r="K18" s="140"/>
      <c r="L18" s="62"/>
      <c r="M18" s="62"/>
      <c r="N18" s="144">
        <v>9.0</v>
      </c>
      <c r="O18" s="143"/>
      <c r="P18" s="144">
        <v>9.0</v>
      </c>
      <c r="Q18" s="143"/>
      <c r="R18" s="144">
        <v>9.0</v>
      </c>
      <c r="S18" s="143"/>
      <c r="T18" s="141"/>
      <c r="U18" s="141"/>
      <c r="V18" s="62">
        <f t="shared" si="9"/>
        <v>6.195</v>
      </c>
      <c r="W18" s="121">
        <v>7.0</v>
      </c>
      <c r="X18" s="123">
        <f>'PROY. INTER'!W18</f>
        <v>9</v>
      </c>
      <c r="Y18" s="62">
        <f t="shared" si="10"/>
        <v>8</v>
      </c>
      <c r="Z18" s="62">
        <f t="shared" si="11"/>
        <v>2.4</v>
      </c>
      <c r="AA18" s="64">
        <f t="shared" si="12"/>
        <v>8.59</v>
      </c>
      <c r="AC18" s="2"/>
      <c r="AE18" s="56">
        <v>7.0</v>
      </c>
      <c r="AF18" s="124" t="str">
        <f t="shared" ref="AF18:AG18" si="49">B18</f>
        <v/>
      </c>
      <c r="AG18" s="65" t="str">
        <f t="shared" si="49"/>
        <v>Carranza Dumes Genesis Daniela</v>
      </c>
      <c r="AH18" s="139">
        <v>7.0</v>
      </c>
      <c r="AI18" s="140"/>
      <c r="AJ18" s="139">
        <v>7.0</v>
      </c>
      <c r="AK18" s="140"/>
      <c r="AL18" s="139">
        <v>10.0</v>
      </c>
      <c r="AM18" s="140"/>
      <c r="AN18" s="140"/>
      <c r="AO18" s="140"/>
      <c r="AP18" s="62"/>
      <c r="AQ18" s="62"/>
      <c r="AR18" s="62"/>
      <c r="AS18" s="143"/>
      <c r="AT18" s="121">
        <v>10.0</v>
      </c>
      <c r="AU18" s="143"/>
      <c r="AV18" s="143"/>
      <c r="AW18" s="143"/>
      <c r="AX18" s="141"/>
      <c r="AY18" s="141"/>
      <c r="AZ18" s="62">
        <f t="shared" si="14"/>
        <v>5.95</v>
      </c>
      <c r="BA18" s="121">
        <v>7.0</v>
      </c>
      <c r="BB18" s="123">
        <f>'PROY. INTER'!AX18</f>
        <v>2</v>
      </c>
      <c r="BC18" s="62">
        <f t="shared" si="15"/>
        <v>4.5</v>
      </c>
      <c r="BD18" s="62">
        <f t="shared" si="16"/>
        <v>1.35</v>
      </c>
      <c r="BE18" s="64">
        <f t="shared" si="17"/>
        <v>7.3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8.59</v>
      </c>
      <c r="CQ18" s="129">
        <f t="shared" si="25"/>
        <v>7.3</v>
      </c>
      <c r="CR18" s="129">
        <f t="shared" si="26"/>
        <v>0</v>
      </c>
      <c r="CS18" s="130">
        <f t="shared" si="27"/>
        <v>5.29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135">
        <f t="shared" si="30"/>
        <v>5.29</v>
      </c>
      <c r="DB18" s="136"/>
      <c r="DC18" s="137">
        <f t="shared" si="31"/>
        <v>5.29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7.0</v>
      </c>
      <c r="E19" s="140"/>
      <c r="F19" s="139">
        <v>5.0</v>
      </c>
      <c r="G19" s="140"/>
      <c r="H19" s="139">
        <v>5.0</v>
      </c>
      <c r="I19" s="140"/>
      <c r="J19" s="139">
        <v>5.0</v>
      </c>
      <c r="K19" s="140"/>
      <c r="L19" s="62"/>
      <c r="M19" s="62"/>
      <c r="N19" s="144">
        <v>7.0</v>
      </c>
      <c r="O19" s="143"/>
      <c r="P19" s="144">
        <v>5.0</v>
      </c>
      <c r="Q19" s="143"/>
      <c r="R19" s="144">
        <v>5.0</v>
      </c>
      <c r="S19" s="143"/>
      <c r="T19" s="141"/>
      <c r="U19" s="141"/>
      <c r="V19" s="62">
        <f t="shared" si="9"/>
        <v>3.899</v>
      </c>
      <c r="W19" s="121">
        <v>9.0</v>
      </c>
      <c r="X19" s="123">
        <f>'PROY. INTER'!W19</f>
        <v>6</v>
      </c>
      <c r="Y19" s="62">
        <f t="shared" si="10"/>
        <v>7.5</v>
      </c>
      <c r="Z19" s="62">
        <f t="shared" si="11"/>
        <v>2.25</v>
      </c>
      <c r="AA19" s="64">
        <f t="shared" si="12"/>
        <v>6.14</v>
      </c>
      <c r="AC19" s="2"/>
      <c r="AE19" s="56">
        <v>8.0</v>
      </c>
      <c r="AF19" s="124" t="str">
        <f t="shared" ref="AF19:AG19" si="53">B19</f>
        <v/>
      </c>
      <c r="AG19" s="65" t="str">
        <f t="shared" si="53"/>
        <v>Castro De La Rosa Cristopher Ruben</v>
      </c>
      <c r="AH19" s="139">
        <v>7.0</v>
      </c>
      <c r="AI19" s="140"/>
      <c r="AJ19" s="139">
        <v>7.0</v>
      </c>
      <c r="AK19" s="140"/>
      <c r="AL19" s="139">
        <v>10.0</v>
      </c>
      <c r="AM19" s="140"/>
      <c r="AN19" s="140"/>
      <c r="AO19" s="140"/>
      <c r="AP19" s="62"/>
      <c r="AQ19" s="62"/>
      <c r="AR19" s="62"/>
      <c r="AS19" s="143"/>
      <c r="AT19" s="121">
        <v>10.0</v>
      </c>
      <c r="AU19" s="143"/>
      <c r="AV19" s="143"/>
      <c r="AW19" s="143"/>
      <c r="AX19" s="141"/>
      <c r="AY19" s="141"/>
      <c r="AZ19" s="62">
        <f t="shared" si="14"/>
        <v>5.95</v>
      </c>
      <c r="BA19" s="121">
        <v>7.0</v>
      </c>
      <c r="BB19" s="123">
        <f>'PROY. INTER'!AX19</f>
        <v>2</v>
      </c>
      <c r="BC19" s="62">
        <f t="shared" si="15"/>
        <v>4.5</v>
      </c>
      <c r="BD19" s="62">
        <f t="shared" si="16"/>
        <v>1.35</v>
      </c>
      <c r="BE19" s="64">
        <f t="shared" si="17"/>
        <v>7.3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6.14</v>
      </c>
      <c r="CQ19" s="129">
        <f t="shared" si="25"/>
        <v>7.3</v>
      </c>
      <c r="CR19" s="129">
        <f t="shared" si="26"/>
        <v>0</v>
      </c>
      <c r="CS19" s="130">
        <f t="shared" si="27"/>
        <v>4.48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135">
        <f t="shared" si="30"/>
        <v>4.48</v>
      </c>
      <c r="DB19" s="136"/>
      <c r="DC19" s="137">
        <f t="shared" si="31"/>
        <v>4.48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5.0</v>
      </c>
      <c r="E20" s="140"/>
      <c r="F20" s="139">
        <v>5.0</v>
      </c>
      <c r="G20" s="140"/>
      <c r="H20" s="139">
        <v>5.0</v>
      </c>
      <c r="I20" s="140"/>
      <c r="J20" s="139">
        <v>5.0</v>
      </c>
      <c r="K20" s="140"/>
      <c r="L20" s="62"/>
      <c r="M20" s="62"/>
      <c r="N20" s="144">
        <v>7.0</v>
      </c>
      <c r="O20" s="143"/>
      <c r="P20" s="144">
        <v>5.0</v>
      </c>
      <c r="Q20" s="143"/>
      <c r="R20" s="144">
        <v>5.0</v>
      </c>
      <c r="S20" s="143"/>
      <c r="T20" s="141"/>
      <c r="U20" s="141"/>
      <c r="V20" s="62">
        <f t="shared" si="9"/>
        <v>3.696</v>
      </c>
      <c r="W20" s="121">
        <v>7.0</v>
      </c>
      <c r="X20" s="123">
        <f>'PROY. INTER'!W20</f>
        <v>6</v>
      </c>
      <c r="Y20" s="62">
        <f t="shared" si="10"/>
        <v>6.5</v>
      </c>
      <c r="Z20" s="62">
        <f t="shared" si="11"/>
        <v>1.95</v>
      </c>
      <c r="AA20" s="64">
        <f t="shared" si="12"/>
        <v>5.64</v>
      </c>
      <c r="AC20" s="2"/>
      <c r="AE20" s="56">
        <v>9.0</v>
      </c>
      <c r="AF20" s="124" t="str">
        <f t="shared" ref="AF20:AG20" si="57">B20</f>
        <v/>
      </c>
      <c r="AG20" s="65" t="str">
        <f t="shared" si="57"/>
        <v>Chamba Maurad Joshelyn Juleixi</v>
      </c>
      <c r="AH20" s="139">
        <v>5.0</v>
      </c>
      <c r="AI20" s="140"/>
      <c r="AJ20" s="139">
        <v>7.0</v>
      </c>
      <c r="AK20" s="140"/>
      <c r="AL20" s="139">
        <v>10.0</v>
      </c>
      <c r="AM20" s="140"/>
      <c r="AN20" s="140"/>
      <c r="AO20" s="140"/>
      <c r="AP20" s="62"/>
      <c r="AQ20" s="62"/>
      <c r="AR20" s="62"/>
      <c r="AS20" s="143"/>
      <c r="AT20" s="121">
        <v>10.0</v>
      </c>
      <c r="AU20" s="143"/>
      <c r="AV20" s="143"/>
      <c r="AW20" s="143"/>
      <c r="AX20" s="141"/>
      <c r="AY20" s="141"/>
      <c r="AZ20" s="62">
        <f t="shared" si="14"/>
        <v>5.6</v>
      </c>
      <c r="BA20" s="121">
        <v>6.0</v>
      </c>
      <c r="BB20" s="123">
        <f>'PROY. INTER'!AX20</f>
        <v>10</v>
      </c>
      <c r="BC20" s="62">
        <f t="shared" si="15"/>
        <v>8</v>
      </c>
      <c r="BD20" s="62">
        <f t="shared" si="16"/>
        <v>2.4</v>
      </c>
      <c r="BE20" s="64">
        <f t="shared" si="17"/>
        <v>8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5.64</v>
      </c>
      <c r="CQ20" s="129">
        <f t="shared" si="25"/>
        <v>8</v>
      </c>
      <c r="CR20" s="129">
        <f t="shared" si="26"/>
        <v>0</v>
      </c>
      <c r="CS20" s="130">
        <f t="shared" si="27"/>
        <v>4.54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135">
        <f t="shared" si="30"/>
        <v>4.54</v>
      </c>
      <c r="DB20" s="136"/>
      <c r="DC20" s="137">
        <f t="shared" si="31"/>
        <v>4.54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7.0</v>
      </c>
      <c r="E21" s="140"/>
      <c r="F21" s="139">
        <v>5.0</v>
      </c>
      <c r="G21" s="140"/>
      <c r="H21" s="139">
        <v>5.0</v>
      </c>
      <c r="I21" s="140"/>
      <c r="J21" s="139">
        <v>5.0</v>
      </c>
      <c r="K21" s="140"/>
      <c r="L21" s="62"/>
      <c r="M21" s="62"/>
      <c r="N21" s="144">
        <v>8.0</v>
      </c>
      <c r="O21" s="143"/>
      <c r="P21" s="144">
        <v>5.0</v>
      </c>
      <c r="Q21" s="143"/>
      <c r="R21" s="144">
        <v>5.0</v>
      </c>
      <c r="S21" s="143"/>
      <c r="T21" s="141"/>
      <c r="U21" s="141"/>
      <c r="V21" s="62">
        <f t="shared" si="9"/>
        <v>3.997</v>
      </c>
      <c r="W21" s="121">
        <v>8.0</v>
      </c>
      <c r="X21" s="123">
        <f>'PROY. INTER'!W21</f>
        <v>6</v>
      </c>
      <c r="Y21" s="62">
        <f t="shared" si="10"/>
        <v>7</v>
      </c>
      <c r="Z21" s="62">
        <f t="shared" si="11"/>
        <v>2.1</v>
      </c>
      <c r="AA21" s="64">
        <f t="shared" si="12"/>
        <v>6.09</v>
      </c>
      <c r="AC21" s="2"/>
      <c r="AE21" s="56">
        <v>10.0</v>
      </c>
      <c r="AF21" s="124" t="str">
        <f t="shared" ref="AF21:AG21" si="61">B21</f>
        <v/>
      </c>
      <c r="AG21" s="65" t="str">
        <f t="shared" si="61"/>
        <v>Cedeño Sanchez Josué</v>
      </c>
      <c r="AH21" s="139">
        <v>8.0</v>
      </c>
      <c r="AI21" s="140"/>
      <c r="AJ21" s="139">
        <v>7.0</v>
      </c>
      <c r="AK21" s="140"/>
      <c r="AL21" s="139">
        <v>10.0</v>
      </c>
      <c r="AM21" s="140"/>
      <c r="AN21" s="140"/>
      <c r="AO21" s="140"/>
      <c r="AP21" s="62"/>
      <c r="AQ21" s="62"/>
      <c r="AR21" s="62"/>
      <c r="AS21" s="143"/>
      <c r="AT21" s="121">
        <v>10.0</v>
      </c>
      <c r="AU21" s="143"/>
      <c r="AV21" s="143"/>
      <c r="AW21" s="143"/>
      <c r="AX21" s="141"/>
      <c r="AY21" s="141"/>
      <c r="AZ21" s="62">
        <f t="shared" si="14"/>
        <v>6.125</v>
      </c>
      <c r="BA21" s="121">
        <v>5.0</v>
      </c>
      <c r="BB21" s="123">
        <f>'PROY. INTER'!AX21</f>
        <v>2</v>
      </c>
      <c r="BC21" s="62">
        <f t="shared" si="15"/>
        <v>3.5</v>
      </c>
      <c r="BD21" s="62">
        <f t="shared" si="16"/>
        <v>1.05</v>
      </c>
      <c r="BE21" s="64">
        <f t="shared" si="17"/>
        <v>7.17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6.09</v>
      </c>
      <c r="CQ21" s="129">
        <f t="shared" si="25"/>
        <v>7.17</v>
      </c>
      <c r="CR21" s="129">
        <f t="shared" si="26"/>
        <v>0</v>
      </c>
      <c r="CS21" s="130">
        <f t="shared" si="27"/>
        <v>4.42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135">
        <f t="shared" si="30"/>
        <v>4.42</v>
      </c>
      <c r="DB21" s="136"/>
      <c r="DC21" s="137">
        <f t="shared" si="31"/>
        <v>4.42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40"/>
      <c r="F22" s="139">
        <v>9.0</v>
      </c>
      <c r="G22" s="140"/>
      <c r="H22" s="139">
        <v>9.0</v>
      </c>
      <c r="I22" s="140"/>
      <c r="J22" s="139">
        <v>10.0</v>
      </c>
      <c r="K22" s="140"/>
      <c r="L22" s="62"/>
      <c r="M22" s="62"/>
      <c r="N22" s="144">
        <v>9.0</v>
      </c>
      <c r="O22" s="143"/>
      <c r="P22" s="144">
        <v>10.0</v>
      </c>
      <c r="Q22" s="143"/>
      <c r="R22" s="144">
        <v>10.0</v>
      </c>
      <c r="S22" s="143"/>
      <c r="T22" s="141"/>
      <c r="U22" s="141"/>
      <c r="V22" s="62">
        <f t="shared" si="9"/>
        <v>6.699</v>
      </c>
      <c r="W22" s="121">
        <v>9.0</v>
      </c>
      <c r="X22" s="123">
        <f>'PROY. INTER'!W22</f>
        <v>10</v>
      </c>
      <c r="Y22" s="62">
        <f t="shared" si="10"/>
        <v>9.5</v>
      </c>
      <c r="Z22" s="62">
        <f t="shared" si="11"/>
        <v>2.85</v>
      </c>
      <c r="AA22" s="64">
        <f t="shared" si="12"/>
        <v>9.54</v>
      </c>
      <c r="AC22" s="2"/>
      <c r="AE22" s="56">
        <v>11.0</v>
      </c>
      <c r="AF22" s="124" t="str">
        <f t="shared" ref="AF22:AG22" si="65">B22</f>
        <v/>
      </c>
      <c r="AG22" s="65" t="str">
        <f t="shared" si="65"/>
        <v>Espinoza Martinez Stefano Juliano</v>
      </c>
      <c r="AH22" s="139">
        <v>10.0</v>
      </c>
      <c r="AI22" s="140"/>
      <c r="AJ22" s="139">
        <v>10.0</v>
      </c>
      <c r="AK22" s="140"/>
      <c r="AL22" s="139">
        <v>10.0</v>
      </c>
      <c r="AM22" s="140"/>
      <c r="AN22" s="140"/>
      <c r="AO22" s="140"/>
      <c r="AP22" s="62"/>
      <c r="AQ22" s="62"/>
      <c r="AR22" s="62"/>
      <c r="AS22" s="143"/>
      <c r="AT22" s="121">
        <v>10.0</v>
      </c>
      <c r="AU22" s="143"/>
      <c r="AV22" s="143"/>
      <c r="AW22" s="143"/>
      <c r="AX22" s="141"/>
      <c r="AY22" s="141"/>
      <c r="AZ22" s="62">
        <f t="shared" si="14"/>
        <v>7</v>
      </c>
      <c r="BA22" s="121">
        <v>10.0</v>
      </c>
      <c r="BB22" s="123">
        <f>'PROY. INTER'!AX22</f>
        <v>10</v>
      </c>
      <c r="BC22" s="62">
        <f t="shared" si="15"/>
        <v>10</v>
      </c>
      <c r="BD22" s="62">
        <f t="shared" si="16"/>
        <v>3</v>
      </c>
      <c r="BE22" s="64">
        <f t="shared" si="17"/>
        <v>10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9.54</v>
      </c>
      <c r="CQ22" s="129">
        <f t="shared" si="25"/>
        <v>10</v>
      </c>
      <c r="CR22" s="129">
        <f t="shared" si="26"/>
        <v>0</v>
      </c>
      <c r="CS22" s="130">
        <f t="shared" si="27"/>
        <v>6.51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135">
        <f t="shared" si="30"/>
        <v>6.51</v>
      </c>
      <c r="DB22" s="136"/>
      <c r="DC22" s="137">
        <f t="shared" si="31"/>
        <v>6.51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10.0</v>
      </c>
      <c r="E23" s="140"/>
      <c r="F23" s="139">
        <v>10.0</v>
      </c>
      <c r="G23" s="140"/>
      <c r="H23" s="139">
        <v>9.0</v>
      </c>
      <c r="I23" s="140"/>
      <c r="J23" s="139">
        <v>9.0</v>
      </c>
      <c r="K23" s="140"/>
      <c r="L23" s="62"/>
      <c r="M23" s="62"/>
      <c r="N23" s="144">
        <v>10.0</v>
      </c>
      <c r="O23" s="143"/>
      <c r="P23" s="144">
        <v>10.0</v>
      </c>
      <c r="Q23" s="143"/>
      <c r="R23" s="144">
        <v>9.0</v>
      </c>
      <c r="S23" s="143"/>
      <c r="T23" s="141"/>
      <c r="U23" s="141"/>
      <c r="V23" s="62">
        <f t="shared" si="9"/>
        <v>6.699</v>
      </c>
      <c r="W23" s="121">
        <v>10.0</v>
      </c>
      <c r="X23" s="123">
        <f>'PROY. INTER'!W23</f>
        <v>7.2</v>
      </c>
      <c r="Y23" s="62">
        <f t="shared" si="10"/>
        <v>8.6</v>
      </c>
      <c r="Z23" s="62">
        <f t="shared" si="11"/>
        <v>2.58</v>
      </c>
      <c r="AA23" s="64">
        <f t="shared" si="12"/>
        <v>9.27</v>
      </c>
      <c r="AC23" s="2"/>
      <c r="AE23" s="56">
        <v>12.0</v>
      </c>
      <c r="AF23" s="124" t="str">
        <f t="shared" ref="AF23:AG23" si="69">B23</f>
        <v/>
      </c>
      <c r="AG23" s="65" t="str">
        <f t="shared" si="69"/>
        <v>Espinoza Morante Melany Ginger</v>
      </c>
      <c r="AH23" s="139">
        <v>5.0</v>
      </c>
      <c r="AI23" s="140"/>
      <c r="AJ23" s="139">
        <v>10.0</v>
      </c>
      <c r="AK23" s="140"/>
      <c r="AL23" s="139">
        <v>10.0</v>
      </c>
      <c r="AM23" s="140"/>
      <c r="AN23" s="140"/>
      <c r="AO23" s="140"/>
      <c r="AP23" s="62"/>
      <c r="AQ23" s="62"/>
      <c r="AR23" s="62"/>
      <c r="AS23" s="143"/>
      <c r="AT23" s="121">
        <v>10.0</v>
      </c>
      <c r="AU23" s="143"/>
      <c r="AV23" s="143"/>
      <c r="AW23" s="143"/>
      <c r="AX23" s="141"/>
      <c r="AY23" s="141"/>
      <c r="AZ23" s="62">
        <f t="shared" si="14"/>
        <v>6.125</v>
      </c>
      <c r="BA23" s="121">
        <v>8.0</v>
      </c>
      <c r="BB23" s="123">
        <f>'PROY. INTER'!AX23</f>
        <v>10</v>
      </c>
      <c r="BC23" s="62">
        <f t="shared" si="15"/>
        <v>9</v>
      </c>
      <c r="BD23" s="62">
        <f t="shared" si="16"/>
        <v>2.7</v>
      </c>
      <c r="BE23" s="64">
        <f t="shared" si="17"/>
        <v>8.82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9.27</v>
      </c>
      <c r="CQ23" s="129">
        <f t="shared" si="25"/>
        <v>8.82</v>
      </c>
      <c r="CR23" s="129">
        <f t="shared" si="26"/>
        <v>0</v>
      </c>
      <c r="CS23" s="130">
        <f t="shared" si="27"/>
        <v>6.03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135">
        <f t="shared" si="30"/>
        <v>6.03</v>
      </c>
      <c r="DB23" s="136"/>
      <c r="DC23" s="137">
        <f t="shared" si="31"/>
        <v>6.03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10.0</v>
      </c>
      <c r="E24" s="140"/>
      <c r="F24" s="139">
        <v>10.0</v>
      </c>
      <c r="G24" s="140"/>
      <c r="H24" s="139">
        <v>8.0</v>
      </c>
      <c r="I24" s="140"/>
      <c r="J24" s="139">
        <v>9.0</v>
      </c>
      <c r="K24" s="140"/>
      <c r="L24" s="62"/>
      <c r="M24" s="62"/>
      <c r="N24" s="144">
        <v>10.0</v>
      </c>
      <c r="O24" s="143"/>
      <c r="P24" s="144">
        <v>7.0</v>
      </c>
      <c r="Q24" s="143"/>
      <c r="R24" s="144">
        <v>9.0</v>
      </c>
      <c r="S24" s="143"/>
      <c r="T24" s="141"/>
      <c r="U24" s="141"/>
      <c r="V24" s="62">
        <f t="shared" si="9"/>
        <v>6.3</v>
      </c>
      <c r="W24" s="121">
        <v>10.0</v>
      </c>
      <c r="X24" s="123">
        <f>'PROY. INTER'!W24</f>
        <v>9</v>
      </c>
      <c r="Y24" s="62">
        <f t="shared" si="10"/>
        <v>9.5</v>
      </c>
      <c r="Z24" s="62">
        <f t="shared" si="11"/>
        <v>2.85</v>
      </c>
      <c r="AA24" s="64">
        <f t="shared" si="12"/>
        <v>9.15</v>
      </c>
      <c r="AC24" s="2"/>
      <c r="AE24" s="56">
        <v>13.0</v>
      </c>
      <c r="AF24" s="124" t="str">
        <f t="shared" ref="AF24:AG24" si="73">B24</f>
        <v/>
      </c>
      <c r="AG24" s="65" t="str">
        <f t="shared" si="73"/>
        <v>Garrido franco Génesis Lissette</v>
      </c>
      <c r="AH24" s="139">
        <v>10.0</v>
      </c>
      <c r="AI24" s="140"/>
      <c r="AJ24" s="139">
        <v>10.0</v>
      </c>
      <c r="AK24" s="140"/>
      <c r="AL24" s="139">
        <v>10.0</v>
      </c>
      <c r="AM24" s="140"/>
      <c r="AN24" s="140"/>
      <c r="AO24" s="140"/>
      <c r="AP24" s="62"/>
      <c r="AQ24" s="62"/>
      <c r="AR24" s="62"/>
      <c r="AS24" s="143"/>
      <c r="AT24" s="121">
        <v>10.0</v>
      </c>
      <c r="AU24" s="143"/>
      <c r="AV24" s="143"/>
      <c r="AW24" s="143"/>
      <c r="AX24" s="141"/>
      <c r="AY24" s="141"/>
      <c r="AZ24" s="62">
        <f t="shared" si="14"/>
        <v>7</v>
      </c>
      <c r="BA24" s="121">
        <v>9.0</v>
      </c>
      <c r="BB24" s="123">
        <f>'PROY. INTER'!AX24</f>
        <v>10</v>
      </c>
      <c r="BC24" s="62">
        <f t="shared" si="15"/>
        <v>9.5</v>
      </c>
      <c r="BD24" s="62">
        <f t="shared" si="16"/>
        <v>2.85</v>
      </c>
      <c r="BE24" s="64">
        <f t="shared" si="17"/>
        <v>9.85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9.15</v>
      </c>
      <c r="CQ24" s="129">
        <f t="shared" si="25"/>
        <v>9.85</v>
      </c>
      <c r="CR24" s="129">
        <f t="shared" si="26"/>
        <v>0</v>
      </c>
      <c r="CS24" s="130">
        <f t="shared" si="27"/>
        <v>6.33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135">
        <f t="shared" si="30"/>
        <v>6.33</v>
      </c>
      <c r="DB24" s="136"/>
      <c r="DC24" s="137">
        <f t="shared" si="31"/>
        <v>6.33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5.0</v>
      </c>
      <c r="E25" s="140"/>
      <c r="F25" s="139">
        <v>5.0</v>
      </c>
      <c r="G25" s="140"/>
      <c r="H25" s="139">
        <v>5.0</v>
      </c>
      <c r="I25" s="140"/>
      <c r="J25" s="139">
        <v>5.0</v>
      </c>
      <c r="K25" s="140"/>
      <c r="L25" s="62"/>
      <c r="M25" s="62"/>
      <c r="N25" s="144">
        <v>9.0</v>
      </c>
      <c r="O25" s="143"/>
      <c r="P25" s="144">
        <v>5.0</v>
      </c>
      <c r="Q25" s="143"/>
      <c r="R25" s="144">
        <v>5.0</v>
      </c>
      <c r="S25" s="143"/>
      <c r="T25" s="141"/>
      <c r="U25" s="141"/>
      <c r="V25" s="62">
        <f t="shared" si="9"/>
        <v>3.899</v>
      </c>
      <c r="W25" s="121">
        <v>9.0</v>
      </c>
      <c r="X25" s="123">
        <f>'PROY. INTER'!W25</f>
        <v>6</v>
      </c>
      <c r="Y25" s="62">
        <f t="shared" si="10"/>
        <v>7.5</v>
      </c>
      <c r="Z25" s="62">
        <f t="shared" si="11"/>
        <v>2.25</v>
      </c>
      <c r="AA25" s="64">
        <f t="shared" si="12"/>
        <v>6.14</v>
      </c>
      <c r="AC25" s="2"/>
      <c r="AE25" s="56">
        <v>14.0</v>
      </c>
      <c r="AF25" s="124" t="str">
        <f t="shared" ref="AF25:AG25" si="77">B25</f>
        <v/>
      </c>
      <c r="AG25" s="65" t="str">
        <f t="shared" si="77"/>
        <v>Gonzalez Gonzalez Jean Carlos</v>
      </c>
      <c r="AH25" s="139">
        <v>8.0</v>
      </c>
      <c r="AI25" s="140"/>
      <c r="AJ25" s="139">
        <v>7.0</v>
      </c>
      <c r="AK25" s="140"/>
      <c r="AL25" s="139">
        <v>10.0</v>
      </c>
      <c r="AM25" s="140"/>
      <c r="AN25" s="140"/>
      <c r="AO25" s="140"/>
      <c r="AP25" s="62"/>
      <c r="AQ25" s="62"/>
      <c r="AR25" s="62"/>
      <c r="AS25" s="143"/>
      <c r="AT25" s="121">
        <v>10.0</v>
      </c>
      <c r="AU25" s="143"/>
      <c r="AV25" s="143"/>
      <c r="AW25" s="143"/>
      <c r="AX25" s="141"/>
      <c r="AY25" s="141"/>
      <c r="AZ25" s="62">
        <f t="shared" si="14"/>
        <v>6.125</v>
      </c>
      <c r="BA25" s="121">
        <v>5.0</v>
      </c>
      <c r="BB25" s="123">
        <f>'PROY. INTER'!AX25</f>
        <v>10</v>
      </c>
      <c r="BC25" s="62">
        <f t="shared" si="15"/>
        <v>7.5</v>
      </c>
      <c r="BD25" s="62">
        <f t="shared" si="16"/>
        <v>2.25</v>
      </c>
      <c r="BE25" s="64">
        <f t="shared" si="17"/>
        <v>8.37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6.14</v>
      </c>
      <c r="CQ25" s="129">
        <f t="shared" si="25"/>
        <v>8.37</v>
      </c>
      <c r="CR25" s="129">
        <f t="shared" si="26"/>
        <v>0</v>
      </c>
      <c r="CS25" s="130">
        <f t="shared" si="27"/>
        <v>4.83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135">
        <f t="shared" si="30"/>
        <v>4.83</v>
      </c>
      <c r="DB25" s="136"/>
      <c r="DC25" s="137">
        <f t="shared" si="31"/>
        <v>4.83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10.0</v>
      </c>
      <c r="E26" s="140"/>
      <c r="F26" s="139">
        <v>9.0</v>
      </c>
      <c r="G26" s="140"/>
      <c r="H26" s="139">
        <v>9.0</v>
      </c>
      <c r="I26" s="140"/>
      <c r="J26" s="139">
        <v>8.0</v>
      </c>
      <c r="K26" s="140"/>
      <c r="L26" s="62"/>
      <c r="M26" s="62"/>
      <c r="N26" s="144">
        <v>8.0</v>
      </c>
      <c r="O26" s="143"/>
      <c r="P26" s="144">
        <v>9.0</v>
      </c>
      <c r="Q26" s="143"/>
      <c r="R26" s="144">
        <v>8.0</v>
      </c>
      <c r="S26" s="143"/>
      <c r="T26" s="141"/>
      <c r="U26" s="141"/>
      <c r="V26" s="62">
        <f t="shared" si="9"/>
        <v>6.097</v>
      </c>
      <c r="W26" s="121">
        <v>8.0</v>
      </c>
      <c r="X26" s="123">
        <f>'PROY. INTER'!W26</f>
        <v>7.73</v>
      </c>
      <c r="Y26" s="62">
        <f t="shared" si="10"/>
        <v>7.865</v>
      </c>
      <c r="Z26" s="62">
        <f t="shared" si="11"/>
        <v>2.3595</v>
      </c>
      <c r="AA26" s="64">
        <f t="shared" si="12"/>
        <v>8.45</v>
      </c>
      <c r="AC26" s="2"/>
      <c r="AE26" s="56">
        <v>15.0</v>
      </c>
      <c r="AF26" s="124" t="str">
        <f t="shared" ref="AF26:AG26" si="81">B26</f>
        <v/>
      </c>
      <c r="AG26" s="65" t="str">
        <f t="shared" si="81"/>
        <v>Guevara Benites Jean Pierre</v>
      </c>
      <c r="AH26" s="139">
        <v>10.0</v>
      </c>
      <c r="AI26" s="140"/>
      <c r="AJ26" s="139">
        <v>8.0</v>
      </c>
      <c r="AK26" s="140"/>
      <c r="AL26" s="139">
        <v>10.0</v>
      </c>
      <c r="AM26" s="140"/>
      <c r="AN26" s="140"/>
      <c r="AO26" s="140"/>
      <c r="AP26" s="62"/>
      <c r="AQ26" s="62"/>
      <c r="AR26" s="62"/>
      <c r="AS26" s="143"/>
      <c r="AT26" s="121">
        <v>10.0</v>
      </c>
      <c r="AU26" s="143"/>
      <c r="AV26" s="143"/>
      <c r="AW26" s="143"/>
      <c r="AX26" s="141"/>
      <c r="AY26" s="141"/>
      <c r="AZ26" s="62">
        <f t="shared" si="14"/>
        <v>6.65</v>
      </c>
      <c r="BA26" s="121">
        <v>9.0</v>
      </c>
      <c r="BB26" s="123">
        <f>'PROY. INTER'!AX26</f>
        <v>10</v>
      </c>
      <c r="BC26" s="62">
        <f t="shared" si="15"/>
        <v>9.5</v>
      </c>
      <c r="BD26" s="62">
        <f t="shared" si="16"/>
        <v>2.85</v>
      </c>
      <c r="BE26" s="64">
        <f t="shared" si="17"/>
        <v>9.5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8.45</v>
      </c>
      <c r="CQ26" s="129">
        <f t="shared" si="25"/>
        <v>9.5</v>
      </c>
      <c r="CR26" s="129">
        <f t="shared" si="26"/>
        <v>0</v>
      </c>
      <c r="CS26" s="130">
        <f t="shared" si="27"/>
        <v>5.98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135">
        <f t="shared" si="30"/>
        <v>5.98</v>
      </c>
      <c r="DB26" s="136"/>
      <c r="DC26" s="137">
        <f t="shared" si="31"/>
        <v>5.98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8.0</v>
      </c>
      <c r="E27" s="140"/>
      <c r="F27" s="139">
        <v>7.0</v>
      </c>
      <c r="G27" s="140"/>
      <c r="H27" s="139">
        <v>7.0</v>
      </c>
      <c r="I27" s="140"/>
      <c r="J27" s="139">
        <v>8.0</v>
      </c>
      <c r="K27" s="140"/>
      <c r="L27" s="62"/>
      <c r="M27" s="62"/>
      <c r="N27" s="144">
        <v>7.0</v>
      </c>
      <c r="O27" s="143"/>
      <c r="P27" s="144">
        <v>7.0</v>
      </c>
      <c r="Q27" s="143"/>
      <c r="R27" s="144">
        <v>7.0</v>
      </c>
      <c r="S27" s="143"/>
      <c r="T27" s="141"/>
      <c r="U27" s="141"/>
      <c r="V27" s="62">
        <f t="shared" si="9"/>
        <v>5.096</v>
      </c>
      <c r="W27" s="121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12"/>
        <v>7.04</v>
      </c>
      <c r="AC27" s="2"/>
      <c r="AE27" s="56">
        <v>16.0</v>
      </c>
      <c r="AF27" s="124" t="str">
        <f t="shared" ref="AF27:AG27" si="85">B27</f>
        <v/>
      </c>
      <c r="AG27" s="65" t="str">
        <f t="shared" si="85"/>
        <v>Mero Carcamo Adriana Carolina</v>
      </c>
      <c r="AH27" s="139">
        <v>8.0</v>
      </c>
      <c r="AI27" s="140"/>
      <c r="AJ27" s="139">
        <v>7.0</v>
      </c>
      <c r="AK27" s="140"/>
      <c r="AL27" s="139">
        <v>10.0</v>
      </c>
      <c r="AM27" s="140"/>
      <c r="AN27" s="140"/>
      <c r="AO27" s="140"/>
      <c r="AP27" s="62"/>
      <c r="AQ27" s="62"/>
      <c r="AR27" s="62"/>
      <c r="AS27" s="143"/>
      <c r="AT27" s="121">
        <v>10.0</v>
      </c>
      <c r="AU27" s="143"/>
      <c r="AV27" s="143"/>
      <c r="AW27" s="143"/>
      <c r="AX27" s="141"/>
      <c r="AY27" s="141"/>
      <c r="AZ27" s="62">
        <f t="shared" si="14"/>
        <v>6.125</v>
      </c>
      <c r="BA27" s="121">
        <v>6.0</v>
      </c>
      <c r="BB27" s="123">
        <f>'PROY. INTER'!AX27</f>
        <v>2</v>
      </c>
      <c r="BC27" s="62">
        <f t="shared" si="15"/>
        <v>4</v>
      </c>
      <c r="BD27" s="62">
        <f t="shared" si="16"/>
        <v>1.2</v>
      </c>
      <c r="BE27" s="64">
        <f t="shared" si="17"/>
        <v>7.32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7.04</v>
      </c>
      <c r="CQ27" s="129">
        <f t="shared" si="25"/>
        <v>7.32</v>
      </c>
      <c r="CR27" s="129">
        <f t="shared" si="26"/>
        <v>0</v>
      </c>
      <c r="CS27" s="130">
        <f t="shared" si="27"/>
        <v>4.78</v>
      </c>
      <c r="CT27" s="131" t="str">
        <f t="shared" si="28"/>
        <v>REPROBADO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135">
        <f t="shared" si="30"/>
        <v>4.78</v>
      </c>
      <c r="DB27" s="136"/>
      <c r="DC27" s="137">
        <f t="shared" si="31"/>
        <v>4.78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10.0</v>
      </c>
      <c r="E28" s="140"/>
      <c r="F28" s="139">
        <v>10.0</v>
      </c>
      <c r="G28" s="140"/>
      <c r="H28" s="139">
        <v>10.0</v>
      </c>
      <c r="I28" s="140"/>
      <c r="J28" s="139">
        <v>9.0</v>
      </c>
      <c r="K28" s="140"/>
      <c r="L28" s="62"/>
      <c r="M28" s="62"/>
      <c r="N28" s="144">
        <v>10.0</v>
      </c>
      <c r="O28" s="143"/>
      <c r="P28" s="144">
        <v>9.0</v>
      </c>
      <c r="Q28" s="143"/>
      <c r="R28" s="144">
        <v>9.0</v>
      </c>
      <c r="S28" s="143"/>
      <c r="T28" s="141"/>
      <c r="U28" s="141"/>
      <c r="V28" s="62">
        <f t="shared" si="9"/>
        <v>6.699</v>
      </c>
      <c r="W28" s="121">
        <v>10.0</v>
      </c>
      <c r="X28" s="123">
        <f>'PROY. INTER'!W28</f>
        <v>9.73</v>
      </c>
      <c r="Y28" s="62">
        <f t="shared" si="10"/>
        <v>9.865</v>
      </c>
      <c r="Z28" s="62">
        <f t="shared" si="11"/>
        <v>2.9595</v>
      </c>
      <c r="AA28" s="64">
        <f t="shared" si="12"/>
        <v>9.65</v>
      </c>
      <c r="AC28" s="2"/>
      <c r="AE28" s="56">
        <v>17.0</v>
      </c>
      <c r="AF28" s="124" t="str">
        <f t="shared" ref="AF28:AG28" si="89">B28</f>
        <v/>
      </c>
      <c r="AG28" s="65" t="str">
        <f t="shared" si="89"/>
        <v>Moreira Villamar Darwin Matias</v>
      </c>
      <c r="AH28" s="139">
        <v>10.0</v>
      </c>
      <c r="AI28" s="140"/>
      <c r="AJ28" s="139">
        <v>10.0</v>
      </c>
      <c r="AK28" s="140"/>
      <c r="AL28" s="139">
        <v>10.0</v>
      </c>
      <c r="AM28" s="140"/>
      <c r="AN28" s="140"/>
      <c r="AO28" s="140"/>
      <c r="AP28" s="62"/>
      <c r="AQ28" s="62"/>
      <c r="AR28" s="62"/>
      <c r="AS28" s="143"/>
      <c r="AT28" s="121">
        <v>10.0</v>
      </c>
      <c r="AU28" s="143"/>
      <c r="AV28" s="143"/>
      <c r="AW28" s="143"/>
      <c r="AX28" s="141"/>
      <c r="AY28" s="141"/>
      <c r="AZ28" s="62">
        <f t="shared" si="14"/>
        <v>7</v>
      </c>
      <c r="BA28" s="121">
        <v>10.0</v>
      </c>
      <c r="BB28" s="123">
        <f>'PROY. INTER'!AX28</f>
        <v>10</v>
      </c>
      <c r="BC28" s="62">
        <f t="shared" si="15"/>
        <v>10</v>
      </c>
      <c r="BD28" s="62">
        <f t="shared" si="16"/>
        <v>3</v>
      </c>
      <c r="BE28" s="64">
        <f t="shared" si="17"/>
        <v>10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9.65</v>
      </c>
      <c r="CQ28" s="129">
        <f t="shared" si="25"/>
        <v>10</v>
      </c>
      <c r="CR28" s="129">
        <f t="shared" si="26"/>
        <v>0</v>
      </c>
      <c r="CS28" s="130">
        <f t="shared" si="27"/>
        <v>6.55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135">
        <f t="shared" si="30"/>
        <v>6.55</v>
      </c>
      <c r="DB28" s="136"/>
      <c r="DC28" s="137">
        <f t="shared" si="31"/>
        <v>6.55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7.0</v>
      </c>
      <c r="E29" s="140"/>
      <c r="F29" s="139">
        <v>8.0</v>
      </c>
      <c r="G29" s="140"/>
      <c r="H29" s="139">
        <v>7.0</v>
      </c>
      <c r="I29" s="140"/>
      <c r="J29" s="139">
        <v>10.0</v>
      </c>
      <c r="K29" s="140"/>
      <c r="L29" s="62"/>
      <c r="M29" s="62"/>
      <c r="N29" s="144">
        <v>10.0</v>
      </c>
      <c r="O29" s="143"/>
      <c r="P29" s="144">
        <v>9.0</v>
      </c>
      <c r="Q29" s="143"/>
      <c r="R29" s="144">
        <v>8.0</v>
      </c>
      <c r="S29" s="143"/>
      <c r="T29" s="141"/>
      <c r="U29" s="141"/>
      <c r="V29" s="62">
        <f t="shared" si="9"/>
        <v>5.894</v>
      </c>
      <c r="W29" s="121">
        <v>9.0</v>
      </c>
      <c r="X29" s="123">
        <f>'PROY. INTER'!W29</f>
        <v>9.2</v>
      </c>
      <c r="Y29" s="62">
        <f t="shared" si="10"/>
        <v>9.1</v>
      </c>
      <c r="Z29" s="62">
        <f t="shared" si="11"/>
        <v>2.73</v>
      </c>
      <c r="AA29" s="64">
        <f t="shared" si="12"/>
        <v>8.62</v>
      </c>
      <c r="AC29" s="2"/>
      <c r="AE29" s="56">
        <v>18.0</v>
      </c>
      <c r="AF29" s="124" t="str">
        <f t="shared" ref="AF29:AG29" si="93">B29</f>
        <v/>
      </c>
      <c r="AG29" s="65" t="str">
        <f t="shared" si="93"/>
        <v>Peña Macias Enrique Alexander</v>
      </c>
      <c r="AH29" s="139">
        <v>10.0</v>
      </c>
      <c r="AI29" s="140"/>
      <c r="AJ29" s="139">
        <v>8.0</v>
      </c>
      <c r="AK29" s="140"/>
      <c r="AL29" s="139">
        <v>10.0</v>
      </c>
      <c r="AM29" s="140"/>
      <c r="AN29" s="140"/>
      <c r="AO29" s="140"/>
      <c r="AP29" s="62"/>
      <c r="AQ29" s="62"/>
      <c r="AR29" s="62"/>
      <c r="AS29" s="143"/>
      <c r="AT29" s="121">
        <v>10.0</v>
      </c>
      <c r="AU29" s="143"/>
      <c r="AV29" s="143"/>
      <c r="AW29" s="143"/>
      <c r="AX29" s="141"/>
      <c r="AY29" s="141"/>
      <c r="AZ29" s="62">
        <f t="shared" si="14"/>
        <v>6.65</v>
      </c>
      <c r="BA29" s="121">
        <v>8.0</v>
      </c>
      <c r="BB29" s="123">
        <f>'PROY. INTER'!AX29</f>
        <v>10</v>
      </c>
      <c r="BC29" s="62">
        <f t="shared" si="15"/>
        <v>9</v>
      </c>
      <c r="BD29" s="62">
        <f t="shared" si="16"/>
        <v>2.7</v>
      </c>
      <c r="BE29" s="64">
        <f t="shared" si="17"/>
        <v>9.35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8.62</v>
      </c>
      <c r="CQ29" s="129">
        <f t="shared" si="25"/>
        <v>9.35</v>
      </c>
      <c r="CR29" s="129">
        <f t="shared" si="26"/>
        <v>0</v>
      </c>
      <c r="CS29" s="130">
        <f t="shared" si="27"/>
        <v>5.99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135">
        <f t="shared" si="30"/>
        <v>5.99</v>
      </c>
      <c r="DB29" s="136"/>
      <c r="DC29" s="137">
        <f t="shared" si="31"/>
        <v>5.99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8.0</v>
      </c>
      <c r="E30" s="140"/>
      <c r="F30" s="139">
        <v>7.0</v>
      </c>
      <c r="G30" s="140"/>
      <c r="H30" s="139">
        <v>8.0</v>
      </c>
      <c r="I30" s="140"/>
      <c r="J30" s="139">
        <v>8.0</v>
      </c>
      <c r="K30" s="140"/>
      <c r="L30" s="62"/>
      <c r="M30" s="62"/>
      <c r="N30" s="144">
        <v>10.0</v>
      </c>
      <c r="O30" s="143"/>
      <c r="P30" s="144">
        <v>7.0</v>
      </c>
      <c r="Q30" s="143"/>
      <c r="R30" s="144">
        <v>8.0</v>
      </c>
      <c r="S30" s="143"/>
      <c r="T30" s="141"/>
      <c r="U30" s="141"/>
      <c r="V30" s="62">
        <f t="shared" si="9"/>
        <v>5.6</v>
      </c>
      <c r="W30" s="121">
        <v>7.0</v>
      </c>
      <c r="X30" s="123">
        <f>'PROY. INTER'!W30</f>
        <v>9.47</v>
      </c>
      <c r="Y30" s="62">
        <f t="shared" si="10"/>
        <v>8.235</v>
      </c>
      <c r="Z30" s="62">
        <f t="shared" si="11"/>
        <v>2.4705</v>
      </c>
      <c r="AA30" s="64">
        <f t="shared" si="12"/>
        <v>8.07</v>
      </c>
      <c r="AC30" s="2"/>
      <c r="AE30" s="56">
        <v>19.0</v>
      </c>
      <c r="AF30" s="124" t="str">
        <f t="shared" ref="AF30:AG30" si="97">B30</f>
        <v/>
      </c>
      <c r="AG30" s="65" t="str">
        <f t="shared" si="97"/>
        <v>Roman Arreaga Stefani Asley</v>
      </c>
      <c r="AH30" s="139">
        <v>10.0</v>
      </c>
      <c r="AI30" s="140"/>
      <c r="AJ30" s="139">
        <v>8.0</v>
      </c>
      <c r="AK30" s="140"/>
      <c r="AL30" s="139">
        <v>10.0</v>
      </c>
      <c r="AM30" s="140"/>
      <c r="AN30" s="140"/>
      <c r="AO30" s="140"/>
      <c r="AP30" s="62"/>
      <c r="AQ30" s="62"/>
      <c r="AR30" s="62"/>
      <c r="AS30" s="143"/>
      <c r="AT30" s="121">
        <v>10.0</v>
      </c>
      <c r="AU30" s="143"/>
      <c r="AV30" s="143"/>
      <c r="AW30" s="143"/>
      <c r="AX30" s="141"/>
      <c r="AY30" s="141"/>
      <c r="AZ30" s="62">
        <f t="shared" si="14"/>
        <v>6.65</v>
      </c>
      <c r="BA30" s="121">
        <v>6.0</v>
      </c>
      <c r="BB30" s="123">
        <f>'PROY. INTER'!AX30</f>
        <v>10</v>
      </c>
      <c r="BC30" s="62">
        <f t="shared" si="15"/>
        <v>8</v>
      </c>
      <c r="BD30" s="62">
        <f t="shared" si="16"/>
        <v>2.4</v>
      </c>
      <c r="BE30" s="64">
        <f t="shared" si="17"/>
        <v>9.05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8.07</v>
      </c>
      <c r="CQ30" s="129">
        <f t="shared" si="25"/>
        <v>9.05</v>
      </c>
      <c r="CR30" s="129">
        <f t="shared" si="26"/>
        <v>0</v>
      </c>
      <c r="CS30" s="130">
        <f t="shared" si="27"/>
        <v>5.7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135">
        <f t="shared" si="30"/>
        <v>5.7</v>
      </c>
      <c r="DB30" s="136"/>
      <c r="DC30" s="137">
        <f t="shared" si="31"/>
        <v>5.7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10.0</v>
      </c>
      <c r="E31" s="140"/>
      <c r="F31" s="139">
        <v>10.0</v>
      </c>
      <c r="G31" s="140"/>
      <c r="H31" s="139">
        <v>10.0</v>
      </c>
      <c r="I31" s="140"/>
      <c r="J31" s="139">
        <v>10.0</v>
      </c>
      <c r="K31" s="140"/>
      <c r="L31" s="62"/>
      <c r="M31" s="62"/>
      <c r="N31" s="144">
        <v>10.0</v>
      </c>
      <c r="O31" s="143"/>
      <c r="P31" s="144">
        <v>10.0</v>
      </c>
      <c r="Q31" s="143"/>
      <c r="R31" s="144">
        <v>10.0</v>
      </c>
      <c r="S31" s="143"/>
      <c r="T31" s="141"/>
      <c r="U31" s="141"/>
      <c r="V31" s="62">
        <f t="shared" si="9"/>
        <v>7</v>
      </c>
      <c r="W31" s="121">
        <v>10.0</v>
      </c>
      <c r="X31" s="123">
        <f>'PROY. INTER'!W31</f>
        <v>10</v>
      </c>
      <c r="Y31" s="62">
        <f t="shared" si="10"/>
        <v>10</v>
      </c>
      <c r="Z31" s="62">
        <f t="shared" si="11"/>
        <v>3</v>
      </c>
      <c r="AA31" s="64">
        <f t="shared" si="12"/>
        <v>10</v>
      </c>
      <c r="AC31" s="2"/>
      <c r="AE31" s="56">
        <v>20.0</v>
      </c>
      <c r="AF31" s="124" t="str">
        <f t="shared" ref="AF31:AG31" si="101">B31</f>
        <v/>
      </c>
      <c r="AG31" s="65" t="str">
        <f t="shared" si="101"/>
        <v>Sánchez Ponce Sandra Stefania</v>
      </c>
      <c r="AH31" s="139">
        <v>10.0</v>
      </c>
      <c r="AI31" s="140"/>
      <c r="AJ31" s="139">
        <v>10.0</v>
      </c>
      <c r="AK31" s="140"/>
      <c r="AL31" s="139">
        <v>10.0</v>
      </c>
      <c r="AM31" s="140"/>
      <c r="AN31" s="140"/>
      <c r="AO31" s="140"/>
      <c r="AP31" s="62"/>
      <c r="AQ31" s="62"/>
      <c r="AR31" s="62"/>
      <c r="AS31" s="143"/>
      <c r="AT31" s="121">
        <v>10.0</v>
      </c>
      <c r="AU31" s="143"/>
      <c r="AV31" s="143"/>
      <c r="AW31" s="143"/>
      <c r="AX31" s="141"/>
      <c r="AY31" s="141"/>
      <c r="AZ31" s="62">
        <f t="shared" si="14"/>
        <v>7</v>
      </c>
      <c r="BA31" s="121">
        <v>10.0</v>
      </c>
      <c r="BB31" s="123">
        <f>'PROY. INTER'!AX31</f>
        <v>10</v>
      </c>
      <c r="BC31" s="62">
        <f t="shared" si="15"/>
        <v>10</v>
      </c>
      <c r="BD31" s="62">
        <f t="shared" si="16"/>
        <v>3</v>
      </c>
      <c r="BE31" s="64">
        <f t="shared" si="17"/>
        <v>10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10</v>
      </c>
      <c r="CQ31" s="129">
        <f t="shared" si="25"/>
        <v>10</v>
      </c>
      <c r="CR31" s="129">
        <f t="shared" si="26"/>
        <v>0</v>
      </c>
      <c r="CS31" s="130">
        <f t="shared" si="27"/>
        <v>6.66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135">
        <f t="shared" si="30"/>
        <v>6.66</v>
      </c>
      <c r="DB31" s="136"/>
      <c r="DC31" s="137">
        <f t="shared" si="31"/>
        <v>6.66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7.0</v>
      </c>
      <c r="E32" s="140"/>
      <c r="F32" s="139">
        <v>7.0</v>
      </c>
      <c r="G32" s="140"/>
      <c r="H32" s="139">
        <v>8.0</v>
      </c>
      <c r="I32" s="140"/>
      <c r="J32" s="139">
        <v>7.0</v>
      </c>
      <c r="K32" s="140"/>
      <c r="L32" s="62"/>
      <c r="M32" s="62"/>
      <c r="N32" s="144">
        <v>7.0</v>
      </c>
      <c r="O32" s="143"/>
      <c r="P32" s="144">
        <v>8.0</v>
      </c>
      <c r="Q32" s="143"/>
      <c r="R32" s="144">
        <v>8.0</v>
      </c>
      <c r="S32" s="143"/>
      <c r="T32" s="141"/>
      <c r="U32" s="141"/>
      <c r="V32" s="62">
        <f t="shared" si="9"/>
        <v>5.194</v>
      </c>
      <c r="W32" s="121">
        <v>6.0</v>
      </c>
      <c r="X32" s="123">
        <f>'PROY. INTER'!W32</f>
        <v>6.47</v>
      </c>
      <c r="Y32" s="62">
        <f t="shared" si="10"/>
        <v>6.235</v>
      </c>
      <c r="Z32" s="62">
        <f t="shared" si="11"/>
        <v>1.8705</v>
      </c>
      <c r="AA32" s="64">
        <f t="shared" si="12"/>
        <v>7.06</v>
      </c>
      <c r="AC32" s="2"/>
      <c r="AE32" s="56">
        <v>21.0</v>
      </c>
      <c r="AF32" s="124" t="str">
        <f t="shared" ref="AF32:AG32" si="105">B32</f>
        <v/>
      </c>
      <c r="AG32" s="65" t="str">
        <f t="shared" si="105"/>
        <v>Torres Vera Anderson</v>
      </c>
      <c r="AH32" s="139">
        <v>10.0</v>
      </c>
      <c r="AI32" s="140"/>
      <c r="AJ32" s="139">
        <v>7.0</v>
      </c>
      <c r="AK32" s="140"/>
      <c r="AL32" s="139">
        <v>10.0</v>
      </c>
      <c r="AM32" s="140"/>
      <c r="AN32" s="140"/>
      <c r="AO32" s="140"/>
      <c r="AP32" s="62"/>
      <c r="AQ32" s="62"/>
      <c r="AR32" s="62"/>
      <c r="AS32" s="143"/>
      <c r="AT32" s="121">
        <v>10.0</v>
      </c>
      <c r="AU32" s="143"/>
      <c r="AV32" s="143"/>
      <c r="AW32" s="143"/>
      <c r="AX32" s="141"/>
      <c r="AY32" s="141"/>
      <c r="AZ32" s="62">
        <f t="shared" si="14"/>
        <v>6.475</v>
      </c>
      <c r="BA32" s="121">
        <v>7.0</v>
      </c>
      <c r="BB32" s="123">
        <f>'PROY. INTER'!AX32</f>
        <v>10</v>
      </c>
      <c r="BC32" s="62">
        <f t="shared" si="15"/>
        <v>8.5</v>
      </c>
      <c r="BD32" s="62">
        <f t="shared" si="16"/>
        <v>2.55</v>
      </c>
      <c r="BE32" s="64">
        <f t="shared" si="17"/>
        <v>9.02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7.06</v>
      </c>
      <c r="CQ32" s="129">
        <f t="shared" si="25"/>
        <v>9.02</v>
      </c>
      <c r="CR32" s="129">
        <f t="shared" si="26"/>
        <v>0</v>
      </c>
      <c r="CS32" s="130">
        <f t="shared" si="27"/>
        <v>5.36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135">
        <f t="shared" si="30"/>
        <v>5.36</v>
      </c>
      <c r="DB32" s="136"/>
      <c r="DC32" s="137">
        <f t="shared" si="31"/>
        <v>5.36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8.0</v>
      </c>
      <c r="E33" s="140"/>
      <c r="F33" s="139">
        <v>8.0</v>
      </c>
      <c r="G33" s="140"/>
      <c r="H33" s="139">
        <v>8.0</v>
      </c>
      <c r="I33" s="140"/>
      <c r="J33" s="139">
        <v>7.0</v>
      </c>
      <c r="K33" s="140"/>
      <c r="L33" s="62"/>
      <c r="M33" s="62"/>
      <c r="N33" s="144">
        <v>9.0</v>
      </c>
      <c r="O33" s="143"/>
      <c r="P33" s="144">
        <v>10.0</v>
      </c>
      <c r="Q33" s="143"/>
      <c r="R33" s="144">
        <v>8.0</v>
      </c>
      <c r="S33" s="143"/>
      <c r="T33" s="141"/>
      <c r="U33" s="141"/>
      <c r="V33" s="62">
        <f t="shared" si="9"/>
        <v>5.796</v>
      </c>
      <c r="W33" s="121">
        <v>7.0</v>
      </c>
      <c r="X33" s="123">
        <f>'PROY. INTER'!W33</f>
        <v>9.2</v>
      </c>
      <c r="Y33" s="62">
        <f t="shared" si="10"/>
        <v>8.1</v>
      </c>
      <c r="Z33" s="62">
        <f t="shared" si="11"/>
        <v>2.43</v>
      </c>
      <c r="AA33" s="64">
        <f t="shared" si="12"/>
        <v>8.22</v>
      </c>
      <c r="AC33" s="2"/>
      <c r="AE33" s="56">
        <v>22.0</v>
      </c>
      <c r="AF33" s="124" t="str">
        <f t="shared" ref="AF33:AG33" si="109">B33</f>
        <v/>
      </c>
      <c r="AG33" s="65" t="str">
        <f t="shared" si="109"/>
        <v>Valero Pefiafiel Carlos José</v>
      </c>
      <c r="AH33" s="139">
        <v>10.0</v>
      </c>
      <c r="AI33" s="140"/>
      <c r="AJ33" s="139">
        <v>7.0</v>
      </c>
      <c r="AK33" s="140"/>
      <c r="AL33" s="139">
        <v>10.0</v>
      </c>
      <c r="AM33" s="140"/>
      <c r="AN33" s="140"/>
      <c r="AO33" s="140"/>
      <c r="AP33" s="62"/>
      <c r="AQ33" s="62"/>
      <c r="AR33" s="62"/>
      <c r="AS33" s="143"/>
      <c r="AT33" s="121">
        <v>10.0</v>
      </c>
      <c r="AU33" s="143"/>
      <c r="AV33" s="143"/>
      <c r="AW33" s="143"/>
      <c r="AX33" s="141"/>
      <c r="AY33" s="141"/>
      <c r="AZ33" s="62">
        <f t="shared" si="14"/>
        <v>6.475</v>
      </c>
      <c r="BA33" s="121">
        <v>6.0</v>
      </c>
      <c r="BB33" s="123">
        <f>'PROY. INTER'!AX33</f>
        <v>10</v>
      </c>
      <c r="BC33" s="62">
        <f t="shared" si="15"/>
        <v>8</v>
      </c>
      <c r="BD33" s="62">
        <f t="shared" si="16"/>
        <v>2.4</v>
      </c>
      <c r="BE33" s="64">
        <f t="shared" si="17"/>
        <v>8.87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8.22</v>
      </c>
      <c r="CQ33" s="129">
        <f t="shared" si="25"/>
        <v>8.87</v>
      </c>
      <c r="CR33" s="129">
        <f t="shared" si="26"/>
        <v>0</v>
      </c>
      <c r="CS33" s="130">
        <f t="shared" si="27"/>
        <v>5.69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135">
        <f t="shared" si="30"/>
        <v>5.69</v>
      </c>
      <c r="DB33" s="136"/>
      <c r="DC33" s="137">
        <f t="shared" si="31"/>
        <v>5.69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7.0</v>
      </c>
      <c r="E34" s="140"/>
      <c r="F34" s="139">
        <v>8.0</v>
      </c>
      <c r="G34" s="140"/>
      <c r="H34" s="139">
        <v>7.0</v>
      </c>
      <c r="I34" s="140"/>
      <c r="J34" s="139">
        <v>9.0</v>
      </c>
      <c r="K34" s="140"/>
      <c r="L34" s="62"/>
      <c r="M34" s="62"/>
      <c r="N34" s="144">
        <v>8.0</v>
      </c>
      <c r="O34" s="143"/>
      <c r="P34" s="144">
        <v>8.0</v>
      </c>
      <c r="Q34" s="143"/>
      <c r="R34" s="144">
        <v>7.0</v>
      </c>
      <c r="S34" s="143"/>
      <c r="T34" s="141"/>
      <c r="U34" s="141"/>
      <c r="V34" s="62">
        <f t="shared" si="9"/>
        <v>5.397</v>
      </c>
      <c r="W34" s="121">
        <v>10.0</v>
      </c>
      <c r="X34" s="123">
        <f>'PROY. INTER'!W34</f>
        <v>7.33</v>
      </c>
      <c r="Y34" s="62">
        <f t="shared" si="10"/>
        <v>8.665</v>
      </c>
      <c r="Z34" s="62">
        <f t="shared" si="11"/>
        <v>2.5995</v>
      </c>
      <c r="AA34" s="64">
        <f t="shared" si="12"/>
        <v>7.99</v>
      </c>
      <c r="AC34" s="2"/>
      <c r="AE34" s="56">
        <v>23.0</v>
      </c>
      <c r="AF34" s="124" t="str">
        <f t="shared" ref="AF34:AG34" si="113">B34</f>
        <v/>
      </c>
      <c r="AG34" s="65" t="str">
        <f t="shared" si="113"/>
        <v>Veliz chicaiza Alex isaac</v>
      </c>
      <c r="AH34" s="139">
        <v>5.0</v>
      </c>
      <c r="AI34" s="140"/>
      <c r="AJ34" s="139">
        <v>8.0</v>
      </c>
      <c r="AK34" s="140"/>
      <c r="AL34" s="139">
        <v>10.0</v>
      </c>
      <c r="AM34" s="140"/>
      <c r="AN34" s="140"/>
      <c r="AO34" s="140"/>
      <c r="AP34" s="62"/>
      <c r="AQ34" s="62"/>
      <c r="AR34" s="62"/>
      <c r="AS34" s="143"/>
      <c r="AT34" s="121">
        <v>10.0</v>
      </c>
      <c r="AU34" s="143"/>
      <c r="AV34" s="143"/>
      <c r="AW34" s="143"/>
      <c r="AX34" s="141"/>
      <c r="AY34" s="141"/>
      <c r="AZ34" s="62">
        <f t="shared" si="14"/>
        <v>5.775</v>
      </c>
      <c r="BA34" s="121">
        <v>7.0</v>
      </c>
      <c r="BB34" s="123">
        <f>'PROY. INTER'!AX34</f>
        <v>10</v>
      </c>
      <c r="BC34" s="62">
        <f t="shared" si="15"/>
        <v>8.5</v>
      </c>
      <c r="BD34" s="62">
        <f t="shared" si="16"/>
        <v>2.55</v>
      </c>
      <c r="BE34" s="64">
        <f t="shared" si="17"/>
        <v>8.32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7.99</v>
      </c>
      <c r="CQ34" s="129">
        <f t="shared" si="25"/>
        <v>8.32</v>
      </c>
      <c r="CR34" s="129">
        <f t="shared" si="26"/>
        <v>0</v>
      </c>
      <c r="CS34" s="130">
        <f t="shared" si="27"/>
        <v>5.43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135">
        <f t="shared" si="30"/>
        <v>5.43</v>
      </c>
      <c r="DB34" s="136"/>
      <c r="DC34" s="137">
        <f t="shared" si="31"/>
        <v>5.43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10.0</v>
      </c>
      <c r="E35" s="140"/>
      <c r="F35" s="139">
        <v>10.0</v>
      </c>
      <c r="G35" s="140"/>
      <c r="H35" s="139">
        <v>9.0</v>
      </c>
      <c r="I35" s="140"/>
      <c r="J35" s="139">
        <v>10.0</v>
      </c>
      <c r="K35" s="140"/>
      <c r="L35" s="62"/>
      <c r="M35" s="62"/>
      <c r="N35" s="144">
        <v>10.0</v>
      </c>
      <c r="O35" s="143"/>
      <c r="P35" s="144">
        <v>10.0</v>
      </c>
      <c r="Q35" s="143"/>
      <c r="R35" s="144">
        <v>10.0</v>
      </c>
      <c r="S35" s="143"/>
      <c r="T35" s="141"/>
      <c r="U35" s="141"/>
      <c r="V35" s="62">
        <f t="shared" si="9"/>
        <v>6.895</v>
      </c>
      <c r="W35" s="121">
        <v>10.0</v>
      </c>
      <c r="X35" s="123">
        <f>'PROY. INTER'!W35</f>
        <v>9.73</v>
      </c>
      <c r="Y35" s="62">
        <f t="shared" si="10"/>
        <v>9.865</v>
      </c>
      <c r="Z35" s="62">
        <f t="shared" si="11"/>
        <v>2.9595</v>
      </c>
      <c r="AA35" s="64">
        <f t="shared" si="12"/>
        <v>9.85</v>
      </c>
      <c r="AC35" s="2"/>
      <c r="AE35" s="56">
        <v>24.0</v>
      </c>
      <c r="AF35" s="124" t="str">
        <f t="shared" ref="AF35:AG35" si="117">B35</f>
        <v/>
      </c>
      <c r="AG35" s="65" t="str">
        <f t="shared" si="117"/>
        <v>Zambrano Zhicay Victor Humberto</v>
      </c>
      <c r="AH35" s="139">
        <v>10.0</v>
      </c>
      <c r="AI35" s="140"/>
      <c r="AJ35" s="139">
        <v>10.0</v>
      </c>
      <c r="AK35" s="140"/>
      <c r="AL35" s="139">
        <v>10.0</v>
      </c>
      <c r="AM35" s="140"/>
      <c r="AN35" s="140"/>
      <c r="AO35" s="140"/>
      <c r="AP35" s="62"/>
      <c r="AQ35" s="62"/>
      <c r="AR35" s="62"/>
      <c r="AS35" s="143"/>
      <c r="AT35" s="121">
        <v>10.0</v>
      </c>
      <c r="AU35" s="143"/>
      <c r="AV35" s="143"/>
      <c r="AW35" s="143"/>
      <c r="AX35" s="141"/>
      <c r="AY35" s="141"/>
      <c r="AZ35" s="62">
        <f t="shared" si="14"/>
        <v>7</v>
      </c>
      <c r="BA35" s="121">
        <v>10.0</v>
      </c>
      <c r="BB35" s="123">
        <f>'PROY. INTER'!AX35</f>
        <v>10</v>
      </c>
      <c r="BC35" s="62">
        <f t="shared" si="15"/>
        <v>10</v>
      </c>
      <c r="BD35" s="62">
        <f t="shared" si="16"/>
        <v>3</v>
      </c>
      <c r="BE35" s="64">
        <f t="shared" si="17"/>
        <v>10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9.85</v>
      </c>
      <c r="CQ35" s="129">
        <f t="shared" si="25"/>
        <v>10</v>
      </c>
      <c r="CR35" s="129">
        <f t="shared" si="26"/>
        <v>0</v>
      </c>
      <c r="CS35" s="130">
        <f t="shared" si="27"/>
        <v>6.61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135">
        <f t="shared" si="30"/>
        <v>6.61</v>
      </c>
      <c r="DB35" s="136"/>
      <c r="DC35" s="137">
        <f t="shared" si="31"/>
        <v>6.61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6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135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6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135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6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135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6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135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6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135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6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62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135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135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135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135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135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135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135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135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135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135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135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135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135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135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135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135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135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135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135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135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135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5.654583333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24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0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S" sqref="BL12:CC61 CE12:CE61">
      <formula1>0.0</formula1>
      <formula2>10.0</formula2>
    </dataValidation>
    <dataValidation type="decimal" allowBlank="1" showInputMessage="1" showErrorMessage="1" prompt="EL VALOR DEBE SER ENTRE 0 Y 10 PTS" sqref="D12:U61 W12:W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0.71"/>
    <col customWidth="1" min="3" max="3" width="46.86"/>
    <col customWidth="1" min="4" max="21" width="4.86"/>
    <col customWidth="1" min="22" max="23" width="5.71"/>
    <col customWidth="1" min="24" max="24" width="6.14"/>
    <col customWidth="1" min="25" max="25" width="6.0"/>
    <col customWidth="1" min="26" max="26" width="5.71"/>
    <col customWidth="1" min="27" max="27" width="10.71"/>
    <col customWidth="1" min="28" max="29" width="3.86"/>
    <col customWidth="1" min="30" max="30" width="2.71"/>
    <col customWidth="1" min="31" max="31" width="7.0"/>
    <col customWidth="1" min="32" max="32" width="11.0"/>
    <col customWidth="1" min="33" max="33" width="40.71"/>
    <col customWidth="1" min="34" max="51" width="4.86"/>
    <col customWidth="1" min="52" max="56" width="5.71"/>
    <col customWidth="1" min="57" max="57" width="9.0"/>
    <col customWidth="1" min="58" max="58" width="2.71"/>
    <col customWidth="1" min="59" max="59" width="4.71"/>
    <col customWidth="1" min="60" max="60" width="2.71"/>
    <col customWidth="1" min="61" max="61" width="4.71"/>
    <col customWidth="1" min="62" max="62" width="10.71"/>
    <col customWidth="1" min="63" max="63" width="45.14"/>
    <col customWidth="1" min="64" max="81" width="4.86"/>
    <col customWidth="1" min="82" max="86" width="5.71"/>
    <col customWidth="1" min="87" max="87" width="8.86"/>
    <col customWidth="1" min="88" max="88" width="3.29"/>
    <col customWidth="1" min="89" max="89" width="2.71"/>
    <col customWidth="1" min="90" max="90" width="2.86"/>
    <col customWidth="1" min="91" max="92" width="10.71"/>
    <col customWidth="1" min="93" max="93" width="45.86"/>
    <col customWidth="1" min="94" max="97" width="10.71"/>
    <col customWidth="1" min="98" max="98" width="21.86"/>
    <col customWidth="1" min="99" max="99" width="4.43"/>
    <col customWidth="1" min="100" max="101" width="2.71"/>
    <col customWidth="1" min="102" max="103" width="10.71"/>
    <col customWidth="1" min="104" max="104" width="28.86"/>
    <col customWidth="1" min="105" max="107" width="10.71"/>
    <col customWidth="1" min="108" max="108" width="26.71"/>
  </cols>
  <sheetData>
    <row r="1" ht="82.5" customHeight="1">
      <c r="AC1" s="2"/>
      <c r="BG1" s="2"/>
      <c r="CK1" s="2"/>
      <c r="CV1" s="2"/>
    </row>
    <row r="2" ht="21.0" customHeight="1">
      <c r="A2" s="3" t="s">
        <v>0</v>
      </c>
      <c r="B2" s="4"/>
      <c r="C2" s="5" t="s">
        <v>65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C2" s="2"/>
      <c r="AE2" s="3" t="s">
        <v>0</v>
      </c>
      <c r="AF2" s="4"/>
      <c r="AG2" s="5" t="str">
        <f t="shared" ref="AG2:AG4" si="1">C2</f>
        <v>UNIDAD EDUCATIVA EMILIO ISAÍAS ABIHANNA 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4"/>
      <c r="BG2" s="2"/>
      <c r="BI2" s="3" t="s">
        <v>0</v>
      </c>
      <c r="BJ2" s="4"/>
      <c r="BK2" s="5" t="str">
        <f t="shared" ref="BK2:BK4" si="2">C2</f>
        <v>UNIDAD EDUCATIVA EMILIO ISAÍAS ABIHANNA 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4"/>
      <c r="CK2" s="2"/>
      <c r="CM2" s="74" t="s">
        <v>0</v>
      </c>
      <c r="CN2" s="4"/>
      <c r="CO2" s="167" t="str">
        <f t="shared" ref="CO2:CO4" si="3">C2</f>
        <v>UNIDAD EDUCATIVA EMILIO ISAÍAS ABIHANNA </v>
      </c>
      <c r="CP2" s="167"/>
      <c r="CQ2" s="167"/>
      <c r="CR2" s="167"/>
      <c r="CS2" s="167"/>
      <c r="CT2" s="167"/>
      <c r="CV2" s="2"/>
      <c r="CX2" s="74" t="s">
        <v>0</v>
      </c>
      <c r="CY2" s="4"/>
      <c r="CZ2" s="5" t="str">
        <f t="shared" ref="CZ2:CZ4" si="4">C2</f>
        <v>UNIDAD EDUCATIVA EMILIO ISAÍAS ABIHANNA </v>
      </c>
      <c r="DA2" s="6"/>
      <c r="DB2" s="6"/>
      <c r="DC2" s="6"/>
      <c r="DD2" s="4"/>
    </row>
    <row r="3" ht="21.0" customHeight="1">
      <c r="A3" s="3" t="s">
        <v>66</v>
      </c>
      <c r="B3" s="4"/>
      <c r="C3" s="7" t="s">
        <v>198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C3" s="2"/>
      <c r="AE3" s="3" t="s">
        <v>66</v>
      </c>
      <c r="AF3" s="4"/>
      <c r="AG3" s="8" t="str">
        <f t="shared" si="1"/>
        <v>Econ. Hugo Donoso Reinoso, Mgtr.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4"/>
      <c r="BG3" s="2"/>
      <c r="BI3" s="3" t="s">
        <v>66</v>
      </c>
      <c r="BJ3" s="4"/>
      <c r="BK3" s="8" t="str">
        <f t="shared" si="2"/>
        <v>Econ. Hugo Donoso Reinoso, Mgtr.</v>
      </c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4"/>
      <c r="CK3" s="2"/>
      <c r="CM3" s="74" t="s">
        <v>66</v>
      </c>
      <c r="CN3" s="4"/>
      <c r="CO3" s="75" t="str">
        <f t="shared" si="3"/>
        <v>Econ. Hugo Donoso Reinoso, Mgtr.</v>
      </c>
      <c r="CP3" s="75"/>
      <c r="CQ3" s="75"/>
      <c r="CR3" s="75"/>
      <c r="CS3" s="75"/>
      <c r="CT3" s="75"/>
      <c r="CV3" s="2"/>
      <c r="CX3" s="74" t="s">
        <v>66</v>
      </c>
      <c r="CY3" s="4"/>
      <c r="CZ3" s="8" t="str">
        <f t="shared" si="4"/>
        <v>Econ. Hugo Donoso Reinoso, Mgtr.</v>
      </c>
      <c r="DA3" s="6"/>
      <c r="DB3" s="6"/>
      <c r="DC3" s="6"/>
      <c r="DD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C4" s="2"/>
      <c r="AE4" s="3" t="s">
        <v>4</v>
      </c>
      <c r="AF4" s="4"/>
      <c r="AG4" s="12" t="str">
        <f t="shared" si="1"/>
        <v>1ER. AÑO DE BACHILLERATO TECNICO</v>
      </c>
      <c r="AH4" s="10" t="s">
        <v>6</v>
      </c>
      <c r="AI4" s="6"/>
      <c r="AJ4" s="4"/>
      <c r="AK4" s="11" t="str">
        <f>G4</f>
        <v>B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G4" s="2"/>
      <c r="BI4" s="3" t="s">
        <v>4</v>
      </c>
      <c r="BJ4" s="4"/>
      <c r="BK4" s="12" t="str">
        <f t="shared" si="2"/>
        <v>1ER. AÑO DE BACHILLERATO TECNICO</v>
      </c>
      <c r="BL4" s="10" t="s">
        <v>6</v>
      </c>
      <c r="BM4" s="6"/>
      <c r="BN4" s="4"/>
      <c r="BO4" s="11" t="str">
        <f>G4</f>
        <v>B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K4" s="2"/>
      <c r="CM4" s="74" t="s">
        <v>4</v>
      </c>
      <c r="CN4" s="4"/>
      <c r="CO4" s="12" t="str">
        <f t="shared" si="3"/>
        <v>1ER. AÑO DE BACHILLERATO TECNICO</v>
      </c>
      <c r="CP4" s="76" t="s">
        <v>6</v>
      </c>
      <c r="CQ4" s="4"/>
      <c r="CR4" s="75" t="str">
        <f>G4</f>
        <v>B</v>
      </c>
      <c r="CS4" s="75"/>
      <c r="CT4" s="75"/>
      <c r="CV4" s="2"/>
      <c r="CX4" s="74" t="s">
        <v>4</v>
      </c>
      <c r="CY4" s="4"/>
      <c r="CZ4" s="12" t="str">
        <f t="shared" si="4"/>
        <v>1ER. AÑO DE BACHILLERATO TECNICO</v>
      </c>
      <c r="DA4" s="76" t="s">
        <v>6</v>
      </c>
      <c r="DB4" s="4"/>
      <c r="DC4" s="77"/>
      <c r="DD4" s="77" t="str">
        <f>G4</f>
        <v>B</v>
      </c>
    </row>
    <row r="5" ht="7.5" customHeight="1">
      <c r="AC5" s="2"/>
      <c r="BG5" s="2"/>
      <c r="CK5" s="2"/>
      <c r="CV5" s="2"/>
    </row>
    <row r="6" ht="30.0" customHeight="1">
      <c r="A6" s="14" t="s">
        <v>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  <c r="AC6" s="2"/>
      <c r="AE6" s="14" t="s">
        <v>70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4"/>
      <c r="BG6" s="2"/>
      <c r="BI6" s="14" t="s">
        <v>71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4"/>
      <c r="CK6" s="2"/>
      <c r="CM6" s="14" t="s">
        <v>72</v>
      </c>
      <c r="CN6" s="6"/>
      <c r="CO6" s="6"/>
      <c r="CP6" s="6"/>
      <c r="CQ6" s="6"/>
      <c r="CR6" s="6"/>
      <c r="CS6" s="6"/>
      <c r="CT6" s="4"/>
      <c r="CV6" s="2"/>
      <c r="CX6" s="14" t="s">
        <v>73</v>
      </c>
      <c r="CY6" s="6"/>
      <c r="CZ6" s="6"/>
      <c r="DA6" s="6"/>
      <c r="DB6" s="6"/>
      <c r="DC6" s="6"/>
      <c r="DD6" s="4"/>
    </row>
    <row r="7" ht="25.5" customHeight="1">
      <c r="A7" s="16" t="s">
        <v>199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  <c r="AC7" s="2"/>
      <c r="AE7" s="16" t="str">
        <f>A7</f>
        <v>MATERIA: TRIBUTACION 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4"/>
      <c r="BG7" s="2"/>
      <c r="BI7" s="16" t="str">
        <f>A7</f>
        <v>MATERIA: TRIBUTACION 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4"/>
      <c r="CK7" s="2"/>
      <c r="CM7" s="16" t="str">
        <f>A7</f>
        <v>MATERIA: TRIBUTACION </v>
      </c>
      <c r="CN7" s="6"/>
      <c r="CO7" s="6"/>
      <c r="CP7" s="6"/>
      <c r="CQ7" s="6"/>
      <c r="CR7" s="6"/>
      <c r="CS7" s="6"/>
      <c r="CT7" s="4"/>
      <c r="CV7" s="2"/>
      <c r="CX7" s="16" t="str">
        <f>A7</f>
        <v>MATERIA: TRIBUTACION </v>
      </c>
      <c r="CY7" s="6"/>
      <c r="CZ7" s="6"/>
      <c r="DA7" s="6"/>
      <c r="DB7" s="6"/>
      <c r="DC7" s="6"/>
      <c r="DD7" s="4"/>
    </row>
    <row r="8" ht="20.25" customHeight="1">
      <c r="A8" s="17" t="s">
        <v>12</v>
      </c>
      <c r="B8" s="18"/>
      <c r="C8" s="19"/>
      <c r="D8" s="78" t="s">
        <v>75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81" t="s">
        <v>76</v>
      </c>
      <c r="U8" s="22"/>
      <c r="V8" s="23" t="s">
        <v>77</v>
      </c>
      <c r="W8" s="24" t="s">
        <v>78</v>
      </c>
      <c r="X8" s="24" t="s">
        <v>16</v>
      </c>
      <c r="Y8" s="82" t="s">
        <v>79</v>
      </c>
      <c r="Z8" s="25">
        <v>0.3</v>
      </c>
      <c r="AA8" s="26" t="s">
        <v>200</v>
      </c>
      <c r="AC8" s="2"/>
      <c r="AE8" s="17" t="s">
        <v>12</v>
      </c>
      <c r="AF8" s="18"/>
      <c r="AG8" s="19"/>
      <c r="AH8" s="78" t="s">
        <v>75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80"/>
      <c r="AX8" s="81" t="s">
        <v>76</v>
      </c>
      <c r="AY8" s="22"/>
      <c r="AZ8" s="23" t="s">
        <v>77</v>
      </c>
      <c r="BA8" s="24" t="s">
        <v>78</v>
      </c>
      <c r="BB8" s="24" t="s">
        <v>16</v>
      </c>
      <c r="BC8" s="82" t="s">
        <v>79</v>
      </c>
      <c r="BD8" s="25">
        <v>0.3</v>
      </c>
      <c r="BE8" s="26" t="s">
        <v>201</v>
      </c>
      <c r="BG8" s="2"/>
      <c r="BI8" s="17" t="s">
        <v>12</v>
      </c>
      <c r="BJ8" s="18"/>
      <c r="BK8" s="19"/>
      <c r="BL8" s="78" t="s">
        <v>75</v>
      </c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80"/>
      <c r="CB8" s="81" t="s">
        <v>76</v>
      </c>
      <c r="CC8" s="22"/>
      <c r="CD8" s="23" t="s">
        <v>77</v>
      </c>
      <c r="CE8" s="24" t="s">
        <v>78</v>
      </c>
      <c r="CF8" s="24" t="s">
        <v>16</v>
      </c>
      <c r="CG8" s="82" t="s">
        <v>79</v>
      </c>
      <c r="CH8" s="25">
        <v>0.3</v>
      </c>
      <c r="CI8" s="26" t="s">
        <v>202</v>
      </c>
      <c r="CK8" s="2"/>
      <c r="CV8" s="2"/>
    </row>
    <row r="9" ht="27.0" customHeight="1">
      <c r="A9" s="27"/>
      <c r="C9" s="28"/>
      <c r="D9" s="83" t="s">
        <v>83</v>
      </c>
      <c r="E9" s="79"/>
      <c r="F9" s="79"/>
      <c r="G9" s="79"/>
      <c r="H9" s="79"/>
      <c r="I9" s="79"/>
      <c r="J9" s="79"/>
      <c r="K9" s="80"/>
      <c r="L9" s="84" t="s">
        <v>84</v>
      </c>
      <c r="M9" s="79"/>
      <c r="N9" s="79"/>
      <c r="O9" s="79"/>
      <c r="P9" s="79"/>
      <c r="Q9" s="79"/>
      <c r="R9" s="79"/>
      <c r="S9" s="80"/>
      <c r="T9" s="29"/>
      <c r="U9" s="28"/>
      <c r="V9" s="30"/>
      <c r="W9" s="30"/>
      <c r="X9" s="30"/>
      <c r="Y9" s="30"/>
      <c r="Z9" s="30"/>
      <c r="AA9" s="31"/>
      <c r="AC9" s="2"/>
      <c r="AE9" s="27"/>
      <c r="AG9" s="28"/>
      <c r="AH9" s="83" t="s">
        <v>83</v>
      </c>
      <c r="AI9" s="79"/>
      <c r="AJ9" s="79"/>
      <c r="AK9" s="79"/>
      <c r="AL9" s="79"/>
      <c r="AM9" s="79"/>
      <c r="AN9" s="79"/>
      <c r="AO9" s="80"/>
      <c r="AP9" s="84" t="s">
        <v>84</v>
      </c>
      <c r="AQ9" s="79"/>
      <c r="AR9" s="79"/>
      <c r="AS9" s="79"/>
      <c r="AT9" s="79"/>
      <c r="AU9" s="79"/>
      <c r="AV9" s="79"/>
      <c r="AW9" s="80"/>
      <c r="AX9" s="29"/>
      <c r="AY9" s="28"/>
      <c r="AZ9" s="30"/>
      <c r="BA9" s="30"/>
      <c r="BB9" s="30"/>
      <c r="BC9" s="30"/>
      <c r="BD9" s="30"/>
      <c r="BE9" s="31"/>
      <c r="BG9" s="2"/>
      <c r="BI9" s="27"/>
      <c r="BK9" s="28"/>
      <c r="BL9" s="83" t="s">
        <v>83</v>
      </c>
      <c r="BM9" s="79"/>
      <c r="BN9" s="79"/>
      <c r="BO9" s="79"/>
      <c r="BP9" s="79"/>
      <c r="BQ9" s="79"/>
      <c r="BR9" s="79"/>
      <c r="BS9" s="80"/>
      <c r="BT9" s="84" t="s">
        <v>84</v>
      </c>
      <c r="BU9" s="79"/>
      <c r="BV9" s="79"/>
      <c r="BW9" s="79"/>
      <c r="BX9" s="79"/>
      <c r="BY9" s="79"/>
      <c r="BZ9" s="79"/>
      <c r="CA9" s="80"/>
      <c r="CB9" s="29"/>
      <c r="CC9" s="28"/>
      <c r="CD9" s="30"/>
      <c r="CE9" s="30"/>
      <c r="CF9" s="30"/>
      <c r="CG9" s="30"/>
      <c r="CH9" s="30"/>
      <c r="CI9" s="31"/>
      <c r="CK9" s="2"/>
      <c r="CM9" s="85"/>
      <c r="CN9" s="6"/>
      <c r="CO9" s="86"/>
      <c r="CP9" s="87" t="str">
        <f>'TRIBUTACION '!CM10</f>
        <v>ESTUDIANTES</v>
      </c>
      <c r="CQ9" s="88"/>
      <c r="CR9" s="88"/>
      <c r="CS9" s="88"/>
      <c r="CT9" s="89"/>
      <c r="CV9" s="2"/>
    </row>
    <row r="10" ht="30.0" customHeight="1">
      <c r="A10" s="32"/>
      <c r="B10" s="33"/>
      <c r="C10" s="34"/>
      <c r="D10" s="90" t="s">
        <v>85</v>
      </c>
      <c r="E10" s="91"/>
      <c r="F10" s="90" t="s">
        <v>86</v>
      </c>
      <c r="G10" s="91"/>
      <c r="H10" s="90" t="s">
        <v>87</v>
      </c>
      <c r="I10" s="91"/>
      <c r="J10" s="90" t="s">
        <v>88</v>
      </c>
      <c r="K10" s="91"/>
      <c r="L10" s="92" t="s">
        <v>88</v>
      </c>
      <c r="M10" s="91"/>
      <c r="N10" s="92" t="s">
        <v>89</v>
      </c>
      <c r="O10" s="91"/>
      <c r="P10" s="92" t="s">
        <v>90</v>
      </c>
      <c r="Q10" s="91"/>
      <c r="R10" s="92" t="s">
        <v>91</v>
      </c>
      <c r="S10" s="91"/>
      <c r="T10" s="93"/>
      <c r="U10" s="94"/>
      <c r="V10" s="30"/>
      <c r="W10" s="30"/>
      <c r="X10" s="30"/>
      <c r="Y10" s="30"/>
      <c r="Z10" s="30"/>
      <c r="AA10" s="31"/>
      <c r="AC10" s="2"/>
      <c r="AE10" s="32"/>
      <c r="AF10" s="33"/>
      <c r="AG10" s="34"/>
      <c r="AH10" s="90" t="s">
        <v>85</v>
      </c>
      <c r="AI10" s="91"/>
      <c r="AJ10" s="90" t="s">
        <v>86</v>
      </c>
      <c r="AK10" s="91"/>
      <c r="AL10" s="90" t="s">
        <v>87</v>
      </c>
      <c r="AM10" s="91"/>
      <c r="AN10" s="90" t="s">
        <v>88</v>
      </c>
      <c r="AO10" s="91"/>
      <c r="AP10" s="92" t="s">
        <v>88</v>
      </c>
      <c r="AQ10" s="91"/>
      <c r="AR10" s="92" t="s">
        <v>89</v>
      </c>
      <c r="AS10" s="91"/>
      <c r="AT10" s="92" t="s">
        <v>90</v>
      </c>
      <c r="AU10" s="91"/>
      <c r="AV10" s="92" t="s">
        <v>91</v>
      </c>
      <c r="AW10" s="91"/>
      <c r="AX10" s="93"/>
      <c r="AY10" s="94"/>
      <c r="AZ10" s="30"/>
      <c r="BA10" s="30"/>
      <c r="BB10" s="30"/>
      <c r="BC10" s="30"/>
      <c r="BD10" s="30"/>
      <c r="BE10" s="31"/>
      <c r="BG10" s="2"/>
      <c r="BI10" s="32"/>
      <c r="BJ10" s="33"/>
      <c r="BK10" s="34"/>
      <c r="BL10" s="90" t="s">
        <v>85</v>
      </c>
      <c r="BM10" s="91"/>
      <c r="BN10" s="90" t="s">
        <v>86</v>
      </c>
      <c r="BO10" s="91"/>
      <c r="BP10" s="90" t="s">
        <v>87</v>
      </c>
      <c r="BQ10" s="91"/>
      <c r="BR10" s="90" t="s">
        <v>88</v>
      </c>
      <c r="BS10" s="91"/>
      <c r="BT10" s="92" t="s">
        <v>88</v>
      </c>
      <c r="BU10" s="91"/>
      <c r="BV10" s="92" t="s">
        <v>89</v>
      </c>
      <c r="BW10" s="91"/>
      <c r="BX10" s="92" t="s">
        <v>90</v>
      </c>
      <c r="BY10" s="91"/>
      <c r="BZ10" s="92" t="s">
        <v>91</v>
      </c>
      <c r="CA10" s="91"/>
      <c r="CB10" s="93"/>
      <c r="CC10" s="94"/>
      <c r="CD10" s="30"/>
      <c r="CE10" s="30"/>
      <c r="CF10" s="30"/>
      <c r="CG10" s="30"/>
      <c r="CH10" s="30"/>
      <c r="CI10" s="31"/>
      <c r="CK10" s="2"/>
      <c r="CM10" s="95" t="s">
        <v>12</v>
      </c>
      <c r="CN10" s="96"/>
      <c r="CO10" s="97"/>
      <c r="CP10" s="98" t="s">
        <v>92</v>
      </c>
      <c r="CQ10" s="79"/>
      <c r="CR10" s="80"/>
      <c r="CS10" s="99" t="s">
        <v>93</v>
      </c>
      <c r="CT10" s="100" t="s">
        <v>94</v>
      </c>
      <c r="CV10" s="2"/>
      <c r="CX10" s="101"/>
      <c r="CY10" s="101"/>
      <c r="CZ10" s="102" t="s">
        <v>12</v>
      </c>
      <c r="DA10" s="103" t="s">
        <v>95</v>
      </c>
      <c r="DB10" s="104"/>
      <c r="DC10" s="104"/>
      <c r="DD10" s="105"/>
    </row>
    <row r="11" ht="60.0" customHeight="1">
      <c r="A11" s="38" t="s">
        <v>23</v>
      </c>
      <c r="B11" s="38" t="s">
        <v>24</v>
      </c>
      <c r="C11" s="39" t="s">
        <v>25</v>
      </c>
      <c r="D11" s="106" t="s">
        <v>96</v>
      </c>
      <c r="E11" s="106" t="s">
        <v>97</v>
      </c>
      <c r="F11" s="106" t="s">
        <v>96</v>
      </c>
      <c r="G11" s="106" t="s">
        <v>97</v>
      </c>
      <c r="H11" s="106" t="s">
        <v>96</v>
      </c>
      <c r="I11" s="106" t="s">
        <v>97</v>
      </c>
      <c r="J11" s="106" t="s">
        <v>96</v>
      </c>
      <c r="K11" s="106" t="s">
        <v>97</v>
      </c>
      <c r="L11" s="107" t="s">
        <v>96</v>
      </c>
      <c r="M11" s="107" t="s">
        <v>97</v>
      </c>
      <c r="N11" s="107" t="s">
        <v>96</v>
      </c>
      <c r="O11" s="107" t="s">
        <v>97</v>
      </c>
      <c r="P11" s="107" t="s">
        <v>96</v>
      </c>
      <c r="Q11" s="107" t="s">
        <v>97</v>
      </c>
      <c r="R11" s="107" t="s">
        <v>96</v>
      </c>
      <c r="S11" s="107" t="s">
        <v>97</v>
      </c>
      <c r="T11" s="108"/>
      <c r="U11" s="108"/>
      <c r="V11" s="54"/>
      <c r="W11" s="54"/>
      <c r="X11" s="54"/>
      <c r="Y11" s="54"/>
      <c r="Z11" s="54"/>
      <c r="AA11" s="55"/>
      <c r="AC11" s="2"/>
      <c r="AE11" s="38" t="s">
        <v>23</v>
      </c>
      <c r="AF11" s="38" t="s">
        <v>24</v>
      </c>
      <c r="AG11" s="39" t="s">
        <v>25</v>
      </c>
      <c r="AH11" s="106" t="s">
        <v>96</v>
      </c>
      <c r="AI11" s="106" t="s">
        <v>97</v>
      </c>
      <c r="AJ11" s="106" t="s">
        <v>96</v>
      </c>
      <c r="AK11" s="106" t="s">
        <v>97</v>
      </c>
      <c r="AL11" s="106" t="s">
        <v>96</v>
      </c>
      <c r="AM11" s="106" t="s">
        <v>97</v>
      </c>
      <c r="AN11" s="106" t="s">
        <v>96</v>
      </c>
      <c r="AO11" s="106" t="s">
        <v>97</v>
      </c>
      <c r="AP11" s="107" t="s">
        <v>96</v>
      </c>
      <c r="AQ11" s="107" t="s">
        <v>97</v>
      </c>
      <c r="AR11" s="107" t="s">
        <v>96</v>
      </c>
      <c r="AS11" s="107" t="s">
        <v>97</v>
      </c>
      <c r="AT11" s="107" t="s">
        <v>96</v>
      </c>
      <c r="AU11" s="107" t="s">
        <v>97</v>
      </c>
      <c r="AV11" s="107" t="s">
        <v>96</v>
      </c>
      <c r="AW11" s="107" t="s">
        <v>97</v>
      </c>
      <c r="AX11" s="108"/>
      <c r="AY11" s="108"/>
      <c r="AZ11" s="54"/>
      <c r="BA11" s="54"/>
      <c r="BB11" s="54"/>
      <c r="BC11" s="54"/>
      <c r="BD11" s="54"/>
      <c r="BE11" s="55"/>
      <c r="BG11" s="2"/>
      <c r="BI11" s="38" t="s">
        <v>23</v>
      </c>
      <c r="BJ11" s="38" t="s">
        <v>24</v>
      </c>
      <c r="BK11" s="39" t="s">
        <v>25</v>
      </c>
      <c r="BL11" s="106" t="s">
        <v>96</v>
      </c>
      <c r="BM11" s="106" t="s">
        <v>97</v>
      </c>
      <c r="BN11" s="106" t="s">
        <v>96</v>
      </c>
      <c r="BO11" s="106" t="s">
        <v>97</v>
      </c>
      <c r="BP11" s="106" t="s">
        <v>96</v>
      </c>
      <c r="BQ11" s="106" t="s">
        <v>97</v>
      </c>
      <c r="BR11" s="106" t="s">
        <v>96</v>
      </c>
      <c r="BS11" s="106" t="s">
        <v>97</v>
      </c>
      <c r="BT11" s="107" t="s">
        <v>96</v>
      </c>
      <c r="BU11" s="107" t="s">
        <v>97</v>
      </c>
      <c r="BV11" s="107" t="s">
        <v>96</v>
      </c>
      <c r="BW11" s="107" t="s">
        <v>97</v>
      </c>
      <c r="BX11" s="107" t="s">
        <v>96</v>
      </c>
      <c r="BY11" s="107" t="s">
        <v>97</v>
      </c>
      <c r="BZ11" s="107" t="s">
        <v>96</v>
      </c>
      <c r="CA11" s="107" t="s">
        <v>97</v>
      </c>
      <c r="CB11" s="108"/>
      <c r="CC11" s="108"/>
      <c r="CD11" s="54"/>
      <c r="CE11" s="54"/>
      <c r="CF11" s="54"/>
      <c r="CG11" s="54"/>
      <c r="CH11" s="54"/>
      <c r="CI11" s="55"/>
      <c r="CK11" s="2"/>
      <c r="CM11" s="109" t="s">
        <v>23</v>
      </c>
      <c r="CN11" s="110" t="s">
        <v>24</v>
      </c>
      <c r="CO11" s="111" t="s">
        <v>25</v>
      </c>
      <c r="CP11" s="112" t="s">
        <v>98</v>
      </c>
      <c r="CQ11" s="112" t="s">
        <v>99</v>
      </c>
      <c r="CR11" s="112" t="s">
        <v>100</v>
      </c>
      <c r="CS11" s="54"/>
      <c r="CT11" s="113"/>
      <c r="CV11" s="2"/>
      <c r="CX11" s="114" t="s">
        <v>23</v>
      </c>
      <c r="CY11" s="114" t="s">
        <v>24</v>
      </c>
      <c r="CZ11" s="115" t="s">
        <v>25</v>
      </c>
      <c r="DA11" s="116" t="s">
        <v>101</v>
      </c>
      <c r="DB11" s="117" t="s">
        <v>102</v>
      </c>
      <c r="DC11" s="116" t="s">
        <v>103</v>
      </c>
      <c r="DD11" s="118" t="s">
        <v>94</v>
      </c>
    </row>
    <row r="12" ht="15.0" customHeight="1">
      <c r="A12" s="56">
        <v>1.0</v>
      </c>
      <c r="B12" s="57" t="str">
        <f>LEN!B12</f>
        <v/>
      </c>
      <c r="C12" s="57" t="str">
        <f>LEN!C12</f>
        <v>Almeida Alvarado Ariana Guisela</v>
      </c>
      <c r="D12" s="119">
        <v>8.0</v>
      </c>
      <c r="E12" s="120"/>
      <c r="F12" s="119">
        <v>8.0</v>
      </c>
      <c r="G12" s="120"/>
      <c r="H12" s="119">
        <v>8.0</v>
      </c>
      <c r="I12" s="119">
        <v>10.0</v>
      </c>
      <c r="J12" s="120"/>
      <c r="K12" s="119">
        <v>10.0</v>
      </c>
      <c r="L12" s="62"/>
      <c r="M12" s="62"/>
      <c r="N12" s="62"/>
      <c r="O12" s="62"/>
      <c r="P12" s="62"/>
      <c r="Q12" s="62"/>
      <c r="R12" s="62"/>
      <c r="S12" s="62"/>
      <c r="T12" s="122"/>
      <c r="U12" s="122"/>
      <c r="V12" s="62">
        <f t="shared" ref="V12:V61" si="9">IFERROR(TRUNC(AVERAGE(D12:U12),2),"")*70/100</f>
        <v>6.16</v>
      </c>
      <c r="W12" s="121">
        <v>8.0</v>
      </c>
      <c r="X12" s="123">
        <f>'PROY. INTER'!W12</f>
        <v>10</v>
      </c>
      <c r="Y12" s="62">
        <f t="shared" ref="Y12:Y61" si="10">AVERAGE(W12:X12)</f>
        <v>9</v>
      </c>
      <c r="Z12" s="62">
        <f t="shared" ref="Z12:Z61" si="11">Y12*30/100</f>
        <v>2.7</v>
      </c>
      <c r="AA12" s="64">
        <f t="shared" ref="AA12:AA61" si="12">IFERROR(TRUNC(SUM(V12+Z12),2),"")</f>
        <v>8.86</v>
      </c>
      <c r="AC12" s="2"/>
      <c r="AE12" s="56">
        <v>1.0</v>
      </c>
      <c r="AF12" s="124" t="str">
        <f t="shared" ref="AF12:AG12" si="5">B12</f>
        <v/>
      </c>
      <c r="AG12" s="65" t="str">
        <f t="shared" si="5"/>
        <v>Almeida Alvarado Ariana Guisela</v>
      </c>
      <c r="AH12" s="140"/>
      <c r="AI12" s="197">
        <v>10.0</v>
      </c>
      <c r="AJ12" s="197">
        <v>10.0</v>
      </c>
      <c r="AK12" s="140"/>
      <c r="AL12" s="140"/>
      <c r="AM12" s="140"/>
      <c r="AN12" s="140"/>
      <c r="AO12" s="140"/>
      <c r="AP12" s="121">
        <v>10.0</v>
      </c>
      <c r="AQ12" s="62"/>
      <c r="AR12" s="62"/>
      <c r="AS12" s="62"/>
      <c r="AT12" s="62"/>
      <c r="AU12" s="62"/>
      <c r="AV12" s="62"/>
      <c r="AW12" s="62"/>
      <c r="AX12" s="122"/>
      <c r="AY12" s="122"/>
      <c r="AZ12" s="62">
        <f t="shared" ref="AZ12:AZ61" si="14">IFERROR(TRUNC(AVERAGE(AH12:AY12),2),"")*70/100</f>
        <v>7</v>
      </c>
      <c r="BA12" s="121">
        <v>7.0</v>
      </c>
      <c r="BB12" s="123">
        <f>'PROY. INTER'!AX12</f>
        <v>10</v>
      </c>
      <c r="BC12" s="62">
        <f t="shared" ref="BC12:BC61" si="15">AVERAGE(BA12:BB12)</f>
        <v>8.5</v>
      </c>
      <c r="BD12" s="62">
        <f t="shared" ref="BD12:BD61" si="16">BC12*30/100</f>
        <v>2.55</v>
      </c>
      <c r="BE12" s="64">
        <f t="shared" ref="BE12:BE61" si="17">IFERROR(TRUNC(SUM(AZ12+BD12),2),"")</f>
        <v>9.55</v>
      </c>
      <c r="BG12" s="2"/>
      <c r="BI12" s="56">
        <v>1.0</v>
      </c>
      <c r="BJ12" s="124" t="str">
        <f t="shared" ref="BJ12:BK12" si="6">B12</f>
        <v/>
      </c>
      <c r="BK12" s="125" t="str">
        <f t="shared" si="6"/>
        <v>Almeida Alvarado Ariana Guisela</v>
      </c>
      <c r="BL12" s="120"/>
      <c r="BM12" s="120"/>
      <c r="BN12" s="120"/>
      <c r="BO12" s="120"/>
      <c r="BP12" s="120"/>
      <c r="BQ12" s="120"/>
      <c r="BR12" s="120"/>
      <c r="BS12" s="120"/>
      <c r="BT12" s="62"/>
      <c r="BU12" s="62"/>
      <c r="BV12" s="62"/>
      <c r="BW12" s="62"/>
      <c r="BX12" s="62"/>
      <c r="BY12" s="62"/>
      <c r="BZ12" s="62"/>
      <c r="CA12" s="62"/>
      <c r="CB12" s="122"/>
      <c r="CC12" s="122"/>
      <c r="CD12" s="62">
        <f t="shared" ref="CD12:CD61" si="19">IFERROR(TRUNC(AVERAGE(BL12:CC12),2),"")*70/100</f>
        <v>0</v>
      </c>
      <c r="CE12" s="62"/>
      <c r="CF12" s="123">
        <f>'PROY. INTER'!BY12</f>
        <v>0</v>
      </c>
      <c r="CG12" s="62">
        <f t="shared" ref="CG12:CG61" si="20">AVERAGE(CE12:CF12)</f>
        <v>0</v>
      </c>
      <c r="CH12" s="62">
        <f t="shared" ref="CH12:CH61" si="21">CG12*30/100</f>
        <v>0</v>
      </c>
      <c r="CI12" s="64">
        <f t="shared" ref="CI12:CI61" si="22">IFERROR(TRUNC(SUM(CD12+CH12),2),"")</f>
        <v>0</v>
      </c>
      <c r="CK12" s="2"/>
      <c r="CM12" s="126">
        <v>1.0</v>
      </c>
      <c r="CN12" s="127" t="str">
        <f t="shared" ref="CN12:CO12" si="7">B12</f>
        <v/>
      </c>
      <c r="CO12" s="128" t="str">
        <f t="shared" si="7"/>
        <v>Almeida Alvarado Ariana Guisela</v>
      </c>
      <c r="CP12" s="129">
        <f t="shared" ref="CP12:CP61" si="24">AA12</f>
        <v>8.86</v>
      </c>
      <c r="CQ12" s="129">
        <f t="shared" ref="CQ12:CQ61" si="25">BE12</f>
        <v>9.55</v>
      </c>
      <c r="CR12" s="129">
        <f t="shared" ref="CR12:CR61" si="26">CI12</f>
        <v>0</v>
      </c>
      <c r="CS12" s="130">
        <f t="shared" ref="CS12:CS61" si="27">IFERROR(TRUNC(AVERAGE(CP12:CR12),2),"")*100/100</f>
        <v>6.13</v>
      </c>
      <c r="CT12" s="131" t="str">
        <f t="shared" ref="CT12:CT61" si="28">IF(CS12="","",IF(CS12&gt;=7,"APROBADO",IF(AND(CS12&lt;=6.99,CS12&gt;=5),"SUPLETORIO","REPROBADO")))</f>
        <v>SUPLETORIO</v>
      </c>
      <c r="CV12" s="2"/>
      <c r="CX12" s="132">
        <v>1.0</v>
      </c>
      <c r="CY12" s="133" t="str">
        <f t="shared" ref="CY12:CZ12" si="8">B12</f>
        <v/>
      </c>
      <c r="CZ12" s="134" t="str">
        <f t="shared" si="8"/>
        <v>Almeida Alvarado Ariana Guisela</v>
      </c>
      <c r="DA12" s="244">
        <f t="shared" ref="DA12:DA61" si="30">CS12</f>
        <v>6.13</v>
      </c>
      <c r="DB12" s="136"/>
      <c r="DC12" s="137">
        <f t="shared" ref="DC12:DC61" si="31">IF(DA12&gt;=7,DA12,IF(DA12="","",IF(DB12="",AVERAGE(DA12:DB12),IF(AND(DA12&lt;4.01,DB12&lt;&gt;""),DA12,IF(DB12&lt;7,DA12,7)))))</f>
        <v>6.13</v>
      </c>
      <c r="DD12" s="138" t="str">
        <f t="shared" ref="DD12:DD61" si="32">IF(AND(DA12&gt;=7,DB12&lt;&gt;""),"DEJE EN BLANCO EL CASILLERO SUPLETORIO",IF(DA12="","",IF(AND(DA12&lt;5,DB12&lt;&gt;""),"NO PUEDE RENDIR SUPLETORIO;REPRUEBA EL GRADO",IF(DC12&lt;7,"NO PROMOVIDO","PROMOVIDO"))))</f>
        <v>NO PROMOVIDO</v>
      </c>
    </row>
    <row r="13">
      <c r="A13" s="56">
        <v>2.0</v>
      </c>
      <c r="B13" s="57" t="str">
        <f>LEN!B13</f>
        <v/>
      </c>
      <c r="C13" s="57" t="str">
        <f>LEN!C13</f>
        <v>Alvarado Vargas Dacmar Alejandra</v>
      </c>
      <c r="D13" s="139">
        <v>8.0</v>
      </c>
      <c r="E13" s="140"/>
      <c r="F13" s="139">
        <v>8.0</v>
      </c>
      <c r="G13" s="140"/>
      <c r="H13" s="139">
        <v>10.0</v>
      </c>
      <c r="I13" s="139">
        <v>10.0</v>
      </c>
      <c r="J13" s="140"/>
      <c r="K13" s="139">
        <v>10.0</v>
      </c>
      <c r="L13" s="62"/>
      <c r="M13" s="62"/>
      <c r="N13" s="62"/>
      <c r="O13" s="62"/>
      <c r="P13" s="62"/>
      <c r="Q13" s="62"/>
      <c r="R13" s="62"/>
      <c r="S13" s="62"/>
      <c r="T13" s="141"/>
      <c r="U13" s="141"/>
      <c r="V13" s="62">
        <f t="shared" si="9"/>
        <v>6.44</v>
      </c>
      <c r="W13" s="121">
        <v>8.0</v>
      </c>
      <c r="X13" s="123">
        <f>'PROY. INTER'!W13</f>
        <v>10</v>
      </c>
      <c r="Y13" s="62">
        <f t="shared" si="10"/>
        <v>9</v>
      </c>
      <c r="Z13" s="62">
        <f t="shared" si="11"/>
        <v>2.7</v>
      </c>
      <c r="AA13" s="64">
        <f t="shared" si="12"/>
        <v>9.14</v>
      </c>
      <c r="AC13" s="2"/>
      <c r="AE13" s="56">
        <v>2.0</v>
      </c>
      <c r="AF13" s="124" t="str">
        <f t="shared" ref="AF13:AG13" si="13">B13</f>
        <v/>
      </c>
      <c r="AG13" s="65" t="str">
        <f t="shared" si="13"/>
        <v>Alvarado Vargas Dacmar Alejandra</v>
      </c>
      <c r="AH13" s="140"/>
      <c r="AI13" s="272">
        <v>7.0</v>
      </c>
      <c r="AJ13" s="199">
        <v>7.0</v>
      </c>
      <c r="AK13" s="140"/>
      <c r="AL13" s="140"/>
      <c r="AM13" s="140"/>
      <c r="AN13" s="140"/>
      <c r="AO13" s="140"/>
      <c r="AP13" s="121">
        <v>8.0</v>
      </c>
      <c r="AQ13" s="62"/>
      <c r="AR13" s="62"/>
      <c r="AS13" s="62"/>
      <c r="AT13" s="62"/>
      <c r="AU13" s="62"/>
      <c r="AV13" s="62"/>
      <c r="AW13" s="62"/>
      <c r="AX13" s="141"/>
      <c r="AY13" s="141"/>
      <c r="AZ13" s="62">
        <f t="shared" si="14"/>
        <v>5.131</v>
      </c>
      <c r="BA13" s="121">
        <v>7.0</v>
      </c>
      <c r="BB13" s="123">
        <f>'PROY. INTER'!AX13</f>
        <v>10</v>
      </c>
      <c r="BC13" s="62">
        <f t="shared" si="15"/>
        <v>8.5</v>
      </c>
      <c r="BD13" s="62">
        <f t="shared" si="16"/>
        <v>2.55</v>
      </c>
      <c r="BE13" s="64">
        <f t="shared" si="17"/>
        <v>7.68</v>
      </c>
      <c r="BG13" s="2"/>
      <c r="BI13" s="56">
        <v>2.0</v>
      </c>
      <c r="BJ13" s="124" t="str">
        <f t="shared" ref="BJ13:BK13" si="18">B13</f>
        <v/>
      </c>
      <c r="BK13" s="125" t="str">
        <f t="shared" si="18"/>
        <v>Alvarado Vargas Dacmar Alejandra</v>
      </c>
      <c r="BL13" s="140"/>
      <c r="BM13" s="140"/>
      <c r="BN13" s="140"/>
      <c r="BO13" s="140"/>
      <c r="BP13" s="140"/>
      <c r="BQ13" s="140"/>
      <c r="BR13" s="140"/>
      <c r="BS13" s="140"/>
      <c r="BT13" s="62"/>
      <c r="BU13" s="62"/>
      <c r="BV13" s="62"/>
      <c r="BW13" s="62"/>
      <c r="BX13" s="62"/>
      <c r="BY13" s="62"/>
      <c r="BZ13" s="62"/>
      <c r="CA13" s="62"/>
      <c r="CB13" s="141"/>
      <c r="CC13" s="141"/>
      <c r="CD13" s="62">
        <f t="shared" si="19"/>
        <v>0</v>
      </c>
      <c r="CE13" s="62"/>
      <c r="CF13" s="123">
        <f>'PROY. INTER'!BY13</f>
        <v>0</v>
      </c>
      <c r="CG13" s="62">
        <f t="shared" si="20"/>
        <v>0</v>
      </c>
      <c r="CH13" s="62">
        <f t="shared" si="21"/>
        <v>0</v>
      </c>
      <c r="CI13" s="64">
        <f t="shared" si="22"/>
        <v>0</v>
      </c>
      <c r="CK13" s="2"/>
      <c r="CM13" s="126">
        <v>2.0</v>
      </c>
      <c r="CN13" s="127" t="str">
        <f t="shared" ref="CN13:CO13" si="23">B13</f>
        <v/>
      </c>
      <c r="CO13" s="128" t="str">
        <f t="shared" si="23"/>
        <v>Alvarado Vargas Dacmar Alejandra</v>
      </c>
      <c r="CP13" s="129">
        <f t="shared" si="24"/>
        <v>9.14</v>
      </c>
      <c r="CQ13" s="129">
        <f t="shared" si="25"/>
        <v>7.68</v>
      </c>
      <c r="CR13" s="129">
        <f t="shared" si="26"/>
        <v>0</v>
      </c>
      <c r="CS13" s="130">
        <f t="shared" si="27"/>
        <v>5.6</v>
      </c>
      <c r="CT13" s="131" t="str">
        <f t="shared" si="28"/>
        <v>SUPLETORIO</v>
      </c>
      <c r="CV13" s="2"/>
      <c r="CX13" s="132">
        <v>2.0</v>
      </c>
      <c r="CY13" s="133" t="str">
        <f t="shared" ref="CY13:CZ13" si="29">B13</f>
        <v/>
      </c>
      <c r="CZ13" s="134" t="str">
        <f t="shared" si="29"/>
        <v>Alvarado Vargas Dacmar Alejandra</v>
      </c>
      <c r="DA13" s="244">
        <f t="shared" si="30"/>
        <v>5.6</v>
      </c>
      <c r="DB13" s="142"/>
      <c r="DC13" s="137">
        <f t="shared" si="31"/>
        <v>5.6</v>
      </c>
      <c r="DD13" s="138" t="str">
        <f t="shared" si="32"/>
        <v>NO PROMOVIDO</v>
      </c>
    </row>
    <row r="14">
      <c r="A14" s="56">
        <v>3.0</v>
      </c>
      <c r="B14" s="57" t="str">
        <f>LEN!B14</f>
        <v/>
      </c>
      <c r="C14" s="57" t="str">
        <f>LEN!C14</f>
        <v>Ampuero Cornejo Cesar Jeanpierre</v>
      </c>
      <c r="D14" s="139">
        <v>8.0</v>
      </c>
      <c r="E14" s="140"/>
      <c r="F14" s="139">
        <v>8.0</v>
      </c>
      <c r="G14" s="140"/>
      <c r="H14" s="139">
        <v>10.0</v>
      </c>
      <c r="I14" s="139">
        <v>10.0</v>
      </c>
      <c r="J14" s="140"/>
      <c r="K14" s="139">
        <v>8.5</v>
      </c>
      <c r="L14" s="62"/>
      <c r="M14" s="62"/>
      <c r="N14" s="143"/>
      <c r="O14" s="143"/>
      <c r="P14" s="143"/>
      <c r="Q14" s="143"/>
      <c r="R14" s="143"/>
      <c r="S14" s="143"/>
      <c r="T14" s="141"/>
      <c r="U14" s="141"/>
      <c r="V14" s="62">
        <f t="shared" si="9"/>
        <v>6.23</v>
      </c>
      <c r="W14" s="121">
        <v>7.0</v>
      </c>
      <c r="X14" s="123">
        <f>'PROY. INTER'!W14</f>
        <v>8.2</v>
      </c>
      <c r="Y14" s="62">
        <f t="shared" si="10"/>
        <v>7.6</v>
      </c>
      <c r="Z14" s="62">
        <f t="shared" si="11"/>
        <v>2.28</v>
      </c>
      <c r="AA14" s="64">
        <f t="shared" si="12"/>
        <v>8.51</v>
      </c>
      <c r="AC14" s="2"/>
      <c r="AE14" s="56">
        <v>3.0</v>
      </c>
      <c r="AF14" s="124" t="str">
        <f t="shared" ref="AF14:AG14" si="33">B14</f>
        <v/>
      </c>
      <c r="AG14" s="65" t="str">
        <f t="shared" si="33"/>
        <v>Ampuero Cornejo Cesar Jeanpierre</v>
      </c>
      <c r="AH14" s="140"/>
      <c r="AI14" s="197">
        <v>7.5</v>
      </c>
      <c r="AJ14" s="197">
        <v>7.5</v>
      </c>
      <c r="AK14" s="140"/>
      <c r="AL14" s="140"/>
      <c r="AM14" s="140"/>
      <c r="AN14" s="140"/>
      <c r="AO14" s="140"/>
      <c r="AP14" s="121">
        <v>8.0</v>
      </c>
      <c r="AQ14" s="62"/>
      <c r="AR14" s="62"/>
      <c r="AS14" s="143"/>
      <c r="AT14" s="143"/>
      <c r="AU14" s="143"/>
      <c r="AV14" s="143"/>
      <c r="AW14" s="143"/>
      <c r="AX14" s="141"/>
      <c r="AY14" s="141"/>
      <c r="AZ14" s="62">
        <f t="shared" si="14"/>
        <v>5.362</v>
      </c>
      <c r="BA14" s="121">
        <v>8.0</v>
      </c>
      <c r="BB14" s="123">
        <f>'PROY. INTER'!AX14</f>
        <v>10</v>
      </c>
      <c r="BC14" s="62">
        <f t="shared" si="15"/>
        <v>9</v>
      </c>
      <c r="BD14" s="62">
        <f t="shared" si="16"/>
        <v>2.7</v>
      </c>
      <c r="BE14" s="64">
        <f t="shared" si="17"/>
        <v>8.06</v>
      </c>
      <c r="BG14" s="2"/>
      <c r="BI14" s="56">
        <v>3.0</v>
      </c>
      <c r="BJ14" s="124" t="str">
        <f t="shared" ref="BJ14:BK14" si="34">B14</f>
        <v/>
      </c>
      <c r="BK14" s="125" t="str">
        <f t="shared" si="34"/>
        <v>Ampuero Cornejo Cesar Jeanpierre</v>
      </c>
      <c r="BL14" s="140"/>
      <c r="BM14" s="140"/>
      <c r="BN14" s="140"/>
      <c r="BO14" s="140"/>
      <c r="BP14" s="140"/>
      <c r="BQ14" s="140"/>
      <c r="BR14" s="140"/>
      <c r="BS14" s="140"/>
      <c r="BT14" s="62"/>
      <c r="BU14" s="62"/>
      <c r="BV14" s="143"/>
      <c r="BW14" s="143"/>
      <c r="BX14" s="143"/>
      <c r="BY14" s="143"/>
      <c r="BZ14" s="143"/>
      <c r="CA14" s="143"/>
      <c r="CB14" s="141"/>
      <c r="CC14" s="141"/>
      <c r="CD14" s="62">
        <f t="shared" si="19"/>
        <v>0</v>
      </c>
      <c r="CE14" s="62"/>
      <c r="CF14" s="123">
        <f>'PROY. INTER'!BY14</f>
        <v>0</v>
      </c>
      <c r="CG14" s="62">
        <f t="shared" si="20"/>
        <v>0</v>
      </c>
      <c r="CH14" s="62">
        <f t="shared" si="21"/>
        <v>0</v>
      </c>
      <c r="CI14" s="64">
        <f t="shared" si="22"/>
        <v>0</v>
      </c>
      <c r="CK14" s="2"/>
      <c r="CM14" s="126">
        <v>3.0</v>
      </c>
      <c r="CN14" s="127" t="str">
        <f t="shared" ref="CN14:CO14" si="35">B14</f>
        <v/>
      </c>
      <c r="CO14" s="128" t="str">
        <f t="shared" si="35"/>
        <v>Ampuero Cornejo Cesar Jeanpierre</v>
      </c>
      <c r="CP14" s="129">
        <f t="shared" si="24"/>
        <v>8.51</v>
      </c>
      <c r="CQ14" s="129">
        <f t="shared" si="25"/>
        <v>8.06</v>
      </c>
      <c r="CR14" s="129">
        <f t="shared" si="26"/>
        <v>0</v>
      </c>
      <c r="CS14" s="130">
        <f t="shared" si="27"/>
        <v>5.52</v>
      </c>
      <c r="CT14" s="131" t="str">
        <f t="shared" si="28"/>
        <v>SUPLETORIO</v>
      </c>
      <c r="CV14" s="2"/>
      <c r="CX14" s="132">
        <v>3.0</v>
      </c>
      <c r="CY14" s="133" t="str">
        <f t="shared" ref="CY14:CZ14" si="36">B14</f>
        <v/>
      </c>
      <c r="CZ14" s="134" t="str">
        <f t="shared" si="36"/>
        <v>Ampuero Cornejo Cesar Jeanpierre</v>
      </c>
      <c r="DA14" s="244">
        <f t="shared" si="30"/>
        <v>5.52</v>
      </c>
      <c r="DB14" s="136"/>
      <c r="DC14" s="137">
        <f t="shared" si="31"/>
        <v>5.52</v>
      </c>
      <c r="DD14" s="138" t="str">
        <f t="shared" si="32"/>
        <v>NO PROMOVIDO</v>
      </c>
    </row>
    <row r="15">
      <c r="A15" s="56">
        <v>4.0</v>
      </c>
      <c r="B15" s="57" t="str">
        <f>LEN!B15</f>
        <v/>
      </c>
      <c r="C15" s="57" t="str">
        <f>LEN!C15</f>
        <v>Aylla Murillo Kerly Kristhel</v>
      </c>
      <c r="D15" s="139">
        <v>8.0</v>
      </c>
      <c r="E15" s="140"/>
      <c r="F15" s="139">
        <v>8.0</v>
      </c>
      <c r="G15" s="140"/>
      <c r="H15" s="139">
        <v>10.0</v>
      </c>
      <c r="I15" s="139">
        <v>10.0</v>
      </c>
      <c r="J15" s="140"/>
      <c r="K15" s="139">
        <v>7.0</v>
      </c>
      <c r="L15" s="62"/>
      <c r="M15" s="62"/>
      <c r="N15" s="143"/>
      <c r="O15" s="143"/>
      <c r="P15" s="143"/>
      <c r="Q15" s="143"/>
      <c r="R15" s="143"/>
      <c r="S15" s="143"/>
      <c r="T15" s="141"/>
      <c r="U15" s="141"/>
      <c r="V15" s="62">
        <f t="shared" si="9"/>
        <v>6.02</v>
      </c>
      <c r="W15" s="121">
        <v>6.0</v>
      </c>
      <c r="X15" s="123">
        <f>'PROY. INTER'!W15</f>
        <v>6.73</v>
      </c>
      <c r="Y15" s="62">
        <f t="shared" si="10"/>
        <v>6.365</v>
      </c>
      <c r="Z15" s="62">
        <f t="shared" si="11"/>
        <v>1.9095</v>
      </c>
      <c r="AA15" s="64">
        <f t="shared" si="12"/>
        <v>7.92</v>
      </c>
      <c r="AC15" s="2"/>
      <c r="AE15" s="56">
        <v>4.0</v>
      </c>
      <c r="AF15" s="124" t="str">
        <f t="shared" ref="AF15:AG15" si="37">B15</f>
        <v/>
      </c>
      <c r="AG15" s="65" t="str">
        <f t="shared" si="37"/>
        <v>Aylla Murillo Kerly Kristhel</v>
      </c>
      <c r="AH15" s="140"/>
      <c r="AI15" s="272">
        <v>7.0</v>
      </c>
      <c r="AJ15" s="199">
        <v>6.0</v>
      </c>
      <c r="AK15" s="140"/>
      <c r="AL15" s="140"/>
      <c r="AM15" s="140"/>
      <c r="AN15" s="140"/>
      <c r="AO15" s="140"/>
      <c r="AP15" s="121">
        <v>9.0</v>
      </c>
      <c r="AQ15" s="62"/>
      <c r="AR15" s="62"/>
      <c r="AS15" s="143"/>
      <c r="AT15" s="143"/>
      <c r="AU15" s="143"/>
      <c r="AV15" s="143"/>
      <c r="AW15" s="143"/>
      <c r="AX15" s="141"/>
      <c r="AY15" s="141"/>
      <c r="AZ15" s="62">
        <f t="shared" si="14"/>
        <v>5.131</v>
      </c>
      <c r="BA15" s="121">
        <v>6.0</v>
      </c>
      <c r="BB15" s="123">
        <f>'PROY. INTER'!AX15</f>
        <v>10</v>
      </c>
      <c r="BC15" s="62">
        <f t="shared" si="15"/>
        <v>8</v>
      </c>
      <c r="BD15" s="62">
        <f t="shared" si="16"/>
        <v>2.4</v>
      </c>
      <c r="BE15" s="64">
        <f t="shared" si="17"/>
        <v>7.53</v>
      </c>
      <c r="BG15" s="2"/>
      <c r="BI15" s="56">
        <v>4.0</v>
      </c>
      <c r="BJ15" s="124" t="str">
        <f t="shared" ref="BJ15:BK15" si="38">B15</f>
        <v/>
      </c>
      <c r="BK15" s="125" t="str">
        <f t="shared" si="38"/>
        <v>Aylla Murillo Kerly Kristhel</v>
      </c>
      <c r="BL15" s="140"/>
      <c r="BM15" s="140"/>
      <c r="BN15" s="140"/>
      <c r="BO15" s="140"/>
      <c r="BP15" s="140"/>
      <c r="BQ15" s="140"/>
      <c r="BR15" s="140"/>
      <c r="BS15" s="140"/>
      <c r="BT15" s="62"/>
      <c r="BU15" s="62"/>
      <c r="BV15" s="143"/>
      <c r="BW15" s="143"/>
      <c r="BX15" s="143"/>
      <c r="BY15" s="143"/>
      <c r="BZ15" s="143"/>
      <c r="CA15" s="143"/>
      <c r="CB15" s="141"/>
      <c r="CC15" s="141"/>
      <c r="CD15" s="62">
        <f t="shared" si="19"/>
        <v>0</v>
      </c>
      <c r="CE15" s="62"/>
      <c r="CF15" s="123">
        <f>'PROY. INTER'!BY15</f>
        <v>0</v>
      </c>
      <c r="CG15" s="62">
        <f t="shared" si="20"/>
        <v>0</v>
      </c>
      <c r="CH15" s="62">
        <f t="shared" si="21"/>
        <v>0</v>
      </c>
      <c r="CI15" s="64">
        <f t="shared" si="22"/>
        <v>0</v>
      </c>
      <c r="CK15" s="2"/>
      <c r="CM15" s="126">
        <v>4.0</v>
      </c>
      <c r="CN15" s="127" t="str">
        <f t="shared" ref="CN15:CO15" si="39">B15</f>
        <v/>
      </c>
      <c r="CO15" s="128" t="str">
        <f t="shared" si="39"/>
        <v>Aylla Murillo Kerly Kristhel</v>
      </c>
      <c r="CP15" s="129">
        <f t="shared" si="24"/>
        <v>7.92</v>
      </c>
      <c r="CQ15" s="129">
        <f t="shared" si="25"/>
        <v>7.53</v>
      </c>
      <c r="CR15" s="129">
        <f t="shared" si="26"/>
        <v>0</v>
      </c>
      <c r="CS15" s="130">
        <f t="shared" si="27"/>
        <v>5.15</v>
      </c>
      <c r="CT15" s="131" t="str">
        <f t="shared" si="28"/>
        <v>SUPLETORIO</v>
      </c>
      <c r="CV15" s="2"/>
      <c r="CX15" s="132">
        <v>4.0</v>
      </c>
      <c r="CY15" s="133" t="str">
        <f t="shared" ref="CY15:CZ15" si="40">B15</f>
        <v/>
      </c>
      <c r="CZ15" s="134" t="str">
        <f t="shared" si="40"/>
        <v>Aylla Murillo Kerly Kristhel</v>
      </c>
      <c r="DA15" s="244">
        <f t="shared" si="30"/>
        <v>5.15</v>
      </c>
      <c r="DB15" s="136"/>
      <c r="DC15" s="137">
        <f t="shared" si="31"/>
        <v>5.15</v>
      </c>
      <c r="DD15" s="138" t="str">
        <f t="shared" si="32"/>
        <v>NO PROMOVIDO</v>
      </c>
    </row>
    <row r="16">
      <c r="A16" s="56">
        <v>5.0</v>
      </c>
      <c r="B16" s="57" t="str">
        <f>LEN!B16</f>
        <v/>
      </c>
      <c r="C16" s="57" t="str">
        <f>LEN!C16</f>
        <v>Campuzano Meza Naydelyn Odeth</v>
      </c>
      <c r="D16" s="139">
        <v>7.0</v>
      </c>
      <c r="E16" s="140"/>
      <c r="F16" s="139">
        <v>8.0</v>
      </c>
      <c r="G16" s="140"/>
      <c r="H16" s="139">
        <v>10.0</v>
      </c>
      <c r="I16" s="139">
        <v>10.0</v>
      </c>
      <c r="J16" s="140"/>
      <c r="K16" s="139">
        <v>7.0</v>
      </c>
      <c r="L16" s="62"/>
      <c r="M16" s="62"/>
      <c r="N16" s="143"/>
      <c r="O16" s="143"/>
      <c r="P16" s="143"/>
      <c r="Q16" s="143"/>
      <c r="R16" s="143"/>
      <c r="S16" s="143"/>
      <c r="T16" s="141"/>
      <c r="U16" s="141"/>
      <c r="V16" s="62">
        <f t="shared" si="9"/>
        <v>5.88</v>
      </c>
      <c r="W16" s="121">
        <v>6.0</v>
      </c>
      <c r="X16" s="123">
        <f>'PROY. INTER'!W16</f>
        <v>6</v>
      </c>
      <c r="Y16" s="62">
        <f t="shared" si="10"/>
        <v>6</v>
      </c>
      <c r="Z16" s="62">
        <f t="shared" si="11"/>
        <v>1.8</v>
      </c>
      <c r="AA16" s="64">
        <f t="shared" si="12"/>
        <v>7.68</v>
      </c>
      <c r="AC16" s="2"/>
      <c r="AE16" s="56">
        <v>5.0</v>
      </c>
      <c r="AF16" s="124" t="str">
        <f t="shared" ref="AF16:AG16" si="41">B16</f>
        <v/>
      </c>
      <c r="AG16" s="65" t="str">
        <f t="shared" si="41"/>
        <v>Campuzano Meza Naydelyn Odeth</v>
      </c>
      <c r="AH16" s="140"/>
      <c r="AI16" s="199">
        <v>8.0</v>
      </c>
      <c r="AJ16" s="199">
        <v>8.0</v>
      </c>
      <c r="AK16" s="140"/>
      <c r="AL16" s="140"/>
      <c r="AM16" s="140"/>
      <c r="AN16" s="140"/>
      <c r="AO16" s="140"/>
      <c r="AP16" s="121">
        <v>10.0</v>
      </c>
      <c r="AQ16" s="62"/>
      <c r="AR16" s="62"/>
      <c r="AS16" s="143"/>
      <c r="AT16" s="143"/>
      <c r="AU16" s="143"/>
      <c r="AV16" s="143"/>
      <c r="AW16" s="143"/>
      <c r="AX16" s="141"/>
      <c r="AY16" s="141"/>
      <c r="AZ16" s="62">
        <f t="shared" si="14"/>
        <v>6.062</v>
      </c>
      <c r="BA16" s="121">
        <v>5.0</v>
      </c>
      <c r="BB16" s="123">
        <f>'PROY. INTER'!AX16</f>
        <v>2</v>
      </c>
      <c r="BC16" s="62">
        <f t="shared" si="15"/>
        <v>3.5</v>
      </c>
      <c r="BD16" s="62">
        <f t="shared" si="16"/>
        <v>1.05</v>
      </c>
      <c r="BE16" s="64">
        <f t="shared" si="17"/>
        <v>7.11</v>
      </c>
      <c r="BG16" s="2"/>
      <c r="BI16" s="56">
        <v>5.0</v>
      </c>
      <c r="BJ16" s="124" t="str">
        <f t="shared" ref="BJ16:BK16" si="42">B16</f>
        <v/>
      </c>
      <c r="BK16" s="125" t="str">
        <f t="shared" si="42"/>
        <v>Campuzano Meza Naydelyn Odeth</v>
      </c>
      <c r="BL16" s="140"/>
      <c r="BM16" s="140"/>
      <c r="BN16" s="140"/>
      <c r="BO16" s="140"/>
      <c r="BP16" s="140"/>
      <c r="BQ16" s="140"/>
      <c r="BR16" s="140"/>
      <c r="BS16" s="140"/>
      <c r="BT16" s="62"/>
      <c r="BU16" s="62"/>
      <c r="BV16" s="143"/>
      <c r="BW16" s="143"/>
      <c r="BX16" s="143"/>
      <c r="BY16" s="143"/>
      <c r="BZ16" s="143"/>
      <c r="CA16" s="143"/>
      <c r="CB16" s="141"/>
      <c r="CC16" s="141"/>
      <c r="CD16" s="62">
        <f t="shared" si="19"/>
        <v>0</v>
      </c>
      <c r="CE16" s="62"/>
      <c r="CF16" s="123">
        <f>'PROY. INTER'!BY16</f>
        <v>0</v>
      </c>
      <c r="CG16" s="62">
        <f t="shared" si="20"/>
        <v>0</v>
      </c>
      <c r="CH16" s="62">
        <f t="shared" si="21"/>
        <v>0</v>
      </c>
      <c r="CI16" s="64">
        <f t="shared" si="22"/>
        <v>0</v>
      </c>
      <c r="CK16" s="2"/>
      <c r="CM16" s="126">
        <v>5.0</v>
      </c>
      <c r="CN16" s="127" t="str">
        <f t="shared" ref="CN16:CO16" si="43">B16</f>
        <v/>
      </c>
      <c r="CO16" s="128" t="str">
        <f t="shared" si="43"/>
        <v>Campuzano Meza Naydelyn Odeth</v>
      </c>
      <c r="CP16" s="129">
        <f t="shared" si="24"/>
        <v>7.68</v>
      </c>
      <c r="CQ16" s="129">
        <f t="shared" si="25"/>
        <v>7.11</v>
      </c>
      <c r="CR16" s="129">
        <f t="shared" si="26"/>
        <v>0</v>
      </c>
      <c r="CS16" s="130">
        <f t="shared" si="27"/>
        <v>4.93</v>
      </c>
      <c r="CT16" s="131" t="str">
        <f t="shared" si="28"/>
        <v>REPROBADO</v>
      </c>
      <c r="CV16" s="2"/>
      <c r="CX16" s="132">
        <v>5.0</v>
      </c>
      <c r="CY16" s="133" t="str">
        <f t="shared" ref="CY16:CZ16" si="44">B16</f>
        <v/>
      </c>
      <c r="CZ16" s="134" t="str">
        <f t="shared" si="44"/>
        <v>Campuzano Meza Naydelyn Odeth</v>
      </c>
      <c r="DA16" s="244">
        <f t="shared" si="30"/>
        <v>4.93</v>
      </c>
      <c r="DB16" s="136"/>
      <c r="DC16" s="137">
        <f t="shared" si="31"/>
        <v>4.93</v>
      </c>
      <c r="DD16" s="138" t="str">
        <f t="shared" si="32"/>
        <v>NO PROMOVIDO</v>
      </c>
    </row>
    <row r="17" ht="15.0" customHeight="1">
      <c r="A17" s="56">
        <v>6.0</v>
      </c>
      <c r="B17" s="57" t="str">
        <f>LEN!B17</f>
        <v/>
      </c>
      <c r="C17" s="57" t="str">
        <f>LEN!C17</f>
        <v>Cantos Zúñiga a Hernán Snayder</v>
      </c>
      <c r="D17" s="139">
        <v>7.0</v>
      </c>
      <c r="E17" s="140"/>
      <c r="F17" s="139">
        <v>8.0</v>
      </c>
      <c r="G17" s="140"/>
      <c r="H17" s="139">
        <v>7.0</v>
      </c>
      <c r="I17" s="139">
        <v>10.0</v>
      </c>
      <c r="J17" s="140"/>
      <c r="K17" s="139">
        <v>10.0</v>
      </c>
      <c r="L17" s="62"/>
      <c r="M17" s="62"/>
      <c r="N17" s="143"/>
      <c r="O17" s="143"/>
      <c r="P17" s="143"/>
      <c r="Q17" s="143"/>
      <c r="R17" s="143"/>
      <c r="S17" s="143"/>
      <c r="T17" s="141"/>
      <c r="U17" s="141"/>
      <c r="V17" s="62">
        <f t="shared" si="9"/>
        <v>5.88</v>
      </c>
      <c r="W17" s="121">
        <v>5.0</v>
      </c>
      <c r="X17" s="123">
        <f>'PROY. INTER'!W17</f>
        <v>9.87</v>
      </c>
      <c r="Y17" s="62">
        <f t="shared" si="10"/>
        <v>7.435</v>
      </c>
      <c r="Z17" s="62">
        <f t="shared" si="11"/>
        <v>2.2305</v>
      </c>
      <c r="AA17" s="64">
        <f t="shared" si="12"/>
        <v>8.11</v>
      </c>
      <c r="AC17" s="2"/>
      <c r="AE17" s="56">
        <v>6.0</v>
      </c>
      <c r="AF17" s="124" t="str">
        <f t="shared" ref="AF17:AG17" si="45">B17</f>
        <v/>
      </c>
      <c r="AG17" s="65" t="str">
        <f t="shared" si="45"/>
        <v>Cantos Zúñiga a Hernán Snayder</v>
      </c>
      <c r="AH17" s="140"/>
      <c r="AI17" s="197">
        <v>8.0</v>
      </c>
      <c r="AJ17" s="197">
        <v>8.0</v>
      </c>
      <c r="AK17" s="140"/>
      <c r="AL17" s="140"/>
      <c r="AM17" s="140"/>
      <c r="AN17" s="140"/>
      <c r="AO17" s="140"/>
      <c r="AP17" s="121">
        <v>10.0</v>
      </c>
      <c r="AQ17" s="62"/>
      <c r="AR17" s="62"/>
      <c r="AS17" s="143"/>
      <c r="AT17" s="143"/>
      <c r="AU17" s="143"/>
      <c r="AV17" s="143"/>
      <c r="AW17" s="143"/>
      <c r="AX17" s="141"/>
      <c r="AY17" s="141"/>
      <c r="AZ17" s="62">
        <f t="shared" si="14"/>
        <v>6.062</v>
      </c>
      <c r="BA17" s="121">
        <v>7.0</v>
      </c>
      <c r="BB17" s="123">
        <f>'PROY. INTER'!AX17</f>
        <v>10</v>
      </c>
      <c r="BC17" s="62">
        <f t="shared" si="15"/>
        <v>8.5</v>
      </c>
      <c r="BD17" s="62">
        <f t="shared" si="16"/>
        <v>2.55</v>
      </c>
      <c r="BE17" s="64">
        <f t="shared" si="17"/>
        <v>8.61</v>
      </c>
      <c r="BG17" s="2"/>
      <c r="BI17" s="56">
        <v>6.0</v>
      </c>
      <c r="BJ17" s="124" t="str">
        <f t="shared" ref="BJ17:BK17" si="46">B17</f>
        <v/>
      </c>
      <c r="BK17" s="65" t="str">
        <f t="shared" si="46"/>
        <v>Cantos Zúñiga a Hernán Snayder</v>
      </c>
      <c r="BL17" s="140"/>
      <c r="BM17" s="140"/>
      <c r="BN17" s="140"/>
      <c r="BO17" s="140"/>
      <c r="BP17" s="140"/>
      <c r="BQ17" s="140"/>
      <c r="BR17" s="140"/>
      <c r="BS17" s="140"/>
      <c r="BT17" s="62"/>
      <c r="BU17" s="62"/>
      <c r="BV17" s="143"/>
      <c r="BW17" s="143"/>
      <c r="BX17" s="143"/>
      <c r="BY17" s="143"/>
      <c r="BZ17" s="143"/>
      <c r="CA17" s="143"/>
      <c r="CB17" s="141"/>
      <c r="CC17" s="141"/>
      <c r="CD17" s="62">
        <f t="shared" si="19"/>
        <v>0</v>
      </c>
      <c r="CE17" s="62"/>
      <c r="CF17" s="123">
        <f>'PROY. INTER'!BY17</f>
        <v>0</v>
      </c>
      <c r="CG17" s="62">
        <f t="shared" si="20"/>
        <v>0</v>
      </c>
      <c r="CH17" s="62">
        <f t="shared" si="21"/>
        <v>0</v>
      </c>
      <c r="CI17" s="64">
        <f t="shared" si="22"/>
        <v>0</v>
      </c>
      <c r="CK17" s="2"/>
      <c r="CM17" s="126">
        <v>6.0</v>
      </c>
      <c r="CN17" s="127" t="str">
        <f t="shared" ref="CN17:CO17" si="47">B17</f>
        <v/>
      </c>
      <c r="CO17" s="128" t="str">
        <f t="shared" si="47"/>
        <v>Cantos Zúñiga a Hernán Snayder</v>
      </c>
      <c r="CP17" s="129">
        <f t="shared" si="24"/>
        <v>8.11</v>
      </c>
      <c r="CQ17" s="129">
        <f t="shared" si="25"/>
        <v>8.61</v>
      </c>
      <c r="CR17" s="129">
        <f t="shared" si="26"/>
        <v>0</v>
      </c>
      <c r="CS17" s="130">
        <f t="shared" si="27"/>
        <v>5.57</v>
      </c>
      <c r="CT17" s="131" t="str">
        <f t="shared" si="28"/>
        <v>SUPLETORIO</v>
      </c>
      <c r="CV17" s="2"/>
      <c r="CX17" s="132">
        <v>6.0</v>
      </c>
      <c r="CY17" s="133" t="str">
        <f t="shared" ref="CY17:CZ17" si="48">B17</f>
        <v/>
      </c>
      <c r="CZ17" s="134" t="str">
        <f t="shared" si="48"/>
        <v>Cantos Zúñiga a Hernán Snayder</v>
      </c>
      <c r="DA17" s="244">
        <f t="shared" si="30"/>
        <v>5.57</v>
      </c>
      <c r="DB17" s="136"/>
      <c r="DC17" s="137">
        <f t="shared" si="31"/>
        <v>5.57</v>
      </c>
      <c r="DD17" s="138" t="str">
        <f t="shared" si="32"/>
        <v>NO PROMOVIDO</v>
      </c>
    </row>
    <row r="18">
      <c r="A18" s="56">
        <v>7.0</v>
      </c>
      <c r="B18" s="57" t="str">
        <f>LEN!B18</f>
        <v/>
      </c>
      <c r="C18" s="57" t="str">
        <f>LEN!C18</f>
        <v>Carranza Dumes Genesis Daniela</v>
      </c>
      <c r="D18" s="139">
        <v>7.0</v>
      </c>
      <c r="E18" s="140"/>
      <c r="F18" s="139">
        <v>8.0</v>
      </c>
      <c r="G18" s="140"/>
      <c r="H18" s="139">
        <v>8.0</v>
      </c>
      <c r="I18" s="139">
        <v>10.0</v>
      </c>
      <c r="J18" s="140"/>
      <c r="K18" s="139">
        <v>9.0</v>
      </c>
      <c r="L18" s="62"/>
      <c r="M18" s="62"/>
      <c r="N18" s="143"/>
      <c r="O18" s="143"/>
      <c r="P18" s="143"/>
      <c r="Q18" s="143"/>
      <c r="R18" s="143"/>
      <c r="S18" s="143"/>
      <c r="T18" s="141"/>
      <c r="U18" s="141"/>
      <c r="V18" s="62">
        <f t="shared" si="9"/>
        <v>5.88</v>
      </c>
      <c r="W18" s="121">
        <v>5.0</v>
      </c>
      <c r="X18" s="123">
        <f>'PROY. INTER'!W18</f>
        <v>9</v>
      </c>
      <c r="Y18" s="62">
        <f t="shared" si="10"/>
        <v>7</v>
      </c>
      <c r="Z18" s="62">
        <f t="shared" si="11"/>
        <v>2.1</v>
      </c>
      <c r="AA18" s="64">
        <f t="shared" si="12"/>
        <v>7.98</v>
      </c>
      <c r="AC18" s="2"/>
      <c r="AE18" s="56">
        <v>7.0</v>
      </c>
      <c r="AF18" s="124" t="str">
        <f t="shared" ref="AF18:AG18" si="49">B18</f>
        <v/>
      </c>
      <c r="AG18" s="65" t="str">
        <f t="shared" si="49"/>
        <v>Carranza Dumes Genesis Daniela</v>
      </c>
      <c r="AH18" s="140"/>
      <c r="AI18" s="197">
        <v>7.5</v>
      </c>
      <c r="AJ18" s="197">
        <v>7.5</v>
      </c>
      <c r="AK18" s="140"/>
      <c r="AL18" s="140"/>
      <c r="AM18" s="140"/>
      <c r="AN18" s="140"/>
      <c r="AO18" s="140"/>
      <c r="AP18" s="121">
        <v>9.0</v>
      </c>
      <c r="AQ18" s="62"/>
      <c r="AR18" s="62"/>
      <c r="AS18" s="143"/>
      <c r="AT18" s="143"/>
      <c r="AU18" s="143"/>
      <c r="AV18" s="143"/>
      <c r="AW18" s="143"/>
      <c r="AX18" s="141"/>
      <c r="AY18" s="141"/>
      <c r="AZ18" s="62">
        <f t="shared" si="14"/>
        <v>5.6</v>
      </c>
      <c r="BA18" s="121">
        <v>8.0</v>
      </c>
      <c r="BB18" s="123">
        <f>'PROY. INTER'!AX18</f>
        <v>2</v>
      </c>
      <c r="BC18" s="62">
        <f t="shared" si="15"/>
        <v>5</v>
      </c>
      <c r="BD18" s="62">
        <f t="shared" si="16"/>
        <v>1.5</v>
      </c>
      <c r="BE18" s="64">
        <f t="shared" si="17"/>
        <v>7.1</v>
      </c>
      <c r="BG18" s="2"/>
      <c r="BI18" s="56">
        <v>7.0</v>
      </c>
      <c r="BJ18" s="124" t="str">
        <f t="shared" ref="BJ18:BK18" si="50">B18</f>
        <v/>
      </c>
      <c r="BK18" s="125" t="str">
        <f t="shared" si="50"/>
        <v>Carranza Dumes Genesis Daniela</v>
      </c>
      <c r="BL18" s="140"/>
      <c r="BM18" s="140"/>
      <c r="BN18" s="140"/>
      <c r="BO18" s="140"/>
      <c r="BP18" s="140"/>
      <c r="BQ18" s="140"/>
      <c r="BR18" s="140"/>
      <c r="BS18" s="140"/>
      <c r="BT18" s="62"/>
      <c r="BU18" s="62"/>
      <c r="BV18" s="143"/>
      <c r="BW18" s="143"/>
      <c r="BX18" s="143"/>
      <c r="BY18" s="143"/>
      <c r="BZ18" s="143"/>
      <c r="CA18" s="143"/>
      <c r="CB18" s="141"/>
      <c r="CC18" s="141"/>
      <c r="CD18" s="62">
        <f t="shared" si="19"/>
        <v>0</v>
      </c>
      <c r="CE18" s="62"/>
      <c r="CF18" s="123">
        <f>'PROY. INTER'!BY18</f>
        <v>0</v>
      </c>
      <c r="CG18" s="62">
        <f t="shared" si="20"/>
        <v>0</v>
      </c>
      <c r="CH18" s="62">
        <f t="shared" si="21"/>
        <v>0</v>
      </c>
      <c r="CI18" s="64">
        <f t="shared" si="22"/>
        <v>0</v>
      </c>
      <c r="CK18" s="2"/>
      <c r="CM18" s="126">
        <v>7.0</v>
      </c>
      <c r="CN18" s="127" t="str">
        <f t="shared" ref="CN18:CO18" si="51">B18</f>
        <v/>
      </c>
      <c r="CO18" s="128" t="str">
        <f t="shared" si="51"/>
        <v>Carranza Dumes Genesis Daniela</v>
      </c>
      <c r="CP18" s="129">
        <f t="shared" si="24"/>
        <v>7.98</v>
      </c>
      <c r="CQ18" s="129">
        <f t="shared" si="25"/>
        <v>7.1</v>
      </c>
      <c r="CR18" s="129">
        <f t="shared" si="26"/>
        <v>0</v>
      </c>
      <c r="CS18" s="130">
        <f t="shared" si="27"/>
        <v>5.02</v>
      </c>
      <c r="CT18" s="131" t="str">
        <f t="shared" si="28"/>
        <v>SUPLETORIO</v>
      </c>
      <c r="CV18" s="2"/>
      <c r="CX18" s="132">
        <v>7.0</v>
      </c>
      <c r="CY18" s="133" t="str">
        <f t="shared" ref="CY18:CZ18" si="52">B18</f>
        <v/>
      </c>
      <c r="CZ18" s="134" t="str">
        <f t="shared" si="52"/>
        <v>Carranza Dumes Genesis Daniela</v>
      </c>
      <c r="DA18" s="244">
        <f t="shared" si="30"/>
        <v>5.02</v>
      </c>
      <c r="DB18" s="136"/>
      <c r="DC18" s="137">
        <f t="shared" si="31"/>
        <v>5.02</v>
      </c>
      <c r="DD18" s="138" t="str">
        <f t="shared" si="32"/>
        <v>NO PROMOVIDO</v>
      </c>
    </row>
    <row r="19">
      <c r="A19" s="56">
        <v>8.0</v>
      </c>
      <c r="B19" s="57" t="str">
        <f>LEN!B19</f>
        <v/>
      </c>
      <c r="C19" s="57" t="str">
        <f>LEN!C19</f>
        <v>Castro De La Rosa Cristopher Ruben</v>
      </c>
      <c r="D19" s="139">
        <v>2.0</v>
      </c>
      <c r="E19" s="140"/>
      <c r="F19" s="139">
        <v>4.0</v>
      </c>
      <c r="G19" s="140"/>
      <c r="H19" s="139">
        <v>4.0</v>
      </c>
      <c r="I19" s="139">
        <v>5.0</v>
      </c>
      <c r="J19" s="140"/>
      <c r="K19" s="139">
        <v>6.0</v>
      </c>
      <c r="L19" s="62"/>
      <c r="M19" s="62"/>
      <c r="N19" s="143"/>
      <c r="O19" s="143"/>
      <c r="P19" s="143"/>
      <c r="Q19" s="143"/>
      <c r="R19" s="143"/>
      <c r="S19" s="143"/>
      <c r="T19" s="141"/>
      <c r="U19" s="141"/>
      <c r="V19" s="62">
        <f t="shared" si="9"/>
        <v>2.94</v>
      </c>
      <c r="W19" s="121">
        <v>2.0</v>
      </c>
      <c r="X19" s="123">
        <f>'PROY. INTER'!W19</f>
        <v>6</v>
      </c>
      <c r="Y19" s="62">
        <f t="shared" si="10"/>
        <v>4</v>
      </c>
      <c r="Z19" s="62">
        <f t="shared" si="11"/>
        <v>1.2</v>
      </c>
      <c r="AA19" s="64">
        <f t="shared" si="12"/>
        <v>4.14</v>
      </c>
      <c r="AC19" s="2"/>
      <c r="AE19" s="56">
        <v>8.0</v>
      </c>
      <c r="AF19" s="124" t="str">
        <f t="shared" ref="AF19:AG19" si="53">B19</f>
        <v/>
      </c>
      <c r="AG19" s="65" t="str">
        <f t="shared" si="53"/>
        <v>Castro De La Rosa Cristopher Ruben</v>
      </c>
      <c r="AH19" s="140"/>
      <c r="AI19" s="199">
        <v>7.0</v>
      </c>
      <c r="AJ19" s="199">
        <v>6.0</v>
      </c>
      <c r="AK19" s="140"/>
      <c r="AL19" s="140"/>
      <c r="AM19" s="140"/>
      <c r="AN19" s="140"/>
      <c r="AO19" s="140"/>
      <c r="AP19" s="121">
        <v>9.0</v>
      </c>
      <c r="AQ19" s="62"/>
      <c r="AR19" s="62"/>
      <c r="AS19" s="143"/>
      <c r="AT19" s="143"/>
      <c r="AU19" s="143"/>
      <c r="AV19" s="143"/>
      <c r="AW19" s="143"/>
      <c r="AX19" s="141"/>
      <c r="AY19" s="141"/>
      <c r="AZ19" s="62">
        <f t="shared" si="14"/>
        <v>5.131</v>
      </c>
      <c r="BA19" s="121">
        <v>8.0</v>
      </c>
      <c r="BB19" s="123">
        <f>'PROY. INTER'!AX19</f>
        <v>2</v>
      </c>
      <c r="BC19" s="62">
        <f t="shared" si="15"/>
        <v>5</v>
      </c>
      <c r="BD19" s="62">
        <f t="shared" si="16"/>
        <v>1.5</v>
      </c>
      <c r="BE19" s="64">
        <f t="shared" si="17"/>
        <v>6.63</v>
      </c>
      <c r="BG19" s="2"/>
      <c r="BI19" s="56">
        <v>8.0</v>
      </c>
      <c r="BJ19" s="124" t="str">
        <f t="shared" ref="BJ19:BK19" si="54">B19</f>
        <v/>
      </c>
      <c r="BK19" s="125" t="str">
        <f t="shared" si="54"/>
        <v>Castro De La Rosa Cristopher Ruben</v>
      </c>
      <c r="BL19" s="140"/>
      <c r="BM19" s="140"/>
      <c r="BN19" s="140"/>
      <c r="BO19" s="140"/>
      <c r="BP19" s="140"/>
      <c r="BQ19" s="140"/>
      <c r="BR19" s="140"/>
      <c r="BS19" s="140"/>
      <c r="BT19" s="62"/>
      <c r="BU19" s="62"/>
      <c r="BV19" s="143"/>
      <c r="BW19" s="143"/>
      <c r="BX19" s="143"/>
      <c r="BY19" s="143"/>
      <c r="BZ19" s="143"/>
      <c r="CA19" s="143"/>
      <c r="CB19" s="141"/>
      <c r="CC19" s="141"/>
      <c r="CD19" s="62">
        <f t="shared" si="19"/>
        <v>0</v>
      </c>
      <c r="CE19" s="62"/>
      <c r="CF19" s="123">
        <f>'PROY. INTER'!BY19</f>
        <v>0</v>
      </c>
      <c r="CG19" s="62">
        <f t="shared" si="20"/>
        <v>0</v>
      </c>
      <c r="CH19" s="62">
        <f t="shared" si="21"/>
        <v>0</v>
      </c>
      <c r="CI19" s="64">
        <f t="shared" si="22"/>
        <v>0</v>
      </c>
      <c r="CK19" s="2"/>
      <c r="CM19" s="126">
        <v>8.0</v>
      </c>
      <c r="CN19" s="127" t="str">
        <f t="shared" ref="CN19:CO19" si="55">B19</f>
        <v/>
      </c>
      <c r="CO19" s="128" t="str">
        <f t="shared" si="55"/>
        <v>Castro De La Rosa Cristopher Ruben</v>
      </c>
      <c r="CP19" s="129">
        <f t="shared" si="24"/>
        <v>4.14</v>
      </c>
      <c r="CQ19" s="129">
        <f t="shared" si="25"/>
        <v>6.63</v>
      </c>
      <c r="CR19" s="129">
        <f t="shared" si="26"/>
        <v>0</v>
      </c>
      <c r="CS19" s="130">
        <f t="shared" si="27"/>
        <v>3.59</v>
      </c>
      <c r="CT19" s="131" t="str">
        <f t="shared" si="28"/>
        <v>REPROBADO</v>
      </c>
      <c r="CV19" s="2"/>
      <c r="CX19" s="132">
        <v>8.0</v>
      </c>
      <c r="CY19" s="133" t="str">
        <f t="shared" ref="CY19:CZ19" si="56">B19</f>
        <v/>
      </c>
      <c r="CZ19" s="134" t="str">
        <f t="shared" si="56"/>
        <v>Castro De La Rosa Cristopher Ruben</v>
      </c>
      <c r="DA19" s="244">
        <f t="shared" si="30"/>
        <v>3.59</v>
      </c>
      <c r="DB19" s="136"/>
      <c r="DC19" s="137">
        <f t="shared" si="31"/>
        <v>3.59</v>
      </c>
      <c r="DD19" s="138" t="str">
        <f t="shared" si="32"/>
        <v>NO PROMOVIDO</v>
      </c>
    </row>
    <row r="20">
      <c r="A20" s="56">
        <v>9.0</v>
      </c>
      <c r="B20" s="57" t="str">
        <f>LEN!B20</f>
        <v/>
      </c>
      <c r="C20" s="57" t="str">
        <f>LEN!C20</f>
        <v>Chamba Maurad Joshelyn Juleixi</v>
      </c>
      <c r="D20" s="139">
        <v>7.0</v>
      </c>
      <c r="E20" s="140"/>
      <c r="F20" s="139">
        <v>8.0</v>
      </c>
      <c r="G20" s="140"/>
      <c r="H20" s="139">
        <v>5.0</v>
      </c>
      <c r="I20" s="139">
        <v>10.0</v>
      </c>
      <c r="J20" s="140"/>
      <c r="K20" s="139">
        <v>7.0</v>
      </c>
      <c r="L20" s="62"/>
      <c r="M20" s="62"/>
      <c r="N20" s="143"/>
      <c r="O20" s="143"/>
      <c r="P20" s="143"/>
      <c r="Q20" s="143"/>
      <c r="R20" s="143"/>
      <c r="S20" s="143"/>
      <c r="T20" s="141"/>
      <c r="U20" s="141"/>
      <c r="V20" s="62">
        <f t="shared" si="9"/>
        <v>5.18</v>
      </c>
      <c r="W20" s="121">
        <v>6.0</v>
      </c>
      <c r="X20" s="123">
        <f>'PROY. INTER'!W20</f>
        <v>6</v>
      </c>
      <c r="Y20" s="62">
        <f t="shared" si="10"/>
        <v>6</v>
      </c>
      <c r="Z20" s="62">
        <f t="shared" si="11"/>
        <v>1.8</v>
      </c>
      <c r="AA20" s="64">
        <f t="shared" si="12"/>
        <v>6.98</v>
      </c>
      <c r="AC20" s="2"/>
      <c r="AE20" s="56">
        <v>9.0</v>
      </c>
      <c r="AF20" s="124" t="str">
        <f t="shared" ref="AF20:AG20" si="57">B20</f>
        <v/>
      </c>
      <c r="AG20" s="65" t="str">
        <f t="shared" si="57"/>
        <v>Chamba Maurad Joshelyn Juleixi</v>
      </c>
      <c r="AH20" s="140"/>
      <c r="AI20" s="199">
        <v>7.0</v>
      </c>
      <c r="AJ20" s="199">
        <v>7.0</v>
      </c>
      <c r="AK20" s="140"/>
      <c r="AL20" s="140"/>
      <c r="AM20" s="140"/>
      <c r="AN20" s="140"/>
      <c r="AO20" s="140"/>
      <c r="AP20" s="121">
        <v>8.0</v>
      </c>
      <c r="AQ20" s="62"/>
      <c r="AR20" s="62"/>
      <c r="AS20" s="143"/>
      <c r="AT20" s="143"/>
      <c r="AU20" s="143"/>
      <c r="AV20" s="143"/>
      <c r="AW20" s="143"/>
      <c r="AX20" s="141"/>
      <c r="AY20" s="141"/>
      <c r="AZ20" s="62">
        <f t="shared" si="14"/>
        <v>5.131</v>
      </c>
      <c r="BA20" s="121">
        <v>4.0</v>
      </c>
      <c r="BB20" s="123">
        <f>'PROY. INTER'!AX20</f>
        <v>10</v>
      </c>
      <c r="BC20" s="62">
        <f t="shared" si="15"/>
        <v>7</v>
      </c>
      <c r="BD20" s="62">
        <f t="shared" si="16"/>
        <v>2.1</v>
      </c>
      <c r="BE20" s="64">
        <f t="shared" si="17"/>
        <v>7.23</v>
      </c>
      <c r="BG20" s="2"/>
      <c r="BI20" s="56">
        <v>9.0</v>
      </c>
      <c r="BJ20" s="124" t="str">
        <f t="shared" ref="BJ20:BK20" si="58">B20</f>
        <v/>
      </c>
      <c r="BK20" s="125" t="str">
        <f t="shared" si="58"/>
        <v>Chamba Maurad Joshelyn Juleixi</v>
      </c>
      <c r="BL20" s="140"/>
      <c r="BM20" s="140"/>
      <c r="BN20" s="140"/>
      <c r="BO20" s="140"/>
      <c r="BP20" s="140"/>
      <c r="BQ20" s="140"/>
      <c r="BR20" s="140"/>
      <c r="BS20" s="140"/>
      <c r="BT20" s="62"/>
      <c r="BU20" s="62"/>
      <c r="BV20" s="143"/>
      <c r="BW20" s="143"/>
      <c r="BX20" s="143"/>
      <c r="BY20" s="143"/>
      <c r="BZ20" s="143"/>
      <c r="CA20" s="143"/>
      <c r="CB20" s="141"/>
      <c r="CC20" s="141"/>
      <c r="CD20" s="62">
        <f t="shared" si="19"/>
        <v>0</v>
      </c>
      <c r="CE20" s="62"/>
      <c r="CF20" s="123">
        <f>'PROY. INTER'!BY20</f>
        <v>0</v>
      </c>
      <c r="CG20" s="62">
        <f t="shared" si="20"/>
        <v>0</v>
      </c>
      <c r="CH20" s="62">
        <f t="shared" si="21"/>
        <v>0</v>
      </c>
      <c r="CI20" s="64">
        <f t="shared" si="22"/>
        <v>0</v>
      </c>
      <c r="CK20" s="2"/>
      <c r="CM20" s="126">
        <v>9.0</v>
      </c>
      <c r="CN20" s="127" t="str">
        <f t="shared" ref="CN20:CO20" si="59">B20</f>
        <v/>
      </c>
      <c r="CO20" s="128" t="str">
        <f t="shared" si="59"/>
        <v>Chamba Maurad Joshelyn Juleixi</v>
      </c>
      <c r="CP20" s="129">
        <f t="shared" si="24"/>
        <v>6.98</v>
      </c>
      <c r="CQ20" s="129">
        <f t="shared" si="25"/>
        <v>7.23</v>
      </c>
      <c r="CR20" s="129">
        <f t="shared" si="26"/>
        <v>0</v>
      </c>
      <c r="CS20" s="130">
        <f t="shared" si="27"/>
        <v>4.73</v>
      </c>
      <c r="CT20" s="131" t="str">
        <f t="shared" si="28"/>
        <v>REPROBADO</v>
      </c>
      <c r="CV20" s="2"/>
      <c r="CX20" s="132">
        <v>9.0</v>
      </c>
      <c r="CY20" s="133" t="str">
        <f t="shared" ref="CY20:CZ20" si="60">B20</f>
        <v/>
      </c>
      <c r="CZ20" s="134" t="str">
        <f t="shared" si="60"/>
        <v>Chamba Maurad Joshelyn Juleixi</v>
      </c>
      <c r="DA20" s="244">
        <f t="shared" si="30"/>
        <v>4.73</v>
      </c>
      <c r="DB20" s="136"/>
      <c r="DC20" s="137">
        <f t="shared" si="31"/>
        <v>4.73</v>
      </c>
      <c r="DD20" s="138" t="str">
        <f t="shared" si="32"/>
        <v>NO PROMOVIDO</v>
      </c>
    </row>
    <row r="21" ht="15.75" customHeight="1">
      <c r="A21" s="56">
        <v>10.0</v>
      </c>
      <c r="B21" s="57" t="str">
        <f>LEN!B21</f>
        <v/>
      </c>
      <c r="C21" s="57" t="str">
        <f>LEN!C21</f>
        <v>Cedeño Sanchez Josué</v>
      </c>
      <c r="D21" s="139">
        <v>4.0</v>
      </c>
      <c r="E21" s="140"/>
      <c r="F21" s="139">
        <v>4.0</v>
      </c>
      <c r="G21" s="140"/>
      <c r="H21" s="139">
        <v>5.0</v>
      </c>
      <c r="I21" s="139">
        <v>10.0</v>
      </c>
      <c r="J21" s="140"/>
      <c r="K21" s="139">
        <v>7.0</v>
      </c>
      <c r="L21" s="62"/>
      <c r="M21" s="62"/>
      <c r="N21" s="143"/>
      <c r="O21" s="143"/>
      <c r="P21" s="143"/>
      <c r="Q21" s="143"/>
      <c r="R21" s="143"/>
      <c r="S21" s="143"/>
      <c r="T21" s="141"/>
      <c r="U21" s="141"/>
      <c r="V21" s="62">
        <f t="shared" si="9"/>
        <v>4.2</v>
      </c>
      <c r="W21" s="121">
        <v>6.0</v>
      </c>
      <c r="X21" s="123">
        <f>'PROY. INTER'!W21</f>
        <v>6</v>
      </c>
      <c r="Y21" s="62">
        <f t="shared" si="10"/>
        <v>6</v>
      </c>
      <c r="Z21" s="62">
        <f t="shared" si="11"/>
        <v>1.8</v>
      </c>
      <c r="AA21" s="64">
        <f t="shared" si="12"/>
        <v>6</v>
      </c>
      <c r="AC21" s="2"/>
      <c r="AE21" s="56">
        <v>10.0</v>
      </c>
      <c r="AF21" s="124" t="str">
        <f t="shared" ref="AF21:AG21" si="61">B21</f>
        <v/>
      </c>
      <c r="AG21" s="65" t="str">
        <f t="shared" si="61"/>
        <v>Cedeño Sanchez Josué</v>
      </c>
      <c r="AH21" s="140"/>
      <c r="AI21" s="199">
        <v>7.0</v>
      </c>
      <c r="AJ21" s="199">
        <v>7.0</v>
      </c>
      <c r="AK21" s="140"/>
      <c r="AL21" s="140"/>
      <c r="AM21" s="140"/>
      <c r="AN21" s="140"/>
      <c r="AO21" s="140"/>
      <c r="AP21" s="121">
        <v>8.0</v>
      </c>
      <c r="AQ21" s="62"/>
      <c r="AR21" s="62"/>
      <c r="AS21" s="143"/>
      <c r="AT21" s="143"/>
      <c r="AU21" s="143"/>
      <c r="AV21" s="143"/>
      <c r="AW21" s="143"/>
      <c r="AX21" s="141"/>
      <c r="AY21" s="141"/>
      <c r="AZ21" s="62">
        <f t="shared" si="14"/>
        <v>5.131</v>
      </c>
      <c r="BA21" s="121">
        <v>7.0</v>
      </c>
      <c r="BB21" s="123">
        <f>'PROY. INTER'!AX21</f>
        <v>2</v>
      </c>
      <c r="BC21" s="62">
        <f t="shared" si="15"/>
        <v>4.5</v>
      </c>
      <c r="BD21" s="62">
        <f t="shared" si="16"/>
        <v>1.35</v>
      </c>
      <c r="BE21" s="64">
        <f t="shared" si="17"/>
        <v>6.48</v>
      </c>
      <c r="BG21" s="2"/>
      <c r="BI21" s="56">
        <v>10.0</v>
      </c>
      <c r="BJ21" s="124" t="str">
        <f t="shared" ref="BJ21:BK21" si="62">B21</f>
        <v/>
      </c>
      <c r="BK21" s="125" t="str">
        <f t="shared" si="62"/>
        <v>Cedeño Sanchez Josué</v>
      </c>
      <c r="BL21" s="140"/>
      <c r="BM21" s="140"/>
      <c r="BN21" s="140"/>
      <c r="BO21" s="140"/>
      <c r="BP21" s="140"/>
      <c r="BQ21" s="140"/>
      <c r="BR21" s="140"/>
      <c r="BS21" s="140"/>
      <c r="BT21" s="62"/>
      <c r="BU21" s="62"/>
      <c r="BV21" s="143"/>
      <c r="BW21" s="143"/>
      <c r="BX21" s="143"/>
      <c r="BY21" s="143"/>
      <c r="BZ21" s="143"/>
      <c r="CA21" s="143"/>
      <c r="CB21" s="141"/>
      <c r="CC21" s="141"/>
      <c r="CD21" s="62">
        <f t="shared" si="19"/>
        <v>0</v>
      </c>
      <c r="CE21" s="62"/>
      <c r="CF21" s="123">
        <f>'PROY. INTER'!BY21</f>
        <v>0</v>
      </c>
      <c r="CG21" s="62">
        <f t="shared" si="20"/>
        <v>0</v>
      </c>
      <c r="CH21" s="62">
        <f t="shared" si="21"/>
        <v>0</v>
      </c>
      <c r="CI21" s="64">
        <f t="shared" si="22"/>
        <v>0</v>
      </c>
      <c r="CK21" s="2"/>
      <c r="CM21" s="126">
        <v>10.0</v>
      </c>
      <c r="CN21" s="127" t="str">
        <f t="shared" ref="CN21:CO21" si="63">B21</f>
        <v/>
      </c>
      <c r="CO21" s="128" t="str">
        <f t="shared" si="63"/>
        <v>Cedeño Sanchez Josué</v>
      </c>
      <c r="CP21" s="129">
        <f t="shared" si="24"/>
        <v>6</v>
      </c>
      <c r="CQ21" s="129">
        <f t="shared" si="25"/>
        <v>6.48</v>
      </c>
      <c r="CR21" s="129">
        <f t="shared" si="26"/>
        <v>0</v>
      </c>
      <c r="CS21" s="130">
        <f t="shared" si="27"/>
        <v>4.16</v>
      </c>
      <c r="CT21" s="131" t="str">
        <f t="shared" si="28"/>
        <v>REPROBADO</v>
      </c>
      <c r="CV21" s="2"/>
      <c r="CX21" s="132">
        <v>10.0</v>
      </c>
      <c r="CY21" s="133" t="str">
        <f t="shared" ref="CY21:CZ21" si="64">B21</f>
        <v/>
      </c>
      <c r="CZ21" s="134" t="str">
        <f t="shared" si="64"/>
        <v>Cedeño Sanchez Josué</v>
      </c>
      <c r="DA21" s="244">
        <f t="shared" si="30"/>
        <v>4.16</v>
      </c>
      <c r="DB21" s="136"/>
      <c r="DC21" s="137">
        <f t="shared" si="31"/>
        <v>4.16</v>
      </c>
      <c r="DD21" s="138" t="str">
        <f t="shared" si="32"/>
        <v>NO PROMOVIDO</v>
      </c>
    </row>
    <row r="22" ht="15.75" customHeight="1">
      <c r="A22" s="56">
        <v>11.0</v>
      </c>
      <c r="B22" s="57" t="str">
        <f>LEN!B22</f>
        <v/>
      </c>
      <c r="C22" s="57" t="str">
        <f>LEN!C22</f>
        <v>Espinoza Martinez Stefano Juliano</v>
      </c>
      <c r="D22" s="139">
        <v>10.0</v>
      </c>
      <c r="E22" s="140"/>
      <c r="F22" s="139">
        <v>8.0</v>
      </c>
      <c r="G22" s="140"/>
      <c r="H22" s="139">
        <v>10.0</v>
      </c>
      <c r="I22" s="139">
        <v>10.0</v>
      </c>
      <c r="J22" s="140"/>
      <c r="K22" s="139">
        <v>10.0</v>
      </c>
      <c r="L22" s="62"/>
      <c r="M22" s="62"/>
      <c r="N22" s="143"/>
      <c r="O22" s="143"/>
      <c r="P22" s="143"/>
      <c r="Q22" s="143"/>
      <c r="R22" s="143"/>
      <c r="S22" s="143"/>
      <c r="T22" s="141"/>
      <c r="U22" s="141"/>
      <c r="V22" s="62">
        <f t="shared" si="9"/>
        <v>6.72</v>
      </c>
      <c r="W22" s="121">
        <v>10.0</v>
      </c>
      <c r="X22" s="123">
        <f>'PROY. INTER'!W22</f>
        <v>10</v>
      </c>
      <c r="Y22" s="62">
        <f t="shared" si="10"/>
        <v>10</v>
      </c>
      <c r="Z22" s="62">
        <f t="shared" si="11"/>
        <v>3</v>
      </c>
      <c r="AA22" s="64">
        <f t="shared" si="12"/>
        <v>9.72</v>
      </c>
      <c r="AC22" s="2"/>
      <c r="AE22" s="56">
        <v>11.0</v>
      </c>
      <c r="AF22" s="124" t="str">
        <f t="shared" ref="AF22:AG22" si="65">B22</f>
        <v/>
      </c>
      <c r="AG22" s="65" t="str">
        <f t="shared" si="65"/>
        <v>Espinoza Martinez Stefano Juliano</v>
      </c>
      <c r="AH22" s="140"/>
      <c r="AI22" s="197">
        <v>10.0</v>
      </c>
      <c r="AJ22" s="272">
        <v>10.0</v>
      </c>
      <c r="AK22" s="140"/>
      <c r="AL22" s="140"/>
      <c r="AM22" s="140"/>
      <c r="AN22" s="140"/>
      <c r="AO22" s="140"/>
      <c r="AP22" s="121">
        <v>10.0</v>
      </c>
      <c r="AQ22" s="62"/>
      <c r="AR22" s="62"/>
      <c r="AS22" s="143"/>
      <c r="AT22" s="143"/>
      <c r="AU22" s="143"/>
      <c r="AV22" s="143"/>
      <c r="AW22" s="143"/>
      <c r="AX22" s="141"/>
      <c r="AY22" s="141"/>
      <c r="AZ22" s="62">
        <f t="shared" si="14"/>
        <v>7</v>
      </c>
      <c r="BA22" s="121">
        <v>9.0</v>
      </c>
      <c r="BB22" s="123">
        <f>'PROY. INTER'!AX22</f>
        <v>10</v>
      </c>
      <c r="BC22" s="62">
        <f t="shared" si="15"/>
        <v>9.5</v>
      </c>
      <c r="BD22" s="62">
        <f t="shared" si="16"/>
        <v>2.85</v>
      </c>
      <c r="BE22" s="64">
        <f t="shared" si="17"/>
        <v>9.85</v>
      </c>
      <c r="BG22" s="2"/>
      <c r="BI22" s="56">
        <v>11.0</v>
      </c>
      <c r="BJ22" s="124" t="str">
        <f t="shared" ref="BJ22:BK22" si="66">B22</f>
        <v/>
      </c>
      <c r="BK22" s="125" t="str">
        <f t="shared" si="66"/>
        <v>Espinoza Martinez Stefano Juliano</v>
      </c>
      <c r="BL22" s="140"/>
      <c r="BM22" s="140"/>
      <c r="BN22" s="140"/>
      <c r="BO22" s="140"/>
      <c r="BP22" s="140"/>
      <c r="BQ22" s="140"/>
      <c r="BR22" s="140"/>
      <c r="BS22" s="140"/>
      <c r="BT22" s="62"/>
      <c r="BU22" s="62"/>
      <c r="BV22" s="143"/>
      <c r="BW22" s="143"/>
      <c r="BX22" s="143"/>
      <c r="BY22" s="143"/>
      <c r="BZ22" s="143"/>
      <c r="CA22" s="143"/>
      <c r="CB22" s="141"/>
      <c r="CC22" s="141"/>
      <c r="CD22" s="62">
        <f t="shared" si="19"/>
        <v>0</v>
      </c>
      <c r="CE22" s="62"/>
      <c r="CF22" s="123">
        <f>'PROY. INTER'!BY22</f>
        <v>0</v>
      </c>
      <c r="CG22" s="62">
        <f t="shared" si="20"/>
        <v>0</v>
      </c>
      <c r="CH22" s="62">
        <f t="shared" si="21"/>
        <v>0</v>
      </c>
      <c r="CI22" s="64">
        <f t="shared" si="22"/>
        <v>0</v>
      </c>
      <c r="CK22" s="2"/>
      <c r="CM22" s="126">
        <v>11.0</v>
      </c>
      <c r="CN22" s="127" t="str">
        <f t="shared" ref="CN22:CO22" si="67">B22</f>
        <v/>
      </c>
      <c r="CO22" s="128" t="str">
        <f t="shared" si="67"/>
        <v>Espinoza Martinez Stefano Juliano</v>
      </c>
      <c r="CP22" s="129">
        <f t="shared" si="24"/>
        <v>9.72</v>
      </c>
      <c r="CQ22" s="129">
        <f t="shared" si="25"/>
        <v>9.85</v>
      </c>
      <c r="CR22" s="129">
        <f t="shared" si="26"/>
        <v>0</v>
      </c>
      <c r="CS22" s="130">
        <f t="shared" si="27"/>
        <v>6.52</v>
      </c>
      <c r="CT22" s="131" t="str">
        <f t="shared" si="28"/>
        <v>SUPLETORIO</v>
      </c>
      <c r="CV22" s="2"/>
      <c r="CX22" s="132">
        <v>11.0</v>
      </c>
      <c r="CY22" s="133" t="str">
        <f t="shared" ref="CY22:CZ22" si="68">B22</f>
        <v/>
      </c>
      <c r="CZ22" s="134" t="str">
        <f t="shared" si="68"/>
        <v>Espinoza Martinez Stefano Juliano</v>
      </c>
      <c r="DA22" s="244">
        <f t="shared" si="30"/>
        <v>6.52</v>
      </c>
      <c r="DB22" s="136"/>
      <c r="DC22" s="137">
        <f t="shared" si="31"/>
        <v>6.52</v>
      </c>
      <c r="DD22" s="138" t="str">
        <f t="shared" si="32"/>
        <v>NO PROMOVIDO</v>
      </c>
    </row>
    <row r="23" ht="15.75" customHeight="1">
      <c r="A23" s="56">
        <v>12.0</v>
      </c>
      <c r="B23" s="57" t="str">
        <f>LEN!B23</f>
        <v/>
      </c>
      <c r="C23" s="57" t="str">
        <f>LEN!C23</f>
        <v>Espinoza Morante Melany Ginger</v>
      </c>
      <c r="D23" s="139">
        <v>8.0</v>
      </c>
      <c r="E23" s="140"/>
      <c r="F23" s="139">
        <v>8.0</v>
      </c>
      <c r="G23" s="140"/>
      <c r="H23" s="139">
        <v>8.0</v>
      </c>
      <c r="I23" s="139">
        <v>10.0</v>
      </c>
      <c r="J23" s="140"/>
      <c r="K23" s="139">
        <v>8.0</v>
      </c>
      <c r="L23" s="62"/>
      <c r="M23" s="62"/>
      <c r="N23" s="143"/>
      <c r="O23" s="143"/>
      <c r="P23" s="143"/>
      <c r="Q23" s="143"/>
      <c r="R23" s="143"/>
      <c r="S23" s="143"/>
      <c r="T23" s="141"/>
      <c r="U23" s="141"/>
      <c r="V23" s="62">
        <f t="shared" si="9"/>
        <v>5.88</v>
      </c>
      <c r="W23" s="121">
        <v>7.0</v>
      </c>
      <c r="X23" s="123">
        <f>'PROY. INTER'!W23</f>
        <v>7.2</v>
      </c>
      <c r="Y23" s="62">
        <f t="shared" si="10"/>
        <v>7.1</v>
      </c>
      <c r="Z23" s="62">
        <f t="shared" si="11"/>
        <v>2.13</v>
      </c>
      <c r="AA23" s="64">
        <f t="shared" si="12"/>
        <v>8.01</v>
      </c>
      <c r="AC23" s="2"/>
      <c r="AE23" s="56">
        <v>12.0</v>
      </c>
      <c r="AF23" s="124" t="str">
        <f t="shared" ref="AF23:AG23" si="69">B23</f>
        <v/>
      </c>
      <c r="AG23" s="65" t="str">
        <f t="shared" si="69"/>
        <v>Espinoza Morante Melany Ginger</v>
      </c>
      <c r="AH23" s="140"/>
      <c r="AI23" s="197">
        <v>10.0</v>
      </c>
      <c r="AJ23" s="197">
        <v>10.0</v>
      </c>
      <c r="AK23" s="140"/>
      <c r="AL23" s="140"/>
      <c r="AM23" s="140"/>
      <c r="AN23" s="140"/>
      <c r="AO23" s="140"/>
      <c r="AP23" s="121">
        <v>8.0</v>
      </c>
      <c r="AQ23" s="62"/>
      <c r="AR23" s="62"/>
      <c r="AS23" s="143"/>
      <c r="AT23" s="143"/>
      <c r="AU23" s="143"/>
      <c r="AV23" s="143"/>
      <c r="AW23" s="143"/>
      <c r="AX23" s="141"/>
      <c r="AY23" s="141"/>
      <c r="AZ23" s="62">
        <f t="shared" si="14"/>
        <v>6.531</v>
      </c>
      <c r="BA23" s="121">
        <v>8.0</v>
      </c>
      <c r="BB23" s="123">
        <f>'PROY. INTER'!AX23</f>
        <v>10</v>
      </c>
      <c r="BC23" s="62">
        <f t="shared" si="15"/>
        <v>9</v>
      </c>
      <c r="BD23" s="62">
        <f t="shared" si="16"/>
        <v>2.7</v>
      </c>
      <c r="BE23" s="64">
        <f t="shared" si="17"/>
        <v>9.23</v>
      </c>
      <c r="BG23" s="2"/>
      <c r="BI23" s="56">
        <v>12.0</v>
      </c>
      <c r="BJ23" s="124" t="str">
        <f t="shared" ref="BJ23:BK23" si="70">B23</f>
        <v/>
      </c>
      <c r="BK23" s="125" t="str">
        <f t="shared" si="70"/>
        <v>Espinoza Morante Melany Ginger</v>
      </c>
      <c r="BL23" s="140"/>
      <c r="BM23" s="140"/>
      <c r="BN23" s="140"/>
      <c r="BO23" s="140"/>
      <c r="BP23" s="140"/>
      <c r="BQ23" s="140"/>
      <c r="BR23" s="140"/>
      <c r="BS23" s="140"/>
      <c r="BT23" s="62"/>
      <c r="BU23" s="62"/>
      <c r="BV23" s="143"/>
      <c r="BW23" s="143"/>
      <c r="BX23" s="143"/>
      <c r="BY23" s="143"/>
      <c r="BZ23" s="143"/>
      <c r="CA23" s="143"/>
      <c r="CB23" s="141"/>
      <c r="CC23" s="141"/>
      <c r="CD23" s="62">
        <f t="shared" si="19"/>
        <v>0</v>
      </c>
      <c r="CE23" s="62"/>
      <c r="CF23" s="123">
        <f>'PROY. INTER'!BY23</f>
        <v>0</v>
      </c>
      <c r="CG23" s="62">
        <f t="shared" si="20"/>
        <v>0</v>
      </c>
      <c r="CH23" s="62">
        <f t="shared" si="21"/>
        <v>0</v>
      </c>
      <c r="CI23" s="64">
        <f t="shared" si="22"/>
        <v>0</v>
      </c>
      <c r="CK23" s="2"/>
      <c r="CM23" s="126">
        <v>12.0</v>
      </c>
      <c r="CN23" s="127" t="str">
        <f t="shared" ref="CN23:CO23" si="71">B23</f>
        <v/>
      </c>
      <c r="CO23" s="128" t="str">
        <f t="shared" si="71"/>
        <v>Espinoza Morante Melany Ginger</v>
      </c>
      <c r="CP23" s="129">
        <f t="shared" si="24"/>
        <v>8.01</v>
      </c>
      <c r="CQ23" s="129">
        <f t="shared" si="25"/>
        <v>9.23</v>
      </c>
      <c r="CR23" s="129">
        <f t="shared" si="26"/>
        <v>0</v>
      </c>
      <c r="CS23" s="130">
        <f t="shared" si="27"/>
        <v>5.74</v>
      </c>
      <c r="CT23" s="131" t="str">
        <f t="shared" si="28"/>
        <v>SUPLETORIO</v>
      </c>
      <c r="CV23" s="2"/>
      <c r="CX23" s="132">
        <v>12.0</v>
      </c>
      <c r="CY23" s="133" t="str">
        <f t="shared" ref="CY23:CZ23" si="72">B23</f>
        <v/>
      </c>
      <c r="CZ23" s="134" t="str">
        <f t="shared" si="72"/>
        <v>Espinoza Morante Melany Ginger</v>
      </c>
      <c r="DA23" s="244">
        <f t="shared" si="30"/>
        <v>5.74</v>
      </c>
      <c r="DB23" s="136"/>
      <c r="DC23" s="137">
        <f t="shared" si="31"/>
        <v>5.74</v>
      </c>
      <c r="DD23" s="138" t="str">
        <f t="shared" si="32"/>
        <v>NO PROMOVIDO</v>
      </c>
    </row>
    <row r="24" ht="15.75" customHeight="1">
      <c r="A24" s="56">
        <v>13.0</v>
      </c>
      <c r="B24" s="57" t="str">
        <f>LEN!B24</f>
        <v/>
      </c>
      <c r="C24" s="57" t="str">
        <f>LEN!C24</f>
        <v>Garrido franco Génesis Lissette</v>
      </c>
      <c r="D24" s="139">
        <v>8.0</v>
      </c>
      <c r="E24" s="140"/>
      <c r="F24" s="139">
        <v>8.0</v>
      </c>
      <c r="G24" s="140"/>
      <c r="H24" s="139">
        <v>9.0</v>
      </c>
      <c r="I24" s="139">
        <v>10.0</v>
      </c>
      <c r="J24" s="140"/>
      <c r="K24" s="139">
        <v>9.0</v>
      </c>
      <c r="L24" s="62"/>
      <c r="M24" s="62"/>
      <c r="N24" s="143"/>
      <c r="O24" s="143"/>
      <c r="P24" s="143"/>
      <c r="Q24" s="143"/>
      <c r="R24" s="143"/>
      <c r="S24" s="143"/>
      <c r="T24" s="141"/>
      <c r="U24" s="141"/>
      <c r="V24" s="62">
        <f t="shared" si="9"/>
        <v>6.16</v>
      </c>
      <c r="W24" s="121">
        <v>7.0</v>
      </c>
      <c r="X24" s="123">
        <f>'PROY. INTER'!W24</f>
        <v>9</v>
      </c>
      <c r="Y24" s="62">
        <f t="shared" si="10"/>
        <v>8</v>
      </c>
      <c r="Z24" s="62">
        <f t="shared" si="11"/>
        <v>2.4</v>
      </c>
      <c r="AA24" s="64">
        <f t="shared" si="12"/>
        <v>8.56</v>
      </c>
      <c r="AC24" s="2"/>
      <c r="AE24" s="56">
        <v>13.0</v>
      </c>
      <c r="AF24" s="124" t="str">
        <f t="shared" ref="AF24:AG24" si="73">B24</f>
        <v/>
      </c>
      <c r="AG24" s="65" t="str">
        <f t="shared" si="73"/>
        <v>Garrido franco Génesis Lissette</v>
      </c>
      <c r="AH24" s="140"/>
      <c r="AI24" s="199">
        <v>7.0</v>
      </c>
      <c r="AJ24" s="199">
        <v>7.0</v>
      </c>
      <c r="AK24" s="140"/>
      <c r="AL24" s="140"/>
      <c r="AM24" s="140"/>
      <c r="AN24" s="140"/>
      <c r="AO24" s="140"/>
      <c r="AP24" s="121">
        <v>8.0</v>
      </c>
      <c r="AQ24" s="62"/>
      <c r="AR24" s="62"/>
      <c r="AS24" s="143"/>
      <c r="AT24" s="143"/>
      <c r="AU24" s="143"/>
      <c r="AV24" s="143"/>
      <c r="AW24" s="143"/>
      <c r="AX24" s="141"/>
      <c r="AY24" s="141"/>
      <c r="AZ24" s="62">
        <f t="shared" si="14"/>
        <v>5.131</v>
      </c>
      <c r="BA24" s="121">
        <v>8.0</v>
      </c>
      <c r="BB24" s="123">
        <f>'PROY. INTER'!AX24</f>
        <v>10</v>
      </c>
      <c r="BC24" s="62">
        <f t="shared" si="15"/>
        <v>9</v>
      </c>
      <c r="BD24" s="62">
        <f t="shared" si="16"/>
        <v>2.7</v>
      </c>
      <c r="BE24" s="64">
        <f t="shared" si="17"/>
        <v>7.83</v>
      </c>
      <c r="BG24" s="2"/>
      <c r="BI24" s="56">
        <v>13.0</v>
      </c>
      <c r="BJ24" s="124" t="str">
        <f t="shared" ref="BJ24:BK24" si="74">B24</f>
        <v/>
      </c>
      <c r="BK24" s="125" t="str">
        <f t="shared" si="74"/>
        <v>Garrido franco Génesis Lissette</v>
      </c>
      <c r="BL24" s="140"/>
      <c r="BM24" s="140"/>
      <c r="BN24" s="140"/>
      <c r="BO24" s="140"/>
      <c r="BP24" s="140"/>
      <c r="BQ24" s="140"/>
      <c r="BR24" s="140"/>
      <c r="BS24" s="140"/>
      <c r="BT24" s="62"/>
      <c r="BU24" s="62"/>
      <c r="BV24" s="143"/>
      <c r="BW24" s="143"/>
      <c r="BX24" s="143"/>
      <c r="BY24" s="143"/>
      <c r="BZ24" s="143"/>
      <c r="CA24" s="143"/>
      <c r="CB24" s="141"/>
      <c r="CC24" s="141"/>
      <c r="CD24" s="62">
        <f t="shared" si="19"/>
        <v>0</v>
      </c>
      <c r="CE24" s="62"/>
      <c r="CF24" s="123">
        <f>'PROY. INTER'!BY24</f>
        <v>0</v>
      </c>
      <c r="CG24" s="62">
        <f t="shared" si="20"/>
        <v>0</v>
      </c>
      <c r="CH24" s="62">
        <f t="shared" si="21"/>
        <v>0</v>
      </c>
      <c r="CI24" s="64">
        <f t="shared" si="22"/>
        <v>0</v>
      </c>
      <c r="CK24" s="2"/>
      <c r="CM24" s="126">
        <v>13.0</v>
      </c>
      <c r="CN24" s="127" t="str">
        <f t="shared" ref="CN24:CO24" si="75">B24</f>
        <v/>
      </c>
      <c r="CO24" s="128" t="str">
        <f t="shared" si="75"/>
        <v>Garrido franco Génesis Lissette</v>
      </c>
      <c r="CP24" s="129">
        <f t="shared" si="24"/>
        <v>8.56</v>
      </c>
      <c r="CQ24" s="129">
        <f t="shared" si="25"/>
        <v>7.83</v>
      </c>
      <c r="CR24" s="129">
        <f t="shared" si="26"/>
        <v>0</v>
      </c>
      <c r="CS24" s="130">
        <f t="shared" si="27"/>
        <v>5.46</v>
      </c>
      <c r="CT24" s="131" t="str">
        <f t="shared" si="28"/>
        <v>SUPLETORIO</v>
      </c>
      <c r="CV24" s="2"/>
      <c r="CX24" s="132">
        <v>13.0</v>
      </c>
      <c r="CY24" s="133" t="str">
        <f t="shared" ref="CY24:CZ24" si="76">B24</f>
        <v/>
      </c>
      <c r="CZ24" s="134" t="str">
        <f t="shared" si="76"/>
        <v>Garrido franco Génesis Lissette</v>
      </c>
      <c r="DA24" s="244">
        <f t="shared" si="30"/>
        <v>5.46</v>
      </c>
      <c r="DB24" s="136"/>
      <c r="DC24" s="137">
        <f t="shared" si="31"/>
        <v>5.46</v>
      </c>
      <c r="DD24" s="138" t="str">
        <f t="shared" si="32"/>
        <v>NO PROMOVIDO</v>
      </c>
    </row>
    <row r="25" ht="15.0" customHeight="1">
      <c r="A25" s="56">
        <v>14.0</v>
      </c>
      <c r="B25" s="57" t="str">
        <f>LEN!B25</f>
        <v/>
      </c>
      <c r="C25" s="57" t="str">
        <f>LEN!C25</f>
        <v>Gonzalez Gonzalez Jean Carlos</v>
      </c>
      <c r="D25" s="139">
        <v>4.0</v>
      </c>
      <c r="E25" s="140"/>
      <c r="F25" s="139">
        <v>10.0</v>
      </c>
      <c r="G25" s="140"/>
      <c r="H25" s="139">
        <v>5.0</v>
      </c>
      <c r="I25" s="139">
        <v>7.0</v>
      </c>
      <c r="J25" s="140"/>
      <c r="K25" s="139">
        <v>7.0</v>
      </c>
      <c r="L25" s="62"/>
      <c r="M25" s="62"/>
      <c r="N25" s="143"/>
      <c r="O25" s="143"/>
      <c r="P25" s="143"/>
      <c r="Q25" s="143"/>
      <c r="R25" s="143"/>
      <c r="S25" s="143"/>
      <c r="T25" s="141"/>
      <c r="U25" s="141"/>
      <c r="V25" s="62">
        <f t="shared" si="9"/>
        <v>4.62</v>
      </c>
      <c r="W25" s="121">
        <v>6.0</v>
      </c>
      <c r="X25" s="123">
        <f>'PROY. INTER'!W25</f>
        <v>6</v>
      </c>
      <c r="Y25" s="62">
        <f t="shared" si="10"/>
        <v>6</v>
      </c>
      <c r="Z25" s="62">
        <f t="shared" si="11"/>
        <v>1.8</v>
      </c>
      <c r="AA25" s="64">
        <f t="shared" si="12"/>
        <v>6.42</v>
      </c>
      <c r="AC25" s="2"/>
      <c r="AE25" s="56">
        <v>14.0</v>
      </c>
      <c r="AF25" s="124" t="str">
        <f t="shared" ref="AF25:AG25" si="77">B25</f>
        <v/>
      </c>
      <c r="AG25" s="65" t="str">
        <f t="shared" si="77"/>
        <v>Gonzalez Gonzalez Jean Carlos</v>
      </c>
      <c r="AH25" s="140"/>
      <c r="AI25" s="199">
        <v>10.0</v>
      </c>
      <c r="AJ25" s="199">
        <v>7.0</v>
      </c>
      <c r="AK25" s="140"/>
      <c r="AL25" s="140"/>
      <c r="AM25" s="140"/>
      <c r="AN25" s="140"/>
      <c r="AO25" s="140"/>
      <c r="AP25" s="121">
        <v>8.0</v>
      </c>
      <c r="AQ25" s="62"/>
      <c r="AR25" s="62"/>
      <c r="AS25" s="143"/>
      <c r="AT25" s="143"/>
      <c r="AU25" s="143"/>
      <c r="AV25" s="143"/>
      <c r="AW25" s="143"/>
      <c r="AX25" s="141"/>
      <c r="AY25" s="141"/>
      <c r="AZ25" s="62">
        <f t="shared" si="14"/>
        <v>5.831</v>
      </c>
      <c r="BA25" s="121">
        <v>8.0</v>
      </c>
      <c r="BB25" s="123">
        <f>'PROY. INTER'!AX25</f>
        <v>10</v>
      </c>
      <c r="BC25" s="62">
        <f t="shared" si="15"/>
        <v>9</v>
      </c>
      <c r="BD25" s="62">
        <f t="shared" si="16"/>
        <v>2.7</v>
      </c>
      <c r="BE25" s="64">
        <f t="shared" si="17"/>
        <v>8.53</v>
      </c>
      <c r="BG25" s="2"/>
      <c r="BI25" s="56">
        <v>14.0</v>
      </c>
      <c r="BJ25" s="124" t="str">
        <f t="shared" ref="BJ25:BK25" si="78">B25</f>
        <v/>
      </c>
      <c r="BK25" s="125" t="str">
        <f t="shared" si="78"/>
        <v>Gonzalez Gonzalez Jean Carlos</v>
      </c>
      <c r="BL25" s="140"/>
      <c r="BM25" s="140"/>
      <c r="BN25" s="140"/>
      <c r="BO25" s="140"/>
      <c r="BP25" s="140"/>
      <c r="BQ25" s="140"/>
      <c r="BR25" s="140"/>
      <c r="BS25" s="140"/>
      <c r="BT25" s="62"/>
      <c r="BU25" s="62"/>
      <c r="BV25" s="143"/>
      <c r="BW25" s="143"/>
      <c r="BX25" s="143"/>
      <c r="BY25" s="143"/>
      <c r="BZ25" s="143"/>
      <c r="CA25" s="143"/>
      <c r="CB25" s="141"/>
      <c r="CC25" s="141"/>
      <c r="CD25" s="62">
        <f t="shared" si="19"/>
        <v>0</v>
      </c>
      <c r="CE25" s="62"/>
      <c r="CF25" s="123">
        <f>'PROY. INTER'!BY25</f>
        <v>0</v>
      </c>
      <c r="CG25" s="62">
        <f t="shared" si="20"/>
        <v>0</v>
      </c>
      <c r="CH25" s="62">
        <f t="shared" si="21"/>
        <v>0</v>
      </c>
      <c r="CI25" s="64">
        <f t="shared" si="22"/>
        <v>0</v>
      </c>
      <c r="CK25" s="2"/>
      <c r="CM25" s="126">
        <v>14.0</v>
      </c>
      <c r="CN25" s="127" t="str">
        <f t="shared" ref="CN25:CO25" si="79">B25</f>
        <v/>
      </c>
      <c r="CO25" s="128" t="str">
        <f t="shared" si="79"/>
        <v>Gonzalez Gonzalez Jean Carlos</v>
      </c>
      <c r="CP25" s="129">
        <f t="shared" si="24"/>
        <v>6.42</v>
      </c>
      <c r="CQ25" s="129">
        <f t="shared" si="25"/>
        <v>8.53</v>
      </c>
      <c r="CR25" s="129">
        <f t="shared" si="26"/>
        <v>0</v>
      </c>
      <c r="CS25" s="130">
        <f t="shared" si="27"/>
        <v>4.98</v>
      </c>
      <c r="CT25" s="131" t="str">
        <f t="shared" si="28"/>
        <v>REPROBADO</v>
      </c>
      <c r="CV25" s="2"/>
      <c r="CX25" s="132">
        <v>14.0</v>
      </c>
      <c r="CY25" s="133" t="str">
        <f t="shared" ref="CY25:CZ25" si="80">B25</f>
        <v/>
      </c>
      <c r="CZ25" s="134" t="str">
        <f t="shared" si="80"/>
        <v>Gonzalez Gonzalez Jean Carlos</v>
      </c>
      <c r="DA25" s="244">
        <f t="shared" si="30"/>
        <v>4.98</v>
      </c>
      <c r="DB25" s="136"/>
      <c r="DC25" s="137">
        <f t="shared" si="31"/>
        <v>4.98</v>
      </c>
      <c r="DD25" s="138" t="str">
        <f t="shared" si="32"/>
        <v>NO PROMOVIDO</v>
      </c>
    </row>
    <row r="26" ht="15.75" customHeight="1">
      <c r="A26" s="56">
        <v>15.0</v>
      </c>
      <c r="B26" s="57" t="str">
        <f>LEN!B26</f>
        <v/>
      </c>
      <c r="C26" s="57" t="str">
        <f>LEN!C26</f>
        <v>Guevara Benites Jean Pierre</v>
      </c>
      <c r="D26" s="139">
        <v>7.0</v>
      </c>
      <c r="E26" s="140"/>
      <c r="F26" s="139">
        <v>8.0</v>
      </c>
      <c r="G26" s="140"/>
      <c r="H26" s="139">
        <v>8.0</v>
      </c>
      <c r="I26" s="139">
        <v>10.0</v>
      </c>
      <c r="J26" s="140"/>
      <c r="K26" s="139">
        <v>8.0</v>
      </c>
      <c r="L26" s="62"/>
      <c r="M26" s="62"/>
      <c r="N26" s="143"/>
      <c r="O26" s="143"/>
      <c r="P26" s="143"/>
      <c r="Q26" s="143"/>
      <c r="R26" s="143"/>
      <c r="S26" s="143"/>
      <c r="T26" s="141"/>
      <c r="U26" s="141"/>
      <c r="V26" s="62">
        <f t="shared" si="9"/>
        <v>5.74</v>
      </c>
      <c r="W26" s="121">
        <v>7.0</v>
      </c>
      <c r="X26" s="123">
        <f>'PROY. INTER'!W26</f>
        <v>7.73</v>
      </c>
      <c r="Y26" s="62">
        <f t="shared" si="10"/>
        <v>7.365</v>
      </c>
      <c r="Z26" s="62">
        <f t="shared" si="11"/>
        <v>2.2095</v>
      </c>
      <c r="AA26" s="64">
        <f t="shared" si="12"/>
        <v>7.94</v>
      </c>
      <c r="AC26" s="2"/>
      <c r="AE26" s="56">
        <v>15.0</v>
      </c>
      <c r="AF26" s="124" t="str">
        <f t="shared" ref="AF26:AG26" si="81">B26</f>
        <v/>
      </c>
      <c r="AG26" s="65" t="str">
        <f t="shared" si="81"/>
        <v>Guevara Benites Jean Pierre</v>
      </c>
      <c r="AH26" s="140"/>
      <c r="AI26" s="197">
        <v>9.5</v>
      </c>
      <c r="AJ26" s="199">
        <v>10.0</v>
      </c>
      <c r="AK26" s="140"/>
      <c r="AL26" s="140"/>
      <c r="AM26" s="140"/>
      <c r="AN26" s="140"/>
      <c r="AO26" s="140"/>
      <c r="AP26" s="121">
        <v>9.0</v>
      </c>
      <c r="AQ26" s="62"/>
      <c r="AR26" s="62"/>
      <c r="AS26" s="143"/>
      <c r="AT26" s="143"/>
      <c r="AU26" s="143"/>
      <c r="AV26" s="143"/>
      <c r="AW26" s="143"/>
      <c r="AX26" s="141"/>
      <c r="AY26" s="141"/>
      <c r="AZ26" s="62">
        <f t="shared" si="14"/>
        <v>6.65</v>
      </c>
      <c r="BA26" s="121">
        <v>8.0</v>
      </c>
      <c r="BB26" s="123">
        <f>'PROY. INTER'!AX26</f>
        <v>10</v>
      </c>
      <c r="BC26" s="62">
        <f t="shared" si="15"/>
        <v>9</v>
      </c>
      <c r="BD26" s="62">
        <f t="shared" si="16"/>
        <v>2.7</v>
      </c>
      <c r="BE26" s="64">
        <f t="shared" si="17"/>
        <v>9.35</v>
      </c>
      <c r="BG26" s="2"/>
      <c r="BI26" s="56">
        <v>15.0</v>
      </c>
      <c r="BJ26" s="124" t="str">
        <f t="shared" ref="BJ26:BK26" si="82">B26</f>
        <v/>
      </c>
      <c r="BK26" s="125" t="str">
        <f t="shared" si="82"/>
        <v>Guevara Benites Jean Pierre</v>
      </c>
      <c r="BL26" s="140"/>
      <c r="BM26" s="140"/>
      <c r="BN26" s="140"/>
      <c r="BO26" s="140"/>
      <c r="BP26" s="140"/>
      <c r="BQ26" s="140"/>
      <c r="BR26" s="140"/>
      <c r="BS26" s="140"/>
      <c r="BT26" s="62"/>
      <c r="BU26" s="62"/>
      <c r="BV26" s="143"/>
      <c r="BW26" s="143"/>
      <c r="BX26" s="143"/>
      <c r="BY26" s="143"/>
      <c r="BZ26" s="143"/>
      <c r="CA26" s="143"/>
      <c r="CB26" s="141"/>
      <c r="CC26" s="141"/>
      <c r="CD26" s="62">
        <f t="shared" si="19"/>
        <v>0</v>
      </c>
      <c r="CE26" s="62"/>
      <c r="CF26" s="123">
        <f>'PROY. INTER'!BY26</f>
        <v>0</v>
      </c>
      <c r="CG26" s="62">
        <f t="shared" si="20"/>
        <v>0</v>
      </c>
      <c r="CH26" s="62">
        <f t="shared" si="21"/>
        <v>0</v>
      </c>
      <c r="CI26" s="64">
        <f t="shared" si="22"/>
        <v>0</v>
      </c>
      <c r="CK26" s="2"/>
      <c r="CM26" s="126">
        <v>15.0</v>
      </c>
      <c r="CN26" s="127" t="str">
        <f t="shared" ref="CN26:CO26" si="83">B26</f>
        <v/>
      </c>
      <c r="CO26" s="128" t="str">
        <f t="shared" si="83"/>
        <v>Guevara Benites Jean Pierre</v>
      </c>
      <c r="CP26" s="129">
        <f t="shared" si="24"/>
        <v>7.94</v>
      </c>
      <c r="CQ26" s="129">
        <f t="shared" si="25"/>
        <v>9.35</v>
      </c>
      <c r="CR26" s="129">
        <f t="shared" si="26"/>
        <v>0</v>
      </c>
      <c r="CS26" s="130">
        <f t="shared" si="27"/>
        <v>5.76</v>
      </c>
      <c r="CT26" s="131" t="str">
        <f t="shared" si="28"/>
        <v>SUPLETORIO</v>
      </c>
      <c r="CV26" s="2"/>
      <c r="CX26" s="132">
        <v>15.0</v>
      </c>
      <c r="CY26" s="133" t="str">
        <f t="shared" ref="CY26:CZ26" si="84">B26</f>
        <v/>
      </c>
      <c r="CZ26" s="134" t="str">
        <f t="shared" si="84"/>
        <v>Guevara Benites Jean Pierre</v>
      </c>
      <c r="DA26" s="244">
        <f t="shared" si="30"/>
        <v>5.76</v>
      </c>
      <c r="DB26" s="136"/>
      <c r="DC26" s="137">
        <f t="shared" si="31"/>
        <v>5.76</v>
      </c>
      <c r="DD26" s="138" t="str">
        <f t="shared" si="32"/>
        <v>NO PROMOVIDO</v>
      </c>
    </row>
    <row r="27" ht="15.75" customHeight="1">
      <c r="A27" s="56">
        <v>16.0</v>
      </c>
      <c r="B27" s="57" t="str">
        <f>LEN!B27</f>
        <v/>
      </c>
      <c r="C27" s="57" t="str">
        <f>LEN!C27</f>
        <v>Mero Carcamo Adriana Carolina</v>
      </c>
      <c r="D27" s="139">
        <v>8.0</v>
      </c>
      <c r="E27" s="140"/>
      <c r="F27" s="139">
        <v>9.0</v>
      </c>
      <c r="G27" s="140"/>
      <c r="H27" s="139">
        <v>10.0</v>
      </c>
      <c r="I27" s="139">
        <v>10.0</v>
      </c>
      <c r="J27" s="140"/>
      <c r="K27" s="139">
        <v>7.0</v>
      </c>
      <c r="L27" s="62"/>
      <c r="M27" s="62"/>
      <c r="N27" s="143"/>
      <c r="O27" s="143"/>
      <c r="P27" s="143"/>
      <c r="Q27" s="143"/>
      <c r="R27" s="143"/>
      <c r="S27" s="143"/>
      <c r="T27" s="141"/>
      <c r="U27" s="141"/>
      <c r="V27" s="62">
        <f t="shared" si="9"/>
        <v>6.16</v>
      </c>
      <c r="W27" s="121">
        <v>7.0</v>
      </c>
      <c r="X27" s="123">
        <f>'PROY. INTER'!W27</f>
        <v>6</v>
      </c>
      <c r="Y27" s="62">
        <f t="shared" si="10"/>
        <v>6.5</v>
      </c>
      <c r="Z27" s="62">
        <f t="shared" si="11"/>
        <v>1.95</v>
      </c>
      <c r="AA27" s="64">
        <f t="shared" si="12"/>
        <v>8.11</v>
      </c>
      <c r="AC27" s="2"/>
      <c r="AE27" s="56">
        <v>16.0</v>
      </c>
      <c r="AF27" s="124" t="str">
        <f t="shared" ref="AF27:AG27" si="85">B27</f>
        <v/>
      </c>
      <c r="AG27" s="65" t="str">
        <f t="shared" si="85"/>
        <v>Mero Carcamo Adriana Carolina</v>
      </c>
      <c r="AH27" s="140"/>
      <c r="AI27" s="197">
        <v>8.0</v>
      </c>
      <c r="AJ27" s="197">
        <v>8.0</v>
      </c>
      <c r="AK27" s="140"/>
      <c r="AL27" s="140"/>
      <c r="AM27" s="140"/>
      <c r="AN27" s="140"/>
      <c r="AO27" s="140"/>
      <c r="AP27" s="121">
        <v>8.0</v>
      </c>
      <c r="AQ27" s="62"/>
      <c r="AR27" s="62"/>
      <c r="AS27" s="143"/>
      <c r="AT27" s="143"/>
      <c r="AU27" s="143"/>
      <c r="AV27" s="143"/>
      <c r="AW27" s="143"/>
      <c r="AX27" s="141"/>
      <c r="AY27" s="141"/>
      <c r="AZ27" s="62">
        <f t="shared" si="14"/>
        <v>5.6</v>
      </c>
      <c r="BA27" s="121">
        <v>8.0</v>
      </c>
      <c r="BB27" s="123">
        <f>'PROY. INTER'!AX27</f>
        <v>2</v>
      </c>
      <c r="BC27" s="62">
        <f t="shared" si="15"/>
        <v>5</v>
      </c>
      <c r="BD27" s="62">
        <f t="shared" si="16"/>
        <v>1.5</v>
      </c>
      <c r="BE27" s="64">
        <f t="shared" si="17"/>
        <v>7.1</v>
      </c>
      <c r="BG27" s="2"/>
      <c r="BI27" s="56">
        <v>16.0</v>
      </c>
      <c r="BJ27" s="124" t="str">
        <f t="shared" ref="BJ27:BK27" si="86">B27</f>
        <v/>
      </c>
      <c r="BK27" s="125" t="str">
        <f t="shared" si="86"/>
        <v>Mero Carcamo Adriana Carolina</v>
      </c>
      <c r="BL27" s="140"/>
      <c r="BM27" s="140"/>
      <c r="BN27" s="140"/>
      <c r="BO27" s="140"/>
      <c r="BP27" s="140"/>
      <c r="BQ27" s="140"/>
      <c r="BR27" s="140"/>
      <c r="BS27" s="140"/>
      <c r="BT27" s="62"/>
      <c r="BU27" s="62"/>
      <c r="BV27" s="143"/>
      <c r="BW27" s="143"/>
      <c r="BX27" s="143"/>
      <c r="BY27" s="143"/>
      <c r="BZ27" s="143"/>
      <c r="CA27" s="143"/>
      <c r="CB27" s="141"/>
      <c r="CC27" s="141"/>
      <c r="CD27" s="62">
        <f t="shared" si="19"/>
        <v>0</v>
      </c>
      <c r="CE27" s="62"/>
      <c r="CF27" s="123">
        <f>'PROY. INTER'!BY27</f>
        <v>0</v>
      </c>
      <c r="CG27" s="62">
        <f t="shared" si="20"/>
        <v>0</v>
      </c>
      <c r="CH27" s="62">
        <f t="shared" si="21"/>
        <v>0</v>
      </c>
      <c r="CI27" s="64">
        <f t="shared" si="22"/>
        <v>0</v>
      </c>
      <c r="CK27" s="2"/>
      <c r="CM27" s="126">
        <v>16.0</v>
      </c>
      <c r="CN27" s="127" t="str">
        <f t="shared" ref="CN27:CO27" si="87">B27</f>
        <v/>
      </c>
      <c r="CO27" s="128" t="str">
        <f t="shared" si="87"/>
        <v>Mero Carcamo Adriana Carolina</v>
      </c>
      <c r="CP27" s="129">
        <f t="shared" si="24"/>
        <v>8.11</v>
      </c>
      <c r="CQ27" s="129">
        <f t="shared" si="25"/>
        <v>7.1</v>
      </c>
      <c r="CR27" s="129">
        <f t="shared" si="26"/>
        <v>0</v>
      </c>
      <c r="CS27" s="130">
        <f t="shared" si="27"/>
        <v>5.07</v>
      </c>
      <c r="CT27" s="131" t="str">
        <f t="shared" si="28"/>
        <v>SUPLETORIO</v>
      </c>
      <c r="CV27" s="2"/>
      <c r="CX27" s="132">
        <v>16.0</v>
      </c>
      <c r="CY27" s="133" t="str">
        <f t="shared" ref="CY27:CZ27" si="88">B27</f>
        <v/>
      </c>
      <c r="CZ27" s="134" t="str">
        <f t="shared" si="88"/>
        <v>Mero Carcamo Adriana Carolina</v>
      </c>
      <c r="DA27" s="244">
        <f t="shared" si="30"/>
        <v>5.07</v>
      </c>
      <c r="DB27" s="136"/>
      <c r="DC27" s="137">
        <f t="shared" si="31"/>
        <v>5.07</v>
      </c>
      <c r="DD27" s="138" t="str">
        <f t="shared" si="32"/>
        <v>NO PROMOVIDO</v>
      </c>
    </row>
    <row r="28" ht="15.75" customHeight="1">
      <c r="A28" s="56">
        <v>17.0</v>
      </c>
      <c r="B28" s="57" t="str">
        <f>LEN!B28</f>
        <v/>
      </c>
      <c r="C28" s="57" t="str">
        <f>LEN!C28</f>
        <v>Moreira Villamar Darwin Matias</v>
      </c>
      <c r="D28" s="139">
        <v>8.0</v>
      </c>
      <c r="E28" s="140"/>
      <c r="F28" s="139">
        <v>8.0</v>
      </c>
      <c r="G28" s="140"/>
      <c r="H28" s="139">
        <v>8.0</v>
      </c>
      <c r="I28" s="139">
        <v>10.0</v>
      </c>
      <c r="J28" s="140"/>
      <c r="K28" s="139">
        <v>10.0</v>
      </c>
      <c r="L28" s="62"/>
      <c r="M28" s="62"/>
      <c r="N28" s="143"/>
      <c r="O28" s="143"/>
      <c r="P28" s="143"/>
      <c r="Q28" s="143"/>
      <c r="R28" s="143"/>
      <c r="S28" s="143"/>
      <c r="T28" s="141"/>
      <c r="U28" s="141"/>
      <c r="V28" s="62">
        <f t="shared" si="9"/>
        <v>6.16</v>
      </c>
      <c r="W28" s="121">
        <v>7.0</v>
      </c>
      <c r="X28" s="123">
        <f>'PROY. INTER'!W28</f>
        <v>9.73</v>
      </c>
      <c r="Y28" s="62">
        <f t="shared" si="10"/>
        <v>8.365</v>
      </c>
      <c r="Z28" s="62">
        <f t="shared" si="11"/>
        <v>2.5095</v>
      </c>
      <c r="AA28" s="64">
        <f t="shared" si="12"/>
        <v>8.66</v>
      </c>
      <c r="AC28" s="2"/>
      <c r="AE28" s="56">
        <v>17.0</v>
      </c>
      <c r="AF28" s="124" t="str">
        <f t="shared" ref="AF28:AG28" si="89">B28</f>
        <v/>
      </c>
      <c r="AG28" s="65" t="str">
        <f t="shared" si="89"/>
        <v>Moreira Villamar Darwin Matias</v>
      </c>
      <c r="AH28" s="140"/>
      <c r="AI28" s="197">
        <v>10.0</v>
      </c>
      <c r="AJ28" s="197">
        <v>10.0</v>
      </c>
      <c r="AK28" s="140"/>
      <c r="AL28" s="140"/>
      <c r="AM28" s="140"/>
      <c r="AN28" s="140"/>
      <c r="AO28" s="140"/>
      <c r="AP28" s="121">
        <v>8.0</v>
      </c>
      <c r="AQ28" s="62"/>
      <c r="AR28" s="62"/>
      <c r="AS28" s="143"/>
      <c r="AT28" s="143"/>
      <c r="AU28" s="143"/>
      <c r="AV28" s="143"/>
      <c r="AW28" s="143"/>
      <c r="AX28" s="141"/>
      <c r="AY28" s="141"/>
      <c r="AZ28" s="62">
        <f t="shared" si="14"/>
        <v>6.531</v>
      </c>
      <c r="BA28" s="121">
        <v>8.0</v>
      </c>
      <c r="BB28" s="123">
        <f>'PROY. INTER'!AX28</f>
        <v>10</v>
      </c>
      <c r="BC28" s="62">
        <f t="shared" si="15"/>
        <v>9</v>
      </c>
      <c r="BD28" s="62">
        <f t="shared" si="16"/>
        <v>2.7</v>
      </c>
      <c r="BE28" s="64">
        <f t="shared" si="17"/>
        <v>9.23</v>
      </c>
      <c r="BG28" s="2"/>
      <c r="BI28" s="56">
        <v>17.0</v>
      </c>
      <c r="BJ28" s="124" t="str">
        <f t="shared" ref="BJ28:BK28" si="90">B28</f>
        <v/>
      </c>
      <c r="BK28" s="125" t="str">
        <f t="shared" si="90"/>
        <v>Moreira Villamar Darwin Matias</v>
      </c>
      <c r="BL28" s="140"/>
      <c r="BM28" s="140"/>
      <c r="BN28" s="140"/>
      <c r="BO28" s="140"/>
      <c r="BP28" s="140"/>
      <c r="BQ28" s="140"/>
      <c r="BR28" s="140"/>
      <c r="BS28" s="140"/>
      <c r="BT28" s="62"/>
      <c r="BU28" s="62"/>
      <c r="BV28" s="143"/>
      <c r="BW28" s="143"/>
      <c r="BX28" s="143"/>
      <c r="BY28" s="143"/>
      <c r="BZ28" s="143"/>
      <c r="CA28" s="143"/>
      <c r="CB28" s="141"/>
      <c r="CC28" s="141"/>
      <c r="CD28" s="62">
        <f t="shared" si="19"/>
        <v>0</v>
      </c>
      <c r="CE28" s="62"/>
      <c r="CF28" s="123">
        <f>'PROY. INTER'!BY28</f>
        <v>0</v>
      </c>
      <c r="CG28" s="62">
        <f t="shared" si="20"/>
        <v>0</v>
      </c>
      <c r="CH28" s="62">
        <f t="shared" si="21"/>
        <v>0</v>
      </c>
      <c r="CI28" s="64">
        <f t="shared" si="22"/>
        <v>0</v>
      </c>
      <c r="CK28" s="2"/>
      <c r="CM28" s="126">
        <v>17.0</v>
      </c>
      <c r="CN28" s="127" t="str">
        <f t="shared" ref="CN28:CO28" si="91">B28</f>
        <v/>
      </c>
      <c r="CO28" s="128" t="str">
        <f t="shared" si="91"/>
        <v>Moreira Villamar Darwin Matias</v>
      </c>
      <c r="CP28" s="129">
        <f t="shared" si="24"/>
        <v>8.66</v>
      </c>
      <c r="CQ28" s="129">
        <f t="shared" si="25"/>
        <v>9.23</v>
      </c>
      <c r="CR28" s="129">
        <f t="shared" si="26"/>
        <v>0</v>
      </c>
      <c r="CS28" s="130">
        <f t="shared" si="27"/>
        <v>5.96</v>
      </c>
      <c r="CT28" s="131" t="str">
        <f t="shared" si="28"/>
        <v>SUPLETORIO</v>
      </c>
      <c r="CV28" s="2"/>
      <c r="CX28" s="132">
        <v>17.0</v>
      </c>
      <c r="CY28" s="133" t="str">
        <f t="shared" ref="CY28:CZ28" si="92">B28</f>
        <v/>
      </c>
      <c r="CZ28" s="134" t="str">
        <f t="shared" si="92"/>
        <v>Moreira Villamar Darwin Matias</v>
      </c>
      <c r="DA28" s="244">
        <f t="shared" si="30"/>
        <v>5.96</v>
      </c>
      <c r="DB28" s="136"/>
      <c r="DC28" s="137">
        <f t="shared" si="31"/>
        <v>5.96</v>
      </c>
      <c r="DD28" s="138" t="str">
        <f t="shared" si="32"/>
        <v>NO PROMOVIDO</v>
      </c>
    </row>
    <row r="29" ht="15.75" customHeight="1">
      <c r="A29" s="56">
        <v>18.0</v>
      </c>
      <c r="B29" s="57" t="str">
        <f>LEN!B29</f>
        <v/>
      </c>
      <c r="C29" s="57" t="str">
        <f>LEN!C29</f>
        <v>Peña Macias Enrique Alexander</v>
      </c>
      <c r="D29" s="139">
        <v>10.0</v>
      </c>
      <c r="E29" s="140"/>
      <c r="F29" s="139">
        <v>8.0</v>
      </c>
      <c r="G29" s="140"/>
      <c r="H29" s="139">
        <v>10.0</v>
      </c>
      <c r="I29" s="139">
        <v>10.0</v>
      </c>
      <c r="J29" s="140"/>
      <c r="K29" s="139">
        <v>10.0</v>
      </c>
      <c r="L29" s="62"/>
      <c r="M29" s="62"/>
      <c r="N29" s="143"/>
      <c r="O29" s="143"/>
      <c r="P29" s="143"/>
      <c r="Q29" s="143"/>
      <c r="R29" s="143"/>
      <c r="S29" s="143"/>
      <c r="T29" s="141"/>
      <c r="U29" s="141"/>
      <c r="V29" s="62">
        <f t="shared" si="9"/>
        <v>6.72</v>
      </c>
      <c r="W29" s="121">
        <v>8.0</v>
      </c>
      <c r="X29" s="123">
        <f>'PROY. INTER'!W29</f>
        <v>9.2</v>
      </c>
      <c r="Y29" s="62">
        <f t="shared" si="10"/>
        <v>8.6</v>
      </c>
      <c r="Z29" s="62">
        <f t="shared" si="11"/>
        <v>2.58</v>
      </c>
      <c r="AA29" s="64">
        <f t="shared" si="12"/>
        <v>9.3</v>
      </c>
      <c r="AC29" s="2"/>
      <c r="AE29" s="56">
        <v>18.0</v>
      </c>
      <c r="AF29" s="124" t="str">
        <f t="shared" ref="AF29:AG29" si="93">B29</f>
        <v/>
      </c>
      <c r="AG29" s="65" t="str">
        <f t="shared" si="93"/>
        <v>Peña Macias Enrique Alexander</v>
      </c>
      <c r="AH29" s="140"/>
      <c r="AI29" s="197">
        <v>10.0</v>
      </c>
      <c r="AJ29" s="197">
        <v>10.0</v>
      </c>
      <c r="AK29" s="140"/>
      <c r="AL29" s="140"/>
      <c r="AM29" s="140"/>
      <c r="AN29" s="140"/>
      <c r="AO29" s="140"/>
      <c r="AP29" s="121">
        <v>10.0</v>
      </c>
      <c r="AQ29" s="62"/>
      <c r="AR29" s="62"/>
      <c r="AS29" s="143"/>
      <c r="AT29" s="143"/>
      <c r="AU29" s="143"/>
      <c r="AV29" s="143"/>
      <c r="AW29" s="143"/>
      <c r="AX29" s="141"/>
      <c r="AY29" s="141"/>
      <c r="AZ29" s="62">
        <f t="shared" si="14"/>
        <v>7</v>
      </c>
      <c r="BA29" s="121">
        <v>9.0</v>
      </c>
      <c r="BB29" s="123">
        <f>'PROY. INTER'!AX29</f>
        <v>10</v>
      </c>
      <c r="BC29" s="62">
        <f t="shared" si="15"/>
        <v>9.5</v>
      </c>
      <c r="BD29" s="62">
        <f t="shared" si="16"/>
        <v>2.85</v>
      </c>
      <c r="BE29" s="64">
        <f t="shared" si="17"/>
        <v>9.85</v>
      </c>
      <c r="BG29" s="2"/>
      <c r="BI29" s="56">
        <v>18.0</v>
      </c>
      <c r="BJ29" s="124" t="str">
        <f t="shared" ref="BJ29:BK29" si="94">B29</f>
        <v/>
      </c>
      <c r="BK29" s="125" t="str">
        <f t="shared" si="94"/>
        <v>Peña Macias Enrique Alexander</v>
      </c>
      <c r="BL29" s="140"/>
      <c r="BM29" s="140"/>
      <c r="BN29" s="140"/>
      <c r="BO29" s="140"/>
      <c r="BP29" s="140"/>
      <c r="BQ29" s="140"/>
      <c r="BR29" s="140"/>
      <c r="BS29" s="140"/>
      <c r="BT29" s="62"/>
      <c r="BU29" s="62"/>
      <c r="BV29" s="143"/>
      <c r="BW29" s="143"/>
      <c r="BX29" s="143"/>
      <c r="BY29" s="143"/>
      <c r="BZ29" s="143"/>
      <c r="CA29" s="143"/>
      <c r="CB29" s="141"/>
      <c r="CC29" s="141"/>
      <c r="CD29" s="62">
        <f t="shared" si="19"/>
        <v>0</v>
      </c>
      <c r="CE29" s="62"/>
      <c r="CF29" s="123">
        <f>'PROY. INTER'!BY29</f>
        <v>0</v>
      </c>
      <c r="CG29" s="62">
        <f t="shared" si="20"/>
        <v>0</v>
      </c>
      <c r="CH29" s="62">
        <f t="shared" si="21"/>
        <v>0</v>
      </c>
      <c r="CI29" s="64">
        <f t="shared" si="22"/>
        <v>0</v>
      </c>
      <c r="CK29" s="2"/>
      <c r="CM29" s="126">
        <v>18.0</v>
      </c>
      <c r="CN29" s="127" t="str">
        <f t="shared" ref="CN29:CO29" si="95">B29</f>
        <v/>
      </c>
      <c r="CO29" s="128" t="str">
        <f t="shared" si="95"/>
        <v>Peña Macias Enrique Alexander</v>
      </c>
      <c r="CP29" s="129">
        <f t="shared" si="24"/>
        <v>9.3</v>
      </c>
      <c r="CQ29" s="129">
        <f t="shared" si="25"/>
        <v>9.85</v>
      </c>
      <c r="CR29" s="129">
        <f t="shared" si="26"/>
        <v>0</v>
      </c>
      <c r="CS29" s="130">
        <f t="shared" si="27"/>
        <v>6.38</v>
      </c>
      <c r="CT29" s="131" t="str">
        <f t="shared" si="28"/>
        <v>SUPLETORIO</v>
      </c>
      <c r="CV29" s="2"/>
      <c r="CX29" s="132">
        <v>18.0</v>
      </c>
      <c r="CY29" s="133" t="str">
        <f t="shared" ref="CY29:CZ29" si="96">B29</f>
        <v/>
      </c>
      <c r="CZ29" s="134" t="str">
        <f t="shared" si="96"/>
        <v>Peña Macias Enrique Alexander</v>
      </c>
      <c r="DA29" s="244">
        <f t="shared" si="30"/>
        <v>6.38</v>
      </c>
      <c r="DB29" s="136"/>
      <c r="DC29" s="137">
        <f t="shared" si="31"/>
        <v>6.38</v>
      </c>
      <c r="DD29" s="138" t="str">
        <f t="shared" si="32"/>
        <v>NO PROMOVIDO</v>
      </c>
    </row>
    <row r="30" ht="15.75" customHeight="1">
      <c r="A30" s="56">
        <v>19.0</v>
      </c>
      <c r="B30" s="57" t="str">
        <f>LEN!B30</f>
        <v/>
      </c>
      <c r="C30" s="57" t="str">
        <f>LEN!C30</f>
        <v>Roman Arreaga Stefani Asley</v>
      </c>
      <c r="D30" s="139">
        <v>8.0</v>
      </c>
      <c r="E30" s="140"/>
      <c r="F30" s="139">
        <v>8.0</v>
      </c>
      <c r="G30" s="140"/>
      <c r="H30" s="139">
        <v>9.0</v>
      </c>
      <c r="I30" s="139">
        <v>10.0</v>
      </c>
      <c r="J30" s="140"/>
      <c r="K30" s="139">
        <v>10.0</v>
      </c>
      <c r="L30" s="62"/>
      <c r="M30" s="62"/>
      <c r="N30" s="143"/>
      <c r="O30" s="143"/>
      <c r="P30" s="143"/>
      <c r="Q30" s="143"/>
      <c r="R30" s="143"/>
      <c r="S30" s="143"/>
      <c r="T30" s="141"/>
      <c r="U30" s="141"/>
      <c r="V30" s="62">
        <f t="shared" si="9"/>
        <v>6.3</v>
      </c>
      <c r="W30" s="121">
        <v>8.0</v>
      </c>
      <c r="X30" s="123">
        <f>'PROY. INTER'!W30</f>
        <v>9.47</v>
      </c>
      <c r="Y30" s="62">
        <f t="shared" si="10"/>
        <v>8.735</v>
      </c>
      <c r="Z30" s="62">
        <f t="shared" si="11"/>
        <v>2.6205</v>
      </c>
      <c r="AA30" s="64">
        <f t="shared" si="12"/>
        <v>8.92</v>
      </c>
      <c r="AC30" s="2"/>
      <c r="AE30" s="56">
        <v>19.0</v>
      </c>
      <c r="AF30" s="124" t="str">
        <f t="shared" ref="AF30:AG30" si="97">B30</f>
        <v/>
      </c>
      <c r="AG30" s="65" t="str">
        <f t="shared" si="97"/>
        <v>Roman Arreaga Stefani Asley</v>
      </c>
      <c r="AH30" s="140"/>
      <c r="AI30" s="199">
        <v>7.0</v>
      </c>
      <c r="AJ30" s="199">
        <v>7.0</v>
      </c>
      <c r="AK30" s="140"/>
      <c r="AL30" s="140"/>
      <c r="AM30" s="140"/>
      <c r="AN30" s="140"/>
      <c r="AO30" s="140"/>
      <c r="AP30" s="121">
        <v>7.0</v>
      </c>
      <c r="AQ30" s="62"/>
      <c r="AR30" s="62"/>
      <c r="AS30" s="143"/>
      <c r="AT30" s="143"/>
      <c r="AU30" s="143"/>
      <c r="AV30" s="143"/>
      <c r="AW30" s="143"/>
      <c r="AX30" s="141"/>
      <c r="AY30" s="141"/>
      <c r="AZ30" s="62">
        <f t="shared" si="14"/>
        <v>4.9</v>
      </c>
      <c r="BA30" s="121">
        <v>8.0</v>
      </c>
      <c r="BB30" s="123">
        <f>'PROY. INTER'!AX30</f>
        <v>10</v>
      </c>
      <c r="BC30" s="62">
        <f t="shared" si="15"/>
        <v>9</v>
      </c>
      <c r="BD30" s="62">
        <f t="shared" si="16"/>
        <v>2.7</v>
      </c>
      <c r="BE30" s="64">
        <f t="shared" si="17"/>
        <v>7.6</v>
      </c>
      <c r="BG30" s="2"/>
      <c r="BI30" s="56">
        <v>19.0</v>
      </c>
      <c r="BJ30" s="124" t="str">
        <f t="shared" ref="BJ30:BK30" si="98">B30</f>
        <v/>
      </c>
      <c r="BK30" s="125" t="str">
        <f t="shared" si="98"/>
        <v>Roman Arreaga Stefani Asley</v>
      </c>
      <c r="BL30" s="140"/>
      <c r="BM30" s="140"/>
      <c r="BN30" s="140"/>
      <c r="BO30" s="140"/>
      <c r="BP30" s="140"/>
      <c r="BQ30" s="140"/>
      <c r="BR30" s="140"/>
      <c r="BS30" s="140"/>
      <c r="BT30" s="62"/>
      <c r="BU30" s="62"/>
      <c r="BV30" s="143"/>
      <c r="BW30" s="143"/>
      <c r="BX30" s="143"/>
      <c r="BY30" s="143"/>
      <c r="BZ30" s="143"/>
      <c r="CA30" s="143"/>
      <c r="CB30" s="141"/>
      <c r="CC30" s="141"/>
      <c r="CD30" s="62">
        <f t="shared" si="19"/>
        <v>0</v>
      </c>
      <c r="CE30" s="62"/>
      <c r="CF30" s="123">
        <f>'PROY. INTER'!BY30</f>
        <v>0</v>
      </c>
      <c r="CG30" s="62">
        <f t="shared" si="20"/>
        <v>0</v>
      </c>
      <c r="CH30" s="62">
        <f t="shared" si="21"/>
        <v>0</v>
      </c>
      <c r="CI30" s="64">
        <f t="shared" si="22"/>
        <v>0</v>
      </c>
      <c r="CK30" s="2"/>
      <c r="CM30" s="126">
        <v>19.0</v>
      </c>
      <c r="CN30" s="127" t="str">
        <f t="shared" ref="CN30:CO30" si="99">B30</f>
        <v/>
      </c>
      <c r="CO30" s="128" t="str">
        <f t="shared" si="99"/>
        <v>Roman Arreaga Stefani Asley</v>
      </c>
      <c r="CP30" s="129">
        <f t="shared" si="24"/>
        <v>8.92</v>
      </c>
      <c r="CQ30" s="129">
        <f t="shared" si="25"/>
        <v>7.6</v>
      </c>
      <c r="CR30" s="129">
        <f t="shared" si="26"/>
        <v>0</v>
      </c>
      <c r="CS30" s="130">
        <f t="shared" si="27"/>
        <v>5.5</v>
      </c>
      <c r="CT30" s="131" t="str">
        <f t="shared" si="28"/>
        <v>SUPLETORIO</v>
      </c>
      <c r="CV30" s="2"/>
      <c r="CX30" s="132">
        <v>19.0</v>
      </c>
      <c r="CY30" s="133" t="str">
        <f t="shared" ref="CY30:CZ30" si="100">B30</f>
        <v/>
      </c>
      <c r="CZ30" s="134" t="str">
        <f t="shared" si="100"/>
        <v>Roman Arreaga Stefani Asley</v>
      </c>
      <c r="DA30" s="244">
        <f t="shared" si="30"/>
        <v>5.5</v>
      </c>
      <c r="DB30" s="136"/>
      <c r="DC30" s="137">
        <f t="shared" si="31"/>
        <v>5.5</v>
      </c>
      <c r="DD30" s="138" t="str">
        <f t="shared" si="32"/>
        <v>NO PROMOVIDO</v>
      </c>
    </row>
    <row r="31" ht="15.75" customHeight="1">
      <c r="A31" s="56">
        <v>20.0</v>
      </c>
      <c r="B31" s="57" t="str">
        <f>LEN!B31</f>
        <v/>
      </c>
      <c r="C31" s="57" t="str">
        <f>LEN!C31</f>
        <v>Sánchez Ponce Sandra Stefania</v>
      </c>
      <c r="D31" s="139">
        <v>8.0</v>
      </c>
      <c r="E31" s="140"/>
      <c r="F31" s="139">
        <v>8.0</v>
      </c>
      <c r="G31" s="140"/>
      <c r="H31" s="139">
        <v>8.0</v>
      </c>
      <c r="I31" s="139">
        <v>10.0</v>
      </c>
      <c r="J31" s="140"/>
      <c r="K31" s="139">
        <v>10.0</v>
      </c>
      <c r="L31" s="62"/>
      <c r="M31" s="62"/>
      <c r="N31" s="143"/>
      <c r="O31" s="143"/>
      <c r="P31" s="143"/>
      <c r="Q31" s="143"/>
      <c r="R31" s="143"/>
      <c r="S31" s="143"/>
      <c r="T31" s="141"/>
      <c r="U31" s="141"/>
      <c r="V31" s="62">
        <f t="shared" si="9"/>
        <v>6.16</v>
      </c>
      <c r="W31" s="121">
        <v>8.0</v>
      </c>
      <c r="X31" s="123">
        <f>'PROY. INTER'!W31</f>
        <v>10</v>
      </c>
      <c r="Y31" s="62">
        <f t="shared" si="10"/>
        <v>9</v>
      </c>
      <c r="Z31" s="62">
        <f t="shared" si="11"/>
        <v>2.7</v>
      </c>
      <c r="AA31" s="64">
        <f t="shared" si="12"/>
        <v>8.86</v>
      </c>
      <c r="AC31" s="2"/>
      <c r="AE31" s="56">
        <v>20.0</v>
      </c>
      <c r="AF31" s="124" t="str">
        <f t="shared" ref="AF31:AG31" si="101">B31</f>
        <v/>
      </c>
      <c r="AG31" s="65" t="str">
        <f t="shared" si="101"/>
        <v>Sánchez Ponce Sandra Stefania</v>
      </c>
      <c r="AH31" s="140"/>
      <c r="AI31" s="199">
        <v>10.0</v>
      </c>
      <c r="AJ31" s="199">
        <v>10.0</v>
      </c>
      <c r="AK31" s="140"/>
      <c r="AL31" s="140"/>
      <c r="AM31" s="140"/>
      <c r="AN31" s="140"/>
      <c r="AO31" s="140"/>
      <c r="AP31" s="121">
        <v>10.0</v>
      </c>
      <c r="AQ31" s="62"/>
      <c r="AR31" s="62"/>
      <c r="AS31" s="143"/>
      <c r="AT31" s="143"/>
      <c r="AU31" s="143"/>
      <c r="AV31" s="143"/>
      <c r="AW31" s="143"/>
      <c r="AX31" s="141"/>
      <c r="AY31" s="141"/>
      <c r="AZ31" s="62">
        <f t="shared" si="14"/>
        <v>7</v>
      </c>
      <c r="BA31" s="121">
        <v>9.0</v>
      </c>
      <c r="BB31" s="123">
        <f>'PROY. INTER'!AX31</f>
        <v>10</v>
      </c>
      <c r="BC31" s="62">
        <f t="shared" si="15"/>
        <v>9.5</v>
      </c>
      <c r="BD31" s="62">
        <f t="shared" si="16"/>
        <v>2.85</v>
      </c>
      <c r="BE31" s="64">
        <f t="shared" si="17"/>
        <v>9.85</v>
      </c>
      <c r="BG31" s="2"/>
      <c r="BI31" s="56">
        <v>20.0</v>
      </c>
      <c r="BJ31" s="124" t="str">
        <f t="shared" ref="BJ31:BK31" si="102">B31</f>
        <v/>
      </c>
      <c r="BK31" s="125" t="str">
        <f t="shared" si="102"/>
        <v>Sánchez Ponce Sandra Stefania</v>
      </c>
      <c r="BL31" s="140"/>
      <c r="BM31" s="140"/>
      <c r="BN31" s="140"/>
      <c r="BO31" s="140"/>
      <c r="BP31" s="140"/>
      <c r="BQ31" s="140"/>
      <c r="BR31" s="140"/>
      <c r="BS31" s="140"/>
      <c r="BT31" s="62"/>
      <c r="BU31" s="62"/>
      <c r="BV31" s="143"/>
      <c r="BW31" s="143"/>
      <c r="BX31" s="143"/>
      <c r="BY31" s="143"/>
      <c r="BZ31" s="143"/>
      <c r="CA31" s="143"/>
      <c r="CB31" s="141"/>
      <c r="CC31" s="141"/>
      <c r="CD31" s="62">
        <f t="shared" si="19"/>
        <v>0</v>
      </c>
      <c r="CE31" s="62"/>
      <c r="CF31" s="123">
        <f>'PROY. INTER'!BY31</f>
        <v>0</v>
      </c>
      <c r="CG31" s="62">
        <f t="shared" si="20"/>
        <v>0</v>
      </c>
      <c r="CH31" s="62">
        <f t="shared" si="21"/>
        <v>0</v>
      </c>
      <c r="CI31" s="64">
        <f t="shared" si="22"/>
        <v>0</v>
      </c>
      <c r="CK31" s="2"/>
      <c r="CM31" s="126">
        <v>20.0</v>
      </c>
      <c r="CN31" s="127" t="str">
        <f t="shared" ref="CN31:CO31" si="103">B31</f>
        <v/>
      </c>
      <c r="CO31" s="128" t="str">
        <f t="shared" si="103"/>
        <v>Sánchez Ponce Sandra Stefania</v>
      </c>
      <c r="CP31" s="129">
        <f t="shared" si="24"/>
        <v>8.86</v>
      </c>
      <c r="CQ31" s="129">
        <f t="shared" si="25"/>
        <v>9.85</v>
      </c>
      <c r="CR31" s="129">
        <f t="shared" si="26"/>
        <v>0</v>
      </c>
      <c r="CS31" s="130">
        <f t="shared" si="27"/>
        <v>6.23</v>
      </c>
      <c r="CT31" s="131" t="str">
        <f t="shared" si="28"/>
        <v>SUPLETORIO</v>
      </c>
      <c r="CV31" s="2"/>
      <c r="CX31" s="132">
        <v>20.0</v>
      </c>
      <c r="CY31" s="133" t="str">
        <f t="shared" ref="CY31:CZ31" si="104">B31</f>
        <v/>
      </c>
      <c r="CZ31" s="134" t="str">
        <f t="shared" si="104"/>
        <v>Sánchez Ponce Sandra Stefania</v>
      </c>
      <c r="DA31" s="244">
        <f t="shared" si="30"/>
        <v>6.23</v>
      </c>
      <c r="DB31" s="136"/>
      <c r="DC31" s="137">
        <f t="shared" si="31"/>
        <v>6.23</v>
      </c>
      <c r="DD31" s="138" t="str">
        <f t="shared" si="32"/>
        <v>NO PROMOVIDO</v>
      </c>
    </row>
    <row r="32" ht="15.75" customHeight="1">
      <c r="A32" s="56">
        <v>21.0</v>
      </c>
      <c r="B32" s="57" t="str">
        <f>LEN!B32</f>
        <v/>
      </c>
      <c r="C32" s="57" t="str">
        <f>LEN!C32</f>
        <v>Torres Vera Anderson</v>
      </c>
      <c r="D32" s="139">
        <v>8.0</v>
      </c>
      <c r="E32" s="140"/>
      <c r="F32" s="139">
        <v>10.0</v>
      </c>
      <c r="G32" s="140"/>
      <c r="H32" s="139">
        <v>10.0</v>
      </c>
      <c r="I32" s="139">
        <v>10.0</v>
      </c>
      <c r="J32" s="140"/>
      <c r="K32" s="139">
        <v>10.0</v>
      </c>
      <c r="L32" s="62"/>
      <c r="M32" s="62"/>
      <c r="N32" s="143"/>
      <c r="O32" s="143"/>
      <c r="P32" s="143"/>
      <c r="Q32" s="143"/>
      <c r="R32" s="143"/>
      <c r="S32" s="143"/>
      <c r="T32" s="141"/>
      <c r="U32" s="141"/>
      <c r="V32" s="62">
        <f t="shared" si="9"/>
        <v>6.72</v>
      </c>
      <c r="W32" s="121">
        <v>7.0</v>
      </c>
      <c r="X32" s="123">
        <f>'PROY. INTER'!W32</f>
        <v>6.47</v>
      </c>
      <c r="Y32" s="62">
        <f t="shared" si="10"/>
        <v>6.735</v>
      </c>
      <c r="Z32" s="62">
        <f t="shared" si="11"/>
        <v>2.0205</v>
      </c>
      <c r="AA32" s="64">
        <f t="shared" si="12"/>
        <v>8.74</v>
      </c>
      <c r="AC32" s="2"/>
      <c r="AE32" s="56">
        <v>21.0</v>
      </c>
      <c r="AF32" s="124" t="str">
        <f t="shared" ref="AF32:AG32" si="105">B32</f>
        <v/>
      </c>
      <c r="AG32" s="65" t="str">
        <f t="shared" si="105"/>
        <v>Torres Vera Anderson</v>
      </c>
      <c r="AH32" s="140"/>
      <c r="AI32" s="199">
        <v>10.0</v>
      </c>
      <c r="AJ32" s="199">
        <v>7.0</v>
      </c>
      <c r="AK32" s="140"/>
      <c r="AL32" s="140"/>
      <c r="AM32" s="140"/>
      <c r="AN32" s="140"/>
      <c r="AO32" s="140"/>
      <c r="AP32" s="121">
        <v>8.0</v>
      </c>
      <c r="AQ32" s="62"/>
      <c r="AR32" s="62"/>
      <c r="AS32" s="143"/>
      <c r="AT32" s="143"/>
      <c r="AU32" s="143"/>
      <c r="AV32" s="143"/>
      <c r="AW32" s="143"/>
      <c r="AX32" s="141"/>
      <c r="AY32" s="141"/>
      <c r="AZ32" s="62">
        <f t="shared" si="14"/>
        <v>5.831</v>
      </c>
      <c r="BA32" s="121">
        <v>8.0</v>
      </c>
      <c r="BB32" s="123">
        <f>'PROY. INTER'!AX32</f>
        <v>10</v>
      </c>
      <c r="BC32" s="62">
        <f t="shared" si="15"/>
        <v>9</v>
      </c>
      <c r="BD32" s="62">
        <f t="shared" si="16"/>
        <v>2.7</v>
      </c>
      <c r="BE32" s="64">
        <f t="shared" si="17"/>
        <v>8.53</v>
      </c>
      <c r="BG32" s="2"/>
      <c r="BI32" s="56">
        <v>21.0</v>
      </c>
      <c r="BJ32" s="124" t="str">
        <f t="shared" ref="BJ32:BK32" si="106">B32</f>
        <v/>
      </c>
      <c r="BK32" s="125" t="str">
        <f t="shared" si="106"/>
        <v>Torres Vera Anderson</v>
      </c>
      <c r="BL32" s="140"/>
      <c r="BM32" s="140"/>
      <c r="BN32" s="140"/>
      <c r="BO32" s="140"/>
      <c r="BP32" s="140"/>
      <c r="BQ32" s="140"/>
      <c r="BR32" s="140"/>
      <c r="BS32" s="140"/>
      <c r="BT32" s="62"/>
      <c r="BU32" s="62"/>
      <c r="BV32" s="143"/>
      <c r="BW32" s="143"/>
      <c r="BX32" s="143"/>
      <c r="BY32" s="143"/>
      <c r="BZ32" s="143"/>
      <c r="CA32" s="143"/>
      <c r="CB32" s="141"/>
      <c r="CC32" s="141"/>
      <c r="CD32" s="62">
        <f t="shared" si="19"/>
        <v>0</v>
      </c>
      <c r="CE32" s="62"/>
      <c r="CF32" s="123">
        <f>'PROY. INTER'!BY32</f>
        <v>0</v>
      </c>
      <c r="CG32" s="62">
        <f t="shared" si="20"/>
        <v>0</v>
      </c>
      <c r="CH32" s="62">
        <f t="shared" si="21"/>
        <v>0</v>
      </c>
      <c r="CI32" s="64">
        <f t="shared" si="22"/>
        <v>0</v>
      </c>
      <c r="CK32" s="2"/>
      <c r="CM32" s="126">
        <v>21.0</v>
      </c>
      <c r="CN32" s="127" t="str">
        <f t="shared" ref="CN32:CO32" si="107">B32</f>
        <v/>
      </c>
      <c r="CO32" s="128" t="str">
        <f t="shared" si="107"/>
        <v>Torres Vera Anderson</v>
      </c>
      <c r="CP32" s="129">
        <f t="shared" si="24"/>
        <v>8.74</v>
      </c>
      <c r="CQ32" s="129">
        <f t="shared" si="25"/>
        <v>8.53</v>
      </c>
      <c r="CR32" s="129">
        <f t="shared" si="26"/>
        <v>0</v>
      </c>
      <c r="CS32" s="130">
        <f t="shared" si="27"/>
        <v>5.75</v>
      </c>
      <c r="CT32" s="131" t="str">
        <f t="shared" si="28"/>
        <v>SUPLETORIO</v>
      </c>
      <c r="CV32" s="2"/>
      <c r="CX32" s="132">
        <v>21.0</v>
      </c>
      <c r="CY32" s="133" t="str">
        <f t="shared" ref="CY32:CZ32" si="108">B32</f>
        <v/>
      </c>
      <c r="CZ32" s="134" t="str">
        <f t="shared" si="108"/>
        <v>Torres Vera Anderson</v>
      </c>
      <c r="DA32" s="244">
        <f t="shared" si="30"/>
        <v>5.75</v>
      </c>
      <c r="DB32" s="136"/>
      <c r="DC32" s="137">
        <f t="shared" si="31"/>
        <v>5.75</v>
      </c>
      <c r="DD32" s="138" t="str">
        <f t="shared" si="32"/>
        <v>NO PROMOVIDO</v>
      </c>
    </row>
    <row r="33" ht="15.75" customHeight="1">
      <c r="A33" s="56">
        <v>22.0</v>
      </c>
      <c r="B33" s="57" t="str">
        <f>LEN!B33</f>
        <v/>
      </c>
      <c r="C33" s="57" t="str">
        <f>LEN!C33</f>
        <v>Valero Pefiafiel Carlos José</v>
      </c>
      <c r="D33" s="139">
        <v>8.0</v>
      </c>
      <c r="E33" s="140"/>
      <c r="F33" s="139">
        <v>8.0</v>
      </c>
      <c r="G33" s="140"/>
      <c r="H33" s="139">
        <v>8.0</v>
      </c>
      <c r="I33" s="139">
        <v>10.0</v>
      </c>
      <c r="J33" s="140"/>
      <c r="K33" s="139">
        <v>10.0</v>
      </c>
      <c r="L33" s="62"/>
      <c r="M33" s="62"/>
      <c r="N33" s="143"/>
      <c r="O33" s="143"/>
      <c r="P33" s="143"/>
      <c r="Q33" s="143"/>
      <c r="R33" s="143"/>
      <c r="S33" s="143"/>
      <c r="T33" s="141"/>
      <c r="U33" s="141"/>
      <c r="V33" s="62">
        <f t="shared" si="9"/>
        <v>6.16</v>
      </c>
      <c r="W33" s="121">
        <v>8.0</v>
      </c>
      <c r="X33" s="123">
        <f>'PROY. INTER'!W33</f>
        <v>9.2</v>
      </c>
      <c r="Y33" s="62">
        <f t="shared" si="10"/>
        <v>8.6</v>
      </c>
      <c r="Z33" s="62">
        <f t="shared" si="11"/>
        <v>2.58</v>
      </c>
      <c r="AA33" s="64">
        <f t="shared" si="12"/>
        <v>8.74</v>
      </c>
      <c r="AC33" s="2"/>
      <c r="AE33" s="56">
        <v>22.0</v>
      </c>
      <c r="AF33" s="124" t="str">
        <f t="shared" ref="AF33:AG33" si="109">B33</f>
        <v/>
      </c>
      <c r="AG33" s="65" t="str">
        <f t="shared" si="109"/>
        <v>Valero Pefiafiel Carlos José</v>
      </c>
      <c r="AH33" s="140"/>
      <c r="AI33" s="199">
        <v>7.0</v>
      </c>
      <c r="AJ33" s="199">
        <v>7.0</v>
      </c>
      <c r="AK33" s="140"/>
      <c r="AL33" s="140"/>
      <c r="AM33" s="140"/>
      <c r="AN33" s="140"/>
      <c r="AO33" s="140"/>
      <c r="AP33" s="121">
        <v>8.0</v>
      </c>
      <c r="AQ33" s="62"/>
      <c r="AR33" s="62"/>
      <c r="AS33" s="143"/>
      <c r="AT33" s="143"/>
      <c r="AU33" s="143"/>
      <c r="AV33" s="143"/>
      <c r="AW33" s="143"/>
      <c r="AX33" s="141"/>
      <c r="AY33" s="141"/>
      <c r="AZ33" s="62">
        <f t="shared" si="14"/>
        <v>5.131</v>
      </c>
      <c r="BA33" s="121">
        <v>8.0</v>
      </c>
      <c r="BB33" s="123">
        <f>'PROY. INTER'!AX33</f>
        <v>10</v>
      </c>
      <c r="BC33" s="62">
        <f t="shared" si="15"/>
        <v>9</v>
      </c>
      <c r="BD33" s="62">
        <f t="shared" si="16"/>
        <v>2.7</v>
      </c>
      <c r="BE33" s="64">
        <f t="shared" si="17"/>
        <v>7.83</v>
      </c>
      <c r="BG33" s="2"/>
      <c r="BI33" s="56">
        <v>22.0</v>
      </c>
      <c r="BJ33" s="124" t="str">
        <f t="shared" ref="BJ33:BK33" si="110">B33</f>
        <v/>
      </c>
      <c r="BK33" s="125" t="str">
        <f t="shared" si="110"/>
        <v>Valero Pefiafiel Carlos José</v>
      </c>
      <c r="BL33" s="140"/>
      <c r="BM33" s="140"/>
      <c r="BN33" s="140"/>
      <c r="BO33" s="140"/>
      <c r="BP33" s="140"/>
      <c r="BQ33" s="140"/>
      <c r="BR33" s="140"/>
      <c r="BS33" s="140"/>
      <c r="BT33" s="62"/>
      <c r="BU33" s="62"/>
      <c r="BV33" s="143"/>
      <c r="BW33" s="143"/>
      <c r="BX33" s="143"/>
      <c r="BY33" s="143"/>
      <c r="BZ33" s="143"/>
      <c r="CA33" s="143"/>
      <c r="CB33" s="141"/>
      <c r="CC33" s="141"/>
      <c r="CD33" s="62">
        <f t="shared" si="19"/>
        <v>0</v>
      </c>
      <c r="CE33" s="62"/>
      <c r="CF33" s="123">
        <f>'PROY. INTER'!BY33</f>
        <v>0</v>
      </c>
      <c r="CG33" s="62">
        <f t="shared" si="20"/>
        <v>0</v>
      </c>
      <c r="CH33" s="62">
        <f t="shared" si="21"/>
        <v>0</v>
      </c>
      <c r="CI33" s="64">
        <f t="shared" si="22"/>
        <v>0</v>
      </c>
      <c r="CK33" s="2"/>
      <c r="CM33" s="126">
        <v>22.0</v>
      </c>
      <c r="CN33" s="127" t="str">
        <f t="shared" ref="CN33:CO33" si="111">B33</f>
        <v/>
      </c>
      <c r="CO33" s="128" t="str">
        <f t="shared" si="111"/>
        <v>Valero Pefiafiel Carlos José</v>
      </c>
      <c r="CP33" s="129">
        <f t="shared" si="24"/>
        <v>8.74</v>
      </c>
      <c r="CQ33" s="129">
        <f t="shared" si="25"/>
        <v>7.83</v>
      </c>
      <c r="CR33" s="129">
        <f t="shared" si="26"/>
        <v>0</v>
      </c>
      <c r="CS33" s="130">
        <f t="shared" si="27"/>
        <v>5.52</v>
      </c>
      <c r="CT33" s="131" t="str">
        <f t="shared" si="28"/>
        <v>SUPLETORIO</v>
      </c>
      <c r="CV33" s="2"/>
      <c r="CX33" s="132">
        <v>22.0</v>
      </c>
      <c r="CY33" s="133" t="str">
        <f t="shared" ref="CY33:CZ33" si="112">B33</f>
        <v/>
      </c>
      <c r="CZ33" s="134" t="str">
        <f t="shared" si="112"/>
        <v>Valero Pefiafiel Carlos José</v>
      </c>
      <c r="DA33" s="244">
        <f t="shared" si="30"/>
        <v>5.52</v>
      </c>
      <c r="DB33" s="136"/>
      <c r="DC33" s="137">
        <f t="shared" si="31"/>
        <v>5.52</v>
      </c>
      <c r="DD33" s="138" t="str">
        <f t="shared" si="32"/>
        <v>NO PROMOVIDO</v>
      </c>
    </row>
    <row r="34" ht="15.75" customHeight="1">
      <c r="A34" s="56">
        <v>23.0</v>
      </c>
      <c r="B34" s="57" t="str">
        <f>LEN!B34</f>
        <v/>
      </c>
      <c r="C34" s="57" t="str">
        <f>LEN!C34</f>
        <v>Veliz chicaiza Alex isaac</v>
      </c>
      <c r="D34" s="139">
        <v>8.0</v>
      </c>
      <c r="E34" s="140"/>
      <c r="F34" s="139">
        <v>8.0</v>
      </c>
      <c r="G34" s="140"/>
      <c r="H34" s="139">
        <v>8.0</v>
      </c>
      <c r="I34" s="139">
        <v>10.0</v>
      </c>
      <c r="J34" s="140"/>
      <c r="K34" s="139">
        <v>8.0</v>
      </c>
      <c r="L34" s="62"/>
      <c r="M34" s="62"/>
      <c r="N34" s="143"/>
      <c r="O34" s="143"/>
      <c r="P34" s="143"/>
      <c r="Q34" s="143"/>
      <c r="R34" s="143"/>
      <c r="S34" s="143"/>
      <c r="T34" s="141"/>
      <c r="U34" s="141"/>
      <c r="V34" s="62">
        <f t="shared" si="9"/>
        <v>5.88</v>
      </c>
      <c r="W34" s="121">
        <v>7.0</v>
      </c>
      <c r="X34" s="123">
        <f>'PROY. INTER'!W34</f>
        <v>7.33</v>
      </c>
      <c r="Y34" s="62">
        <f t="shared" si="10"/>
        <v>7.165</v>
      </c>
      <c r="Z34" s="62">
        <f t="shared" si="11"/>
        <v>2.1495</v>
      </c>
      <c r="AA34" s="64">
        <f t="shared" si="12"/>
        <v>8.02</v>
      </c>
      <c r="AC34" s="2"/>
      <c r="AE34" s="56">
        <v>23.0</v>
      </c>
      <c r="AF34" s="124" t="str">
        <f t="shared" ref="AF34:AG34" si="113">B34</f>
        <v/>
      </c>
      <c r="AG34" s="65" t="str">
        <f t="shared" si="113"/>
        <v>Veliz chicaiza Alex isaac</v>
      </c>
      <c r="AH34" s="140"/>
      <c r="AI34" s="197">
        <v>7.5</v>
      </c>
      <c r="AJ34" s="197">
        <v>7.5</v>
      </c>
      <c r="AK34" s="140"/>
      <c r="AL34" s="140"/>
      <c r="AM34" s="140"/>
      <c r="AN34" s="140"/>
      <c r="AO34" s="140"/>
      <c r="AP34" s="121">
        <v>8.0</v>
      </c>
      <c r="AQ34" s="62"/>
      <c r="AR34" s="62"/>
      <c r="AS34" s="143"/>
      <c r="AT34" s="143"/>
      <c r="AU34" s="143"/>
      <c r="AV34" s="143"/>
      <c r="AW34" s="143"/>
      <c r="AX34" s="141"/>
      <c r="AY34" s="141"/>
      <c r="AZ34" s="62">
        <f t="shared" si="14"/>
        <v>5.362</v>
      </c>
      <c r="BA34" s="121">
        <v>8.0</v>
      </c>
      <c r="BB34" s="123">
        <f>'PROY. INTER'!AX34</f>
        <v>10</v>
      </c>
      <c r="BC34" s="62">
        <f t="shared" si="15"/>
        <v>9</v>
      </c>
      <c r="BD34" s="62">
        <f t="shared" si="16"/>
        <v>2.7</v>
      </c>
      <c r="BE34" s="64">
        <f t="shared" si="17"/>
        <v>8.06</v>
      </c>
      <c r="BG34" s="2"/>
      <c r="BI34" s="56">
        <v>23.0</v>
      </c>
      <c r="BJ34" s="124" t="str">
        <f t="shared" ref="BJ34:BK34" si="114">B34</f>
        <v/>
      </c>
      <c r="BK34" s="125" t="str">
        <f t="shared" si="114"/>
        <v>Veliz chicaiza Alex isaac</v>
      </c>
      <c r="BL34" s="140"/>
      <c r="BM34" s="140"/>
      <c r="BN34" s="140"/>
      <c r="BO34" s="140"/>
      <c r="BP34" s="140"/>
      <c r="BQ34" s="140"/>
      <c r="BR34" s="140"/>
      <c r="BS34" s="140"/>
      <c r="BT34" s="62"/>
      <c r="BU34" s="62"/>
      <c r="BV34" s="143"/>
      <c r="BW34" s="143"/>
      <c r="BX34" s="143"/>
      <c r="BY34" s="143"/>
      <c r="BZ34" s="143"/>
      <c r="CA34" s="143"/>
      <c r="CB34" s="141"/>
      <c r="CC34" s="141"/>
      <c r="CD34" s="62">
        <f t="shared" si="19"/>
        <v>0</v>
      </c>
      <c r="CE34" s="62"/>
      <c r="CF34" s="123">
        <f>'PROY. INTER'!BY34</f>
        <v>0</v>
      </c>
      <c r="CG34" s="62">
        <f t="shared" si="20"/>
        <v>0</v>
      </c>
      <c r="CH34" s="62">
        <f t="shared" si="21"/>
        <v>0</v>
      </c>
      <c r="CI34" s="64">
        <f t="shared" si="22"/>
        <v>0</v>
      </c>
      <c r="CK34" s="2"/>
      <c r="CM34" s="126">
        <v>23.0</v>
      </c>
      <c r="CN34" s="127" t="str">
        <f t="shared" ref="CN34:CO34" si="115">B34</f>
        <v/>
      </c>
      <c r="CO34" s="128" t="str">
        <f t="shared" si="115"/>
        <v>Veliz chicaiza Alex isaac</v>
      </c>
      <c r="CP34" s="129">
        <f t="shared" si="24"/>
        <v>8.02</v>
      </c>
      <c r="CQ34" s="129">
        <f t="shared" si="25"/>
        <v>8.06</v>
      </c>
      <c r="CR34" s="129">
        <f t="shared" si="26"/>
        <v>0</v>
      </c>
      <c r="CS34" s="130">
        <f t="shared" si="27"/>
        <v>5.36</v>
      </c>
      <c r="CT34" s="131" t="str">
        <f t="shared" si="28"/>
        <v>SUPLETORIO</v>
      </c>
      <c r="CV34" s="2"/>
      <c r="CX34" s="132">
        <v>23.0</v>
      </c>
      <c r="CY34" s="133" t="str">
        <f t="shared" ref="CY34:CZ34" si="116">B34</f>
        <v/>
      </c>
      <c r="CZ34" s="134" t="str">
        <f t="shared" si="116"/>
        <v>Veliz chicaiza Alex isaac</v>
      </c>
      <c r="DA34" s="244">
        <f t="shared" si="30"/>
        <v>5.36</v>
      </c>
      <c r="DB34" s="136"/>
      <c r="DC34" s="137">
        <f t="shared" si="31"/>
        <v>5.36</v>
      </c>
      <c r="DD34" s="138" t="str">
        <f t="shared" si="32"/>
        <v>NO PROMOVIDO</v>
      </c>
    </row>
    <row r="35" ht="15.75" customHeight="1">
      <c r="A35" s="56">
        <v>24.0</v>
      </c>
      <c r="B35" s="57" t="str">
        <f>LEN!B35</f>
        <v/>
      </c>
      <c r="C35" s="57" t="str">
        <f>LEN!C35</f>
        <v>Zambrano Zhicay Victor Humberto</v>
      </c>
      <c r="D35" s="139">
        <v>8.0</v>
      </c>
      <c r="E35" s="140"/>
      <c r="F35" s="139">
        <v>8.0</v>
      </c>
      <c r="G35" s="140"/>
      <c r="H35" s="139">
        <v>8.0</v>
      </c>
      <c r="I35" s="139">
        <v>10.0</v>
      </c>
      <c r="J35" s="140"/>
      <c r="K35" s="139">
        <v>10.0</v>
      </c>
      <c r="L35" s="62"/>
      <c r="M35" s="62"/>
      <c r="N35" s="143"/>
      <c r="O35" s="143"/>
      <c r="P35" s="143"/>
      <c r="Q35" s="143"/>
      <c r="R35" s="143"/>
      <c r="S35" s="143"/>
      <c r="T35" s="141"/>
      <c r="U35" s="141"/>
      <c r="V35" s="62">
        <f t="shared" si="9"/>
        <v>6.16</v>
      </c>
      <c r="W35" s="121">
        <v>7.0</v>
      </c>
      <c r="X35" s="123">
        <f>'PROY. INTER'!W35</f>
        <v>9.73</v>
      </c>
      <c r="Y35" s="62">
        <f t="shared" si="10"/>
        <v>8.365</v>
      </c>
      <c r="Z35" s="62">
        <f t="shared" si="11"/>
        <v>2.5095</v>
      </c>
      <c r="AA35" s="64">
        <f t="shared" si="12"/>
        <v>8.66</v>
      </c>
      <c r="AC35" s="2"/>
      <c r="AE35" s="56">
        <v>24.0</v>
      </c>
      <c r="AF35" s="124" t="str">
        <f t="shared" ref="AF35:AG35" si="117">B35</f>
        <v/>
      </c>
      <c r="AG35" s="65" t="str">
        <f t="shared" si="117"/>
        <v>Zambrano Zhicay Victor Humberto</v>
      </c>
      <c r="AH35" s="140"/>
      <c r="AI35" s="197">
        <v>10.0</v>
      </c>
      <c r="AJ35" s="197">
        <v>10.0</v>
      </c>
      <c r="AK35" s="140"/>
      <c r="AL35" s="140"/>
      <c r="AM35" s="140"/>
      <c r="AN35" s="140"/>
      <c r="AO35" s="140"/>
      <c r="AP35" s="121">
        <v>10.0</v>
      </c>
      <c r="AQ35" s="62"/>
      <c r="AR35" s="62"/>
      <c r="AS35" s="143"/>
      <c r="AT35" s="143"/>
      <c r="AU35" s="143"/>
      <c r="AV35" s="143"/>
      <c r="AW35" s="143"/>
      <c r="AX35" s="141"/>
      <c r="AY35" s="141"/>
      <c r="AZ35" s="62">
        <f t="shared" si="14"/>
        <v>7</v>
      </c>
      <c r="BA35" s="121">
        <v>8.0</v>
      </c>
      <c r="BB35" s="123">
        <f>'PROY. INTER'!AX35</f>
        <v>10</v>
      </c>
      <c r="BC35" s="62">
        <f t="shared" si="15"/>
        <v>9</v>
      </c>
      <c r="BD35" s="62">
        <f t="shared" si="16"/>
        <v>2.7</v>
      </c>
      <c r="BE35" s="64">
        <f t="shared" si="17"/>
        <v>9.7</v>
      </c>
      <c r="BG35" s="2"/>
      <c r="BI35" s="56">
        <v>24.0</v>
      </c>
      <c r="BJ35" s="124" t="str">
        <f t="shared" ref="BJ35:BK35" si="118">B35</f>
        <v/>
      </c>
      <c r="BK35" s="125" t="str">
        <f t="shared" si="118"/>
        <v>Zambrano Zhicay Victor Humberto</v>
      </c>
      <c r="BL35" s="140"/>
      <c r="BM35" s="140"/>
      <c r="BN35" s="140"/>
      <c r="BO35" s="140"/>
      <c r="BP35" s="140"/>
      <c r="BQ35" s="140"/>
      <c r="BR35" s="140"/>
      <c r="BS35" s="140"/>
      <c r="BT35" s="62"/>
      <c r="BU35" s="62"/>
      <c r="BV35" s="143"/>
      <c r="BW35" s="143"/>
      <c r="BX35" s="143"/>
      <c r="BY35" s="143"/>
      <c r="BZ35" s="143"/>
      <c r="CA35" s="143"/>
      <c r="CB35" s="141"/>
      <c r="CC35" s="141"/>
      <c r="CD35" s="62">
        <f t="shared" si="19"/>
        <v>0</v>
      </c>
      <c r="CE35" s="62"/>
      <c r="CF35" s="123">
        <f>'PROY. INTER'!BY35</f>
        <v>0</v>
      </c>
      <c r="CG35" s="62">
        <f t="shared" si="20"/>
        <v>0</v>
      </c>
      <c r="CH35" s="62">
        <f t="shared" si="21"/>
        <v>0</v>
      </c>
      <c r="CI35" s="64">
        <f t="shared" si="22"/>
        <v>0</v>
      </c>
      <c r="CK35" s="2"/>
      <c r="CM35" s="126">
        <v>24.0</v>
      </c>
      <c r="CN35" s="127" t="str">
        <f t="shared" ref="CN35:CO35" si="119">B35</f>
        <v/>
      </c>
      <c r="CO35" s="128" t="str">
        <f t="shared" si="119"/>
        <v>Zambrano Zhicay Victor Humberto</v>
      </c>
      <c r="CP35" s="129">
        <f t="shared" si="24"/>
        <v>8.66</v>
      </c>
      <c r="CQ35" s="129">
        <f t="shared" si="25"/>
        <v>9.7</v>
      </c>
      <c r="CR35" s="129">
        <f t="shared" si="26"/>
        <v>0</v>
      </c>
      <c r="CS35" s="130">
        <f t="shared" si="27"/>
        <v>6.12</v>
      </c>
      <c r="CT35" s="131" t="str">
        <f t="shared" si="28"/>
        <v>SUPLETORIO</v>
      </c>
      <c r="CV35" s="2"/>
      <c r="CX35" s="132">
        <v>24.0</v>
      </c>
      <c r="CY35" s="133" t="str">
        <f t="shared" ref="CY35:CZ35" si="120">B35</f>
        <v/>
      </c>
      <c r="CZ35" s="134" t="str">
        <f t="shared" si="120"/>
        <v>Zambrano Zhicay Victor Humberto</v>
      </c>
      <c r="DA35" s="244">
        <f t="shared" si="30"/>
        <v>6.12</v>
      </c>
      <c r="DB35" s="136"/>
      <c r="DC35" s="137">
        <f t="shared" si="31"/>
        <v>6.12</v>
      </c>
      <c r="DD35" s="138" t="str">
        <f t="shared" si="32"/>
        <v>NO PROMOVIDO</v>
      </c>
    </row>
    <row r="36" ht="15.75" customHeight="1">
      <c r="A36" s="56">
        <v>25.0</v>
      </c>
      <c r="B36" s="57" t="str">
        <f>LEN!B36</f>
        <v/>
      </c>
      <c r="C36" s="57" t="str">
        <f>LEN!C36</f>
        <v/>
      </c>
      <c r="D36" s="140"/>
      <c r="E36" s="140"/>
      <c r="F36" s="140"/>
      <c r="G36" s="140"/>
      <c r="H36" s="140"/>
      <c r="I36" s="140"/>
      <c r="J36" s="140"/>
      <c r="K36" s="140"/>
      <c r="L36" s="62"/>
      <c r="M36" s="62"/>
      <c r="N36" s="143"/>
      <c r="O36" s="143"/>
      <c r="P36" s="143"/>
      <c r="Q36" s="143"/>
      <c r="R36" s="143"/>
      <c r="S36" s="143"/>
      <c r="T36" s="141"/>
      <c r="U36" s="141"/>
      <c r="V36" s="62">
        <f t="shared" si="9"/>
        <v>0</v>
      </c>
      <c r="W36" s="62"/>
      <c r="X36" s="123">
        <f>'PROY. INTER'!W36</f>
        <v>0</v>
      </c>
      <c r="Y36" s="62">
        <f t="shared" si="10"/>
        <v>0</v>
      </c>
      <c r="Z36" s="62">
        <f t="shared" si="11"/>
        <v>0</v>
      </c>
      <c r="AA36" s="64">
        <f t="shared" si="12"/>
        <v>0</v>
      </c>
      <c r="AC36" s="2"/>
      <c r="AE36" s="56">
        <v>25.0</v>
      </c>
      <c r="AF36" s="124" t="str">
        <f t="shared" ref="AF36:AG36" si="121">B36</f>
        <v/>
      </c>
      <c r="AG36" s="65" t="str">
        <f t="shared" si="121"/>
        <v/>
      </c>
      <c r="AH36" s="140"/>
      <c r="AI36" s="140"/>
      <c r="AJ36" s="140"/>
      <c r="AK36" s="140"/>
      <c r="AL36" s="140"/>
      <c r="AM36" s="140"/>
      <c r="AN36" s="140"/>
      <c r="AO36" s="140"/>
      <c r="AP36" s="62"/>
      <c r="AQ36" s="62"/>
      <c r="AR36" s="62"/>
      <c r="AS36" s="143"/>
      <c r="AT36" s="143"/>
      <c r="AU36" s="143"/>
      <c r="AV36" s="143"/>
      <c r="AW36" s="143"/>
      <c r="AX36" s="141"/>
      <c r="AY36" s="141"/>
      <c r="AZ36" s="62">
        <f t="shared" si="14"/>
        <v>0</v>
      </c>
      <c r="BA36" s="62"/>
      <c r="BB36" s="123">
        <f>'PROY. INTER'!AX36</f>
        <v>0</v>
      </c>
      <c r="BC36" s="62">
        <f t="shared" si="15"/>
        <v>0</v>
      </c>
      <c r="BD36" s="62">
        <f t="shared" si="16"/>
        <v>0</v>
      </c>
      <c r="BE36" s="64">
        <f t="shared" si="17"/>
        <v>0</v>
      </c>
      <c r="BG36" s="2"/>
      <c r="BI36" s="56">
        <v>25.0</v>
      </c>
      <c r="BJ36" s="124" t="str">
        <f t="shared" ref="BJ36:BK36" si="122">B36</f>
        <v/>
      </c>
      <c r="BK36" s="125" t="str">
        <f t="shared" si="122"/>
        <v/>
      </c>
      <c r="BL36" s="140"/>
      <c r="BM36" s="140"/>
      <c r="BN36" s="140"/>
      <c r="BO36" s="140"/>
      <c r="BP36" s="140"/>
      <c r="BQ36" s="140"/>
      <c r="BR36" s="140"/>
      <c r="BS36" s="140"/>
      <c r="BT36" s="62"/>
      <c r="BU36" s="62"/>
      <c r="BV36" s="143"/>
      <c r="BW36" s="143"/>
      <c r="BX36" s="143"/>
      <c r="BY36" s="143"/>
      <c r="BZ36" s="143"/>
      <c r="CA36" s="143"/>
      <c r="CB36" s="141"/>
      <c r="CC36" s="141"/>
      <c r="CD36" s="62">
        <f t="shared" si="19"/>
        <v>0</v>
      </c>
      <c r="CE36" s="62"/>
      <c r="CF36" s="123">
        <f>'PROY. INTER'!BY36</f>
        <v>0</v>
      </c>
      <c r="CG36" s="62">
        <f t="shared" si="20"/>
        <v>0</v>
      </c>
      <c r="CH36" s="62">
        <f t="shared" si="21"/>
        <v>0</v>
      </c>
      <c r="CI36" s="64">
        <f t="shared" si="22"/>
        <v>0</v>
      </c>
      <c r="CK36" s="2"/>
      <c r="CM36" s="126">
        <v>25.0</v>
      </c>
      <c r="CN36" s="127" t="str">
        <f t="shared" ref="CN36:CO36" si="123">B36</f>
        <v/>
      </c>
      <c r="CO36" s="128" t="str">
        <f t="shared" si="123"/>
        <v/>
      </c>
      <c r="CP36" s="129">
        <f t="shared" si="24"/>
        <v>0</v>
      </c>
      <c r="CQ36" s="129">
        <f t="shared" si="25"/>
        <v>0</v>
      </c>
      <c r="CR36" s="129">
        <f t="shared" si="26"/>
        <v>0</v>
      </c>
      <c r="CS36" s="130">
        <f t="shared" si="27"/>
        <v>0</v>
      </c>
      <c r="CT36" s="131" t="str">
        <f t="shared" si="28"/>
        <v>REPROBADO</v>
      </c>
      <c r="CV36" s="2"/>
      <c r="CX36" s="132">
        <v>25.0</v>
      </c>
      <c r="CY36" s="133" t="str">
        <f t="shared" ref="CY36:CZ36" si="124">B36</f>
        <v/>
      </c>
      <c r="CZ36" s="134" t="str">
        <f t="shared" si="124"/>
        <v/>
      </c>
      <c r="DA36" s="244">
        <f t="shared" si="30"/>
        <v>0</v>
      </c>
      <c r="DB36" s="136"/>
      <c r="DC36" s="137">
        <f t="shared" si="31"/>
        <v>0</v>
      </c>
      <c r="DD36" s="138" t="str">
        <f t="shared" si="32"/>
        <v>NO PROMOVIDO</v>
      </c>
    </row>
    <row r="37" ht="15.75" customHeight="1">
      <c r="A37" s="56">
        <v>26.0</v>
      </c>
      <c r="B37" s="57" t="str">
        <f>LEN!B37</f>
        <v/>
      </c>
      <c r="C37" s="57" t="str">
        <f>LEN!C37</f>
        <v/>
      </c>
      <c r="D37" s="140"/>
      <c r="E37" s="140"/>
      <c r="F37" s="140"/>
      <c r="G37" s="140"/>
      <c r="H37" s="140"/>
      <c r="I37" s="140"/>
      <c r="J37" s="140"/>
      <c r="K37" s="140"/>
      <c r="L37" s="62"/>
      <c r="M37" s="62"/>
      <c r="N37" s="143"/>
      <c r="O37" s="143"/>
      <c r="P37" s="143"/>
      <c r="Q37" s="143"/>
      <c r="R37" s="143"/>
      <c r="S37" s="143"/>
      <c r="T37" s="141"/>
      <c r="U37" s="141"/>
      <c r="V37" s="62">
        <f t="shared" si="9"/>
        <v>0</v>
      </c>
      <c r="W37" s="62"/>
      <c r="X37" s="123">
        <f>'PROY. INTER'!W37</f>
        <v>0</v>
      </c>
      <c r="Y37" s="62">
        <f t="shared" si="10"/>
        <v>0</v>
      </c>
      <c r="Z37" s="62">
        <f t="shared" si="11"/>
        <v>0</v>
      </c>
      <c r="AA37" s="64">
        <f t="shared" si="12"/>
        <v>0</v>
      </c>
      <c r="AC37" s="2"/>
      <c r="AE37" s="56">
        <v>26.0</v>
      </c>
      <c r="AF37" s="124" t="str">
        <f t="shared" ref="AF37:AG37" si="125">B37</f>
        <v/>
      </c>
      <c r="AG37" s="65" t="str">
        <f t="shared" si="125"/>
        <v/>
      </c>
      <c r="AH37" s="140"/>
      <c r="AI37" s="140"/>
      <c r="AJ37" s="140"/>
      <c r="AK37" s="140"/>
      <c r="AL37" s="140"/>
      <c r="AM37" s="140"/>
      <c r="AN37" s="140"/>
      <c r="AO37" s="140"/>
      <c r="AP37" s="62"/>
      <c r="AQ37" s="62"/>
      <c r="AR37" s="62"/>
      <c r="AS37" s="143"/>
      <c r="AT37" s="143"/>
      <c r="AU37" s="143"/>
      <c r="AV37" s="143"/>
      <c r="AW37" s="143"/>
      <c r="AX37" s="141"/>
      <c r="AY37" s="141"/>
      <c r="AZ37" s="62">
        <f t="shared" si="14"/>
        <v>0</v>
      </c>
      <c r="BA37" s="62"/>
      <c r="BB37" s="123">
        <f>'PROY. INTER'!AX37</f>
        <v>0</v>
      </c>
      <c r="BC37" s="62">
        <f t="shared" si="15"/>
        <v>0</v>
      </c>
      <c r="BD37" s="62">
        <f t="shared" si="16"/>
        <v>0</v>
      </c>
      <c r="BE37" s="64">
        <f t="shared" si="17"/>
        <v>0</v>
      </c>
      <c r="BG37" s="2"/>
      <c r="BI37" s="56">
        <v>26.0</v>
      </c>
      <c r="BJ37" s="124" t="str">
        <f t="shared" ref="BJ37:BK37" si="126">B37</f>
        <v/>
      </c>
      <c r="BK37" s="125" t="str">
        <f t="shared" si="126"/>
        <v/>
      </c>
      <c r="BL37" s="140"/>
      <c r="BM37" s="140"/>
      <c r="BN37" s="140"/>
      <c r="BO37" s="140"/>
      <c r="BP37" s="140"/>
      <c r="BQ37" s="140"/>
      <c r="BR37" s="140"/>
      <c r="BS37" s="140"/>
      <c r="BT37" s="62"/>
      <c r="BU37" s="62"/>
      <c r="BV37" s="143"/>
      <c r="BW37" s="143"/>
      <c r="BX37" s="143"/>
      <c r="BY37" s="143"/>
      <c r="BZ37" s="143"/>
      <c r="CA37" s="143"/>
      <c r="CB37" s="141"/>
      <c r="CC37" s="141"/>
      <c r="CD37" s="62">
        <f t="shared" si="19"/>
        <v>0</v>
      </c>
      <c r="CE37" s="62"/>
      <c r="CF37" s="123">
        <f>'PROY. INTER'!BY37</f>
        <v>0</v>
      </c>
      <c r="CG37" s="62">
        <f t="shared" si="20"/>
        <v>0</v>
      </c>
      <c r="CH37" s="62">
        <f t="shared" si="21"/>
        <v>0</v>
      </c>
      <c r="CI37" s="64">
        <f t="shared" si="22"/>
        <v>0</v>
      </c>
      <c r="CK37" s="2"/>
      <c r="CM37" s="126">
        <v>26.0</v>
      </c>
      <c r="CN37" s="127" t="str">
        <f t="shared" ref="CN37:CO37" si="127">B37</f>
        <v/>
      </c>
      <c r="CO37" s="128" t="str">
        <f t="shared" si="127"/>
        <v/>
      </c>
      <c r="CP37" s="129">
        <f t="shared" si="24"/>
        <v>0</v>
      </c>
      <c r="CQ37" s="129">
        <f t="shared" si="25"/>
        <v>0</v>
      </c>
      <c r="CR37" s="129">
        <f t="shared" si="26"/>
        <v>0</v>
      </c>
      <c r="CS37" s="130">
        <f t="shared" si="27"/>
        <v>0</v>
      </c>
      <c r="CT37" s="131" t="str">
        <f t="shared" si="28"/>
        <v>REPROBADO</v>
      </c>
      <c r="CV37" s="2"/>
      <c r="CX37" s="132">
        <v>26.0</v>
      </c>
      <c r="CY37" s="133" t="str">
        <f t="shared" ref="CY37:CZ37" si="128">B37</f>
        <v/>
      </c>
      <c r="CZ37" s="134" t="str">
        <f t="shared" si="128"/>
        <v/>
      </c>
      <c r="DA37" s="244">
        <f t="shared" si="30"/>
        <v>0</v>
      </c>
      <c r="DB37" s="136"/>
      <c r="DC37" s="137">
        <f t="shared" si="31"/>
        <v>0</v>
      </c>
      <c r="DD37" s="138" t="str">
        <f t="shared" si="32"/>
        <v>NO PROMOVIDO</v>
      </c>
    </row>
    <row r="38" ht="15.75" customHeight="1">
      <c r="A38" s="56">
        <v>27.0</v>
      </c>
      <c r="B38" s="57" t="str">
        <f>LEN!B38</f>
        <v/>
      </c>
      <c r="C38" s="57" t="str">
        <f>LEN!C38</f>
        <v/>
      </c>
      <c r="D38" s="140"/>
      <c r="E38" s="140"/>
      <c r="F38" s="140"/>
      <c r="G38" s="140"/>
      <c r="H38" s="140"/>
      <c r="I38" s="140"/>
      <c r="J38" s="140"/>
      <c r="K38" s="140"/>
      <c r="L38" s="62"/>
      <c r="M38" s="62"/>
      <c r="N38" s="143"/>
      <c r="O38" s="143"/>
      <c r="P38" s="143"/>
      <c r="Q38" s="143"/>
      <c r="R38" s="143"/>
      <c r="S38" s="143"/>
      <c r="T38" s="141"/>
      <c r="U38" s="141"/>
      <c r="V38" s="62">
        <f t="shared" si="9"/>
        <v>0</v>
      </c>
      <c r="W38" s="62"/>
      <c r="X38" s="123">
        <f>'PROY. INTER'!W38</f>
        <v>0</v>
      </c>
      <c r="Y38" s="62">
        <f t="shared" si="10"/>
        <v>0</v>
      </c>
      <c r="Z38" s="62">
        <f t="shared" si="11"/>
        <v>0</v>
      </c>
      <c r="AA38" s="64">
        <f t="shared" si="12"/>
        <v>0</v>
      </c>
      <c r="AC38" s="2"/>
      <c r="AE38" s="56">
        <v>27.0</v>
      </c>
      <c r="AF38" s="124" t="str">
        <f t="shared" ref="AF38:AG38" si="129">B38</f>
        <v/>
      </c>
      <c r="AG38" s="65" t="str">
        <f t="shared" si="129"/>
        <v/>
      </c>
      <c r="AH38" s="140"/>
      <c r="AI38" s="140"/>
      <c r="AJ38" s="140"/>
      <c r="AK38" s="140"/>
      <c r="AL38" s="140"/>
      <c r="AM38" s="140"/>
      <c r="AN38" s="140"/>
      <c r="AO38" s="140"/>
      <c r="AP38" s="62"/>
      <c r="AQ38" s="62"/>
      <c r="AR38" s="62"/>
      <c r="AS38" s="143"/>
      <c r="AT38" s="143"/>
      <c r="AU38" s="143"/>
      <c r="AV38" s="143"/>
      <c r="AW38" s="143"/>
      <c r="AX38" s="141"/>
      <c r="AY38" s="141"/>
      <c r="AZ38" s="62">
        <f t="shared" si="14"/>
        <v>0</v>
      </c>
      <c r="BA38" s="62"/>
      <c r="BB38" s="123">
        <f>'PROY. INTER'!AX38</f>
        <v>0</v>
      </c>
      <c r="BC38" s="62">
        <f t="shared" si="15"/>
        <v>0</v>
      </c>
      <c r="BD38" s="62">
        <f t="shared" si="16"/>
        <v>0</v>
      </c>
      <c r="BE38" s="64">
        <f t="shared" si="17"/>
        <v>0</v>
      </c>
      <c r="BG38" s="2"/>
      <c r="BI38" s="56">
        <v>27.0</v>
      </c>
      <c r="BJ38" s="124" t="str">
        <f t="shared" ref="BJ38:BK38" si="130">B38</f>
        <v/>
      </c>
      <c r="BK38" s="125" t="str">
        <f t="shared" si="130"/>
        <v/>
      </c>
      <c r="BL38" s="140"/>
      <c r="BM38" s="140"/>
      <c r="BN38" s="140"/>
      <c r="BO38" s="140"/>
      <c r="BP38" s="140"/>
      <c r="BQ38" s="140"/>
      <c r="BR38" s="140"/>
      <c r="BS38" s="140"/>
      <c r="BT38" s="62"/>
      <c r="BU38" s="62"/>
      <c r="BV38" s="143"/>
      <c r="BW38" s="143"/>
      <c r="BX38" s="143"/>
      <c r="BY38" s="143"/>
      <c r="BZ38" s="143"/>
      <c r="CA38" s="143"/>
      <c r="CB38" s="141"/>
      <c r="CC38" s="141"/>
      <c r="CD38" s="62">
        <f t="shared" si="19"/>
        <v>0</v>
      </c>
      <c r="CE38" s="62"/>
      <c r="CF38" s="123">
        <f>'PROY. INTER'!BY38</f>
        <v>0</v>
      </c>
      <c r="CG38" s="62">
        <f t="shared" si="20"/>
        <v>0</v>
      </c>
      <c r="CH38" s="62">
        <f t="shared" si="21"/>
        <v>0</v>
      </c>
      <c r="CI38" s="64">
        <f t="shared" si="22"/>
        <v>0</v>
      </c>
      <c r="CK38" s="2"/>
      <c r="CM38" s="126">
        <v>27.0</v>
      </c>
      <c r="CN38" s="127" t="str">
        <f t="shared" ref="CN38:CO38" si="131">B38</f>
        <v/>
      </c>
      <c r="CO38" s="128" t="str">
        <f t="shared" si="131"/>
        <v/>
      </c>
      <c r="CP38" s="129">
        <f t="shared" si="24"/>
        <v>0</v>
      </c>
      <c r="CQ38" s="129">
        <f t="shared" si="25"/>
        <v>0</v>
      </c>
      <c r="CR38" s="129">
        <f t="shared" si="26"/>
        <v>0</v>
      </c>
      <c r="CS38" s="130">
        <f t="shared" si="27"/>
        <v>0</v>
      </c>
      <c r="CT38" s="131" t="str">
        <f t="shared" si="28"/>
        <v>REPROBADO</v>
      </c>
      <c r="CV38" s="2"/>
      <c r="CX38" s="132">
        <v>27.0</v>
      </c>
      <c r="CY38" s="133" t="str">
        <f t="shared" ref="CY38:CZ38" si="132">B38</f>
        <v/>
      </c>
      <c r="CZ38" s="134" t="str">
        <f t="shared" si="132"/>
        <v/>
      </c>
      <c r="DA38" s="244">
        <f t="shared" si="30"/>
        <v>0</v>
      </c>
      <c r="DB38" s="136"/>
      <c r="DC38" s="137">
        <f t="shared" si="31"/>
        <v>0</v>
      </c>
      <c r="DD38" s="138" t="str">
        <f t="shared" si="32"/>
        <v>NO PROMOVIDO</v>
      </c>
    </row>
    <row r="39" ht="15.75" customHeight="1">
      <c r="A39" s="56">
        <v>28.0</v>
      </c>
      <c r="B39" s="57" t="str">
        <f>LEN!B39</f>
        <v/>
      </c>
      <c r="C39" s="57" t="str">
        <f>LEN!C39</f>
        <v/>
      </c>
      <c r="D39" s="140"/>
      <c r="E39" s="140"/>
      <c r="F39" s="140"/>
      <c r="G39" s="140"/>
      <c r="H39" s="140"/>
      <c r="I39" s="140"/>
      <c r="J39" s="140"/>
      <c r="K39" s="140"/>
      <c r="L39" s="62"/>
      <c r="M39" s="62"/>
      <c r="N39" s="143"/>
      <c r="O39" s="143"/>
      <c r="P39" s="143"/>
      <c r="Q39" s="143"/>
      <c r="R39" s="143"/>
      <c r="S39" s="143"/>
      <c r="T39" s="141"/>
      <c r="U39" s="141"/>
      <c r="V39" s="62">
        <f t="shared" si="9"/>
        <v>0</v>
      </c>
      <c r="W39" s="62"/>
      <c r="X39" s="123">
        <f>'PROY. INTER'!W39</f>
        <v>0</v>
      </c>
      <c r="Y39" s="62">
        <f t="shared" si="10"/>
        <v>0</v>
      </c>
      <c r="Z39" s="62">
        <f t="shared" si="11"/>
        <v>0</v>
      </c>
      <c r="AA39" s="64">
        <f t="shared" si="12"/>
        <v>0</v>
      </c>
      <c r="AC39" s="2"/>
      <c r="AE39" s="56">
        <v>28.0</v>
      </c>
      <c r="AF39" s="124" t="str">
        <f t="shared" ref="AF39:AG39" si="133">B39</f>
        <v/>
      </c>
      <c r="AG39" s="65" t="str">
        <f t="shared" si="133"/>
        <v/>
      </c>
      <c r="AH39" s="140"/>
      <c r="AI39" s="140"/>
      <c r="AJ39" s="140"/>
      <c r="AK39" s="140"/>
      <c r="AL39" s="140"/>
      <c r="AM39" s="140"/>
      <c r="AN39" s="140"/>
      <c r="AO39" s="140"/>
      <c r="AP39" s="62"/>
      <c r="AQ39" s="62"/>
      <c r="AR39" s="62"/>
      <c r="AS39" s="143"/>
      <c r="AT39" s="143"/>
      <c r="AU39" s="143"/>
      <c r="AV39" s="143"/>
      <c r="AW39" s="143"/>
      <c r="AX39" s="141"/>
      <c r="AY39" s="141"/>
      <c r="AZ39" s="62">
        <f t="shared" si="14"/>
        <v>0</v>
      </c>
      <c r="BA39" s="62"/>
      <c r="BB39" s="123">
        <f>'PROY. INTER'!AX39</f>
        <v>0</v>
      </c>
      <c r="BC39" s="62">
        <f t="shared" si="15"/>
        <v>0</v>
      </c>
      <c r="BD39" s="62">
        <f t="shared" si="16"/>
        <v>0</v>
      </c>
      <c r="BE39" s="64">
        <f t="shared" si="17"/>
        <v>0</v>
      </c>
      <c r="BG39" s="2"/>
      <c r="BI39" s="56">
        <v>28.0</v>
      </c>
      <c r="BJ39" s="124" t="str">
        <f t="shared" ref="BJ39:BK39" si="134">B39</f>
        <v/>
      </c>
      <c r="BK39" s="125" t="str">
        <f t="shared" si="134"/>
        <v/>
      </c>
      <c r="BL39" s="140"/>
      <c r="BM39" s="140"/>
      <c r="BN39" s="140"/>
      <c r="BO39" s="140"/>
      <c r="BP39" s="140"/>
      <c r="BQ39" s="140"/>
      <c r="BR39" s="140"/>
      <c r="BS39" s="140"/>
      <c r="BT39" s="62"/>
      <c r="BU39" s="62"/>
      <c r="BV39" s="143"/>
      <c r="BW39" s="143"/>
      <c r="BX39" s="143"/>
      <c r="BY39" s="143"/>
      <c r="BZ39" s="143"/>
      <c r="CA39" s="143"/>
      <c r="CB39" s="141"/>
      <c r="CC39" s="141"/>
      <c r="CD39" s="62">
        <f t="shared" si="19"/>
        <v>0</v>
      </c>
      <c r="CE39" s="62"/>
      <c r="CF39" s="123">
        <f>'PROY. INTER'!BY39</f>
        <v>0</v>
      </c>
      <c r="CG39" s="62">
        <f t="shared" si="20"/>
        <v>0</v>
      </c>
      <c r="CH39" s="62">
        <f t="shared" si="21"/>
        <v>0</v>
      </c>
      <c r="CI39" s="64">
        <f t="shared" si="22"/>
        <v>0</v>
      </c>
      <c r="CK39" s="2"/>
      <c r="CM39" s="126">
        <v>28.0</v>
      </c>
      <c r="CN39" s="127" t="str">
        <f t="shared" ref="CN39:CO39" si="135">B39</f>
        <v/>
      </c>
      <c r="CO39" s="128" t="str">
        <f t="shared" si="135"/>
        <v/>
      </c>
      <c r="CP39" s="129">
        <f t="shared" si="24"/>
        <v>0</v>
      </c>
      <c r="CQ39" s="129">
        <f t="shared" si="25"/>
        <v>0</v>
      </c>
      <c r="CR39" s="129">
        <f t="shared" si="26"/>
        <v>0</v>
      </c>
      <c r="CS39" s="130">
        <f t="shared" si="27"/>
        <v>0</v>
      </c>
      <c r="CT39" s="131" t="str">
        <f t="shared" si="28"/>
        <v>REPROBADO</v>
      </c>
      <c r="CV39" s="2"/>
      <c r="CX39" s="132">
        <v>28.0</v>
      </c>
      <c r="CY39" s="133" t="str">
        <f t="shared" ref="CY39:CZ39" si="136">B39</f>
        <v/>
      </c>
      <c r="CZ39" s="134" t="str">
        <f t="shared" si="136"/>
        <v/>
      </c>
      <c r="DA39" s="244">
        <f t="shared" si="30"/>
        <v>0</v>
      </c>
      <c r="DB39" s="136"/>
      <c r="DC39" s="137">
        <f t="shared" si="31"/>
        <v>0</v>
      </c>
      <c r="DD39" s="138" t="str">
        <f t="shared" si="32"/>
        <v>NO PROMOVIDO</v>
      </c>
    </row>
    <row r="40" ht="15.75" customHeight="1">
      <c r="A40" s="56">
        <v>29.0</v>
      </c>
      <c r="B40" s="57" t="str">
        <f>LEN!B40</f>
        <v/>
      </c>
      <c r="C40" s="57" t="str">
        <f>LEN!C40</f>
        <v/>
      </c>
      <c r="D40" s="140"/>
      <c r="E40" s="140"/>
      <c r="F40" s="140"/>
      <c r="G40" s="140"/>
      <c r="H40" s="140"/>
      <c r="I40" s="140"/>
      <c r="J40" s="140"/>
      <c r="K40" s="140"/>
      <c r="L40" s="62"/>
      <c r="M40" s="62"/>
      <c r="N40" s="143"/>
      <c r="O40" s="143"/>
      <c r="P40" s="143"/>
      <c r="Q40" s="143"/>
      <c r="R40" s="143"/>
      <c r="S40" s="143"/>
      <c r="T40" s="141"/>
      <c r="U40" s="141"/>
      <c r="V40" s="62">
        <f t="shared" si="9"/>
        <v>0</v>
      </c>
      <c r="W40" s="62"/>
      <c r="X40" s="123">
        <f>'PROY. INTER'!W40</f>
        <v>0</v>
      </c>
      <c r="Y40" s="62">
        <f t="shared" si="10"/>
        <v>0</v>
      </c>
      <c r="Z40" s="62">
        <f t="shared" si="11"/>
        <v>0</v>
      </c>
      <c r="AA40" s="64">
        <f t="shared" si="12"/>
        <v>0</v>
      </c>
      <c r="AC40" s="2"/>
      <c r="AE40" s="56">
        <v>29.0</v>
      </c>
      <c r="AF40" s="124" t="str">
        <f t="shared" ref="AF40:AG40" si="137">B40</f>
        <v/>
      </c>
      <c r="AG40" s="65" t="str">
        <f t="shared" si="137"/>
        <v/>
      </c>
      <c r="AH40" s="140"/>
      <c r="AI40" s="140"/>
      <c r="AJ40" s="140"/>
      <c r="AK40" s="140"/>
      <c r="AL40" s="140"/>
      <c r="AM40" s="140"/>
      <c r="AN40" s="140"/>
      <c r="AO40" s="140"/>
      <c r="AP40" s="62"/>
      <c r="AQ40" s="62"/>
      <c r="AR40" s="62"/>
      <c r="AS40" s="143"/>
      <c r="AT40" s="143"/>
      <c r="AU40" s="143"/>
      <c r="AV40" s="143"/>
      <c r="AW40" s="143"/>
      <c r="AX40" s="141"/>
      <c r="AY40" s="141"/>
      <c r="AZ40" s="62">
        <f t="shared" si="14"/>
        <v>0</v>
      </c>
      <c r="BA40" s="62"/>
      <c r="BB40" s="123">
        <f>'PROY. INTER'!AX40</f>
        <v>0</v>
      </c>
      <c r="BC40" s="62">
        <f t="shared" si="15"/>
        <v>0</v>
      </c>
      <c r="BD40" s="62">
        <f t="shared" si="16"/>
        <v>0</v>
      </c>
      <c r="BE40" s="64">
        <f t="shared" si="17"/>
        <v>0</v>
      </c>
      <c r="BG40" s="2"/>
      <c r="BI40" s="56">
        <v>29.0</v>
      </c>
      <c r="BJ40" s="124" t="str">
        <f t="shared" ref="BJ40:BK40" si="138">B40</f>
        <v/>
      </c>
      <c r="BK40" s="125" t="str">
        <f t="shared" si="138"/>
        <v/>
      </c>
      <c r="BL40" s="140"/>
      <c r="BM40" s="140"/>
      <c r="BN40" s="140"/>
      <c r="BO40" s="140"/>
      <c r="BP40" s="140"/>
      <c r="BQ40" s="140"/>
      <c r="BR40" s="140"/>
      <c r="BS40" s="140"/>
      <c r="BT40" s="62"/>
      <c r="BU40" s="62"/>
      <c r="BV40" s="143"/>
      <c r="BW40" s="143"/>
      <c r="BX40" s="143"/>
      <c r="BY40" s="143"/>
      <c r="BZ40" s="143"/>
      <c r="CA40" s="143"/>
      <c r="CB40" s="141"/>
      <c r="CC40" s="141"/>
      <c r="CD40" s="62">
        <f t="shared" si="19"/>
        <v>0</v>
      </c>
      <c r="CE40" s="62"/>
      <c r="CF40" s="123">
        <f>'PROY. INTER'!BY40</f>
        <v>0</v>
      </c>
      <c r="CG40" s="62">
        <f t="shared" si="20"/>
        <v>0</v>
      </c>
      <c r="CH40" s="62">
        <f t="shared" si="21"/>
        <v>0</v>
      </c>
      <c r="CI40" s="64">
        <f t="shared" si="22"/>
        <v>0</v>
      </c>
      <c r="CK40" s="2"/>
      <c r="CM40" s="126">
        <v>29.0</v>
      </c>
      <c r="CN40" s="127" t="str">
        <f t="shared" ref="CN40:CO40" si="139">B40</f>
        <v/>
      </c>
      <c r="CO40" s="128" t="str">
        <f t="shared" si="139"/>
        <v/>
      </c>
      <c r="CP40" s="129">
        <f t="shared" si="24"/>
        <v>0</v>
      </c>
      <c r="CQ40" s="129">
        <f t="shared" si="25"/>
        <v>0</v>
      </c>
      <c r="CR40" s="129">
        <f t="shared" si="26"/>
        <v>0</v>
      </c>
      <c r="CS40" s="130">
        <f t="shared" si="27"/>
        <v>0</v>
      </c>
      <c r="CT40" s="131" t="str">
        <f t="shared" si="28"/>
        <v>REPROBADO</v>
      </c>
      <c r="CV40" s="2"/>
      <c r="CX40" s="132">
        <v>29.0</v>
      </c>
      <c r="CY40" s="133" t="str">
        <f t="shared" ref="CY40:CZ40" si="140">B40</f>
        <v/>
      </c>
      <c r="CZ40" s="134" t="str">
        <f t="shared" si="140"/>
        <v/>
      </c>
      <c r="DA40" s="244">
        <f t="shared" si="30"/>
        <v>0</v>
      </c>
      <c r="DB40" s="136"/>
      <c r="DC40" s="137">
        <f t="shared" si="31"/>
        <v>0</v>
      </c>
      <c r="DD40" s="138" t="str">
        <f t="shared" si="32"/>
        <v>NO PROMOVIDO</v>
      </c>
    </row>
    <row r="41" ht="15.75" customHeight="1">
      <c r="A41" s="56">
        <v>30.0</v>
      </c>
      <c r="B41" s="57" t="str">
        <f>LEN!B41</f>
        <v/>
      </c>
      <c r="C41" s="57" t="str">
        <f>LEN!C41</f>
        <v/>
      </c>
      <c r="D41" s="140"/>
      <c r="E41" s="140"/>
      <c r="F41" s="140"/>
      <c r="G41" s="140"/>
      <c r="H41" s="140"/>
      <c r="I41" s="140"/>
      <c r="J41" s="140"/>
      <c r="K41" s="140"/>
      <c r="L41" s="62"/>
      <c r="M41" s="62"/>
      <c r="N41" s="143"/>
      <c r="O41" s="143"/>
      <c r="P41" s="143"/>
      <c r="Q41" s="143"/>
      <c r="R41" s="143"/>
      <c r="S41" s="143"/>
      <c r="T41" s="141"/>
      <c r="U41" s="141"/>
      <c r="V41" s="62">
        <f t="shared" si="9"/>
        <v>0</v>
      </c>
      <c r="W41" s="62"/>
      <c r="X41" s="123">
        <f>'PROY. INTER'!W41</f>
        <v>0</v>
      </c>
      <c r="Y41" s="62">
        <f t="shared" si="10"/>
        <v>0</v>
      </c>
      <c r="Z41" s="62">
        <f t="shared" si="11"/>
        <v>0</v>
      </c>
      <c r="AA41" s="64">
        <f t="shared" si="12"/>
        <v>0</v>
      </c>
      <c r="AC41" s="2"/>
      <c r="AE41" s="56">
        <v>30.0</v>
      </c>
      <c r="AF41" s="124" t="str">
        <f t="shared" ref="AF41:AG41" si="141">B41</f>
        <v/>
      </c>
      <c r="AG41" s="65" t="str">
        <f t="shared" si="141"/>
        <v/>
      </c>
      <c r="AH41" s="140"/>
      <c r="AI41" s="140"/>
      <c r="AJ41" s="140"/>
      <c r="AK41" s="140"/>
      <c r="AL41" s="140"/>
      <c r="AM41" s="140"/>
      <c r="AN41" s="140"/>
      <c r="AO41" s="140"/>
      <c r="AP41" s="62"/>
      <c r="AQ41" s="62"/>
      <c r="AR41" s="62"/>
      <c r="AS41" s="143"/>
      <c r="AT41" s="143"/>
      <c r="AU41" s="143"/>
      <c r="AV41" s="143"/>
      <c r="AW41" s="143"/>
      <c r="AX41" s="141"/>
      <c r="AY41" s="141"/>
      <c r="AZ41" s="62">
        <f t="shared" si="14"/>
        <v>0</v>
      </c>
      <c r="BA41" s="62"/>
      <c r="BB41" s="123">
        <f>'PROY. INTER'!AX41</f>
        <v>0</v>
      </c>
      <c r="BC41" s="62">
        <f t="shared" si="15"/>
        <v>0</v>
      </c>
      <c r="BD41" s="62">
        <f t="shared" si="16"/>
        <v>0</v>
      </c>
      <c r="BE41" s="64">
        <f t="shared" si="17"/>
        <v>0</v>
      </c>
      <c r="BG41" s="2"/>
      <c r="BI41" s="56">
        <v>30.0</v>
      </c>
      <c r="BJ41" s="124" t="str">
        <f t="shared" ref="BJ41:BK41" si="142">B41</f>
        <v/>
      </c>
      <c r="BK41" s="125" t="str">
        <f t="shared" si="142"/>
        <v/>
      </c>
      <c r="BL41" s="140"/>
      <c r="BM41" s="140"/>
      <c r="BN41" s="140"/>
      <c r="BO41" s="140"/>
      <c r="BP41" s="140"/>
      <c r="BQ41" s="140"/>
      <c r="BR41" s="140"/>
      <c r="BS41" s="140"/>
      <c r="BT41" s="62"/>
      <c r="BU41" s="62"/>
      <c r="BV41" s="143"/>
      <c r="BW41" s="143"/>
      <c r="BX41" s="143"/>
      <c r="BY41" s="143"/>
      <c r="BZ41" s="143"/>
      <c r="CA41" s="143"/>
      <c r="CB41" s="141"/>
      <c r="CC41" s="141"/>
      <c r="CD41" s="62">
        <f t="shared" si="19"/>
        <v>0</v>
      </c>
      <c r="CE41" s="62"/>
      <c r="CF41" s="123">
        <f>'PROY. INTER'!BY41</f>
        <v>0</v>
      </c>
      <c r="CG41" s="62">
        <f t="shared" si="20"/>
        <v>0</v>
      </c>
      <c r="CH41" s="62">
        <f t="shared" si="21"/>
        <v>0</v>
      </c>
      <c r="CI41" s="64">
        <f t="shared" si="22"/>
        <v>0</v>
      </c>
      <c r="CK41" s="2"/>
      <c r="CM41" s="126">
        <v>30.0</v>
      </c>
      <c r="CN41" s="127" t="str">
        <f t="shared" ref="CN41:CO41" si="143">B41</f>
        <v/>
      </c>
      <c r="CO41" s="128" t="str">
        <f t="shared" si="143"/>
        <v/>
      </c>
      <c r="CP41" s="129">
        <f t="shared" si="24"/>
        <v>0</v>
      </c>
      <c r="CQ41" s="129">
        <f t="shared" si="25"/>
        <v>0</v>
      </c>
      <c r="CR41" s="129">
        <f t="shared" si="26"/>
        <v>0</v>
      </c>
      <c r="CS41" s="130">
        <f t="shared" si="27"/>
        <v>0</v>
      </c>
      <c r="CT41" s="131" t="str">
        <f t="shared" si="28"/>
        <v>REPROBADO</v>
      </c>
      <c r="CV41" s="2"/>
      <c r="CX41" s="132">
        <v>30.0</v>
      </c>
      <c r="CY41" s="133" t="str">
        <f t="shared" ref="CY41:CZ41" si="144">B41</f>
        <v/>
      </c>
      <c r="CZ41" s="134" t="str">
        <f t="shared" si="144"/>
        <v/>
      </c>
      <c r="DA41" s="244">
        <f t="shared" si="30"/>
        <v>0</v>
      </c>
      <c r="DB41" s="136"/>
      <c r="DC41" s="137">
        <f t="shared" si="31"/>
        <v>0</v>
      </c>
      <c r="DD41" s="138" t="str">
        <f t="shared" si="32"/>
        <v>NO PROMOVIDO</v>
      </c>
    </row>
    <row r="42" ht="15.75" customHeight="1">
      <c r="A42" s="56">
        <v>31.0</v>
      </c>
      <c r="B42" s="57" t="str">
        <f>LEN!B42</f>
        <v/>
      </c>
      <c r="C42" s="57" t="str">
        <f>LEN!C42</f>
        <v/>
      </c>
      <c r="D42" s="140"/>
      <c r="E42" s="140"/>
      <c r="F42" s="140"/>
      <c r="G42" s="140"/>
      <c r="H42" s="140"/>
      <c r="I42" s="140"/>
      <c r="J42" s="140"/>
      <c r="K42" s="140"/>
      <c r="L42" s="62"/>
      <c r="M42" s="62"/>
      <c r="N42" s="143"/>
      <c r="O42" s="143"/>
      <c r="P42" s="143"/>
      <c r="Q42" s="143"/>
      <c r="R42" s="143"/>
      <c r="S42" s="143"/>
      <c r="T42" s="141"/>
      <c r="U42" s="141"/>
      <c r="V42" s="62">
        <f t="shared" si="9"/>
        <v>0</v>
      </c>
      <c r="W42" s="62"/>
      <c r="X42" s="123">
        <f>'PROY. INTER'!W42</f>
        <v>0</v>
      </c>
      <c r="Y42" s="62">
        <f t="shared" si="10"/>
        <v>0</v>
      </c>
      <c r="Z42" s="62">
        <f t="shared" si="11"/>
        <v>0</v>
      </c>
      <c r="AA42" s="64">
        <f t="shared" si="12"/>
        <v>0</v>
      </c>
      <c r="AC42" s="2"/>
      <c r="AE42" s="56">
        <v>31.0</v>
      </c>
      <c r="AF42" s="124" t="str">
        <f t="shared" ref="AF42:AG42" si="145">B42</f>
        <v/>
      </c>
      <c r="AG42" s="125" t="str">
        <f t="shared" si="145"/>
        <v/>
      </c>
      <c r="AH42" s="140"/>
      <c r="AI42" s="140"/>
      <c r="AJ42" s="140"/>
      <c r="AK42" s="140"/>
      <c r="AL42" s="140"/>
      <c r="AM42" s="140"/>
      <c r="AN42" s="140"/>
      <c r="AO42" s="140"/>
      <c r="AP42" s="62"/>
      <c r="AQ42" s="62"/>
      <c r="AR42" s="143"/>
      <c r="AS42" s="143"/>
      <c r="AT42" s="143"/>
      <c r="AU42" s="143"/>
      <c r="AV42" s="143"/>
      <c r="AW42" s="143"/>
      <c r="AX42" s="141"/>
      <c r="AY42" s="141"/>
      <c r="AZ42" s="62">
        <f t="shared" si="14"/>
        <v>0</v>
      </c>
      <c r="BA42" s="62"/>
      <c r="BB42" s="123">
        <f>'PROY. INTER'!AX42</f>
        <v>0</v>
      </c>
      <c r="BC42" s="62">
        <f t="shared" si="15"/>
        <v>0</v>
      </c>
      <c r="BD42" s="62">
        <f t="shared" si="16"/>
        <v>0</v>
      </c>
      <c r="BE42" s="64">
        <f t="shared" si="17"/>
        <v>0</v>
      </c>
      <c r="BG42" s="2"/>
      <c r="BI42" s="56">
        <v>31.0</v>
      </c>
      <c r="BJ42" s="124" t="str">
        <f t="shared" ref="BJ42:BK42" si="146">B42</f>
        <v/>
      </c>
      <c r="BK42" s="125" t="str">
        <f t="shared" si="146"/>
        <v/>
      </c>
      <c r="BL42" s="140"/>
      <c r="BM42" s="140"/>
      <c r="BN42" s="140"/>
      <c r="BO42" s="140"/>
      <c r="BP42" s="140"/>
      <c r="BQ42" s="140"/>
      <c r="BR42" s="140"/>
      <c r="BS42" s="140"/>
      <c r="BT42" s="62"/>
      <c r="BU42" s="62"/>
      <c r="BV42" s="143"/>
      <c r="BW42" s="143"/>
      <c r="BX42" s="143"/>
      <c r="BY42" s="143"/>
      <c r="BZ42" s="143"/>
      <c r="CA42" s="143"/>
      <c r="CB42" s="141"/>
      <c r="CC42" s="141"/>
      <c r="CD42" s="62">
        <f t="shared" si="19"/>
        <v>0</v>
      </c>
      <c r="CE42" s="62"/>
      <c r="CF42" s="123">
        <f>'PROY. INTER'!BY42</f>
        <v>0</v>
      </c>
      <c r="CG42" s="62">
        <f t="shared" si="20"/>
        <v>0</v>
      </c>
      <c r="CH42" s="62">
        <f t="shared" si="21"/>
        <v>0</v>
      </c>
      <c r="CI42" s="64">
        <f t="shared" si="22"/>
        <v>0</v>
      </c>
      <c r="CK42" s="2"/>
      <c r="CM42" s="126">
        <v>31.0</v>
      </c>
      <c r="CN42" s="127" t="str">
        <f t="shared" ref="CN42:CO42" si="147">B42</f>
        <v/>
      </c>
      <c r="CO42" s="128" t="str">
        <f t="shared" si="147"/>
        <v/>
      </c>
      <c r="CP42" s="129">
        <f t="shared" si="24"/>
        <v>0</v>
      </c>
      <c r="CQ42" s="129">
        <f t="shared" si="25"/>
        <v>0</v>
      </c>
      <c r="CR42" s="129">
        <f t="shared" si="26"/>
        <v>0</v>
      </c>
      <c r="CS42" s="130">
        <f t="shared" si="27"/>
        <v>0</v>
      </c>
      <c r="CT42" s="131" t="str">
        <f t="shared" si="28"/>
        <v>REPROBADO</v>
      </c>
      <c r="CV42" s="2"/>
      <c r="CX42" s="132">
        <v>31.0</v>
      </c>
      <c r="CY42" s="133" t="str">
        <f t="shared" ref="CY42:CZ42" si="148">B42</f>
        <v/>
      </c>
      <c r="CZ42" s="134" t="str">
        <f t="shared" si="148"/>
        <v/>
      </c>
      <c r="DA42" s="244">
        <f t="shared" si="30"/>
        <v>0</v>
      </c>
      <c r="DB42" s="136"/>
      <c r="DC42" s="137">
        <f t="shared" si="31"/>
        <v>0</v>
      </c>
      <c r="DD42" s="138" t="str">
        <f t="shared" si="32"/>
        <v>NO PROMOVIDO</v>
      </c>
    </row>
    <row r="43" ht="15.75" customHeight="1">
      <c r="A43" s="56">
        <v>32.0</v>
      </c>
      <c r="B43" s="57" t="str">
        <f>LEN!B43</f>
        <v/>
      </c>
      <c r="C43" s="57" t="str">
        <f>LEN!C43</f>
        <v/>
      </c>
      <c r="D43" s="140"/>
      <c r="E43" s="140"/>
      <c r="F43" s="140"/>
      <c r="G43" s="140"/>
      <c r="H43" s="140"/>
      <c r="I43" s="140"/>
      <c r="J43" s="140"/>
      <c r="K43" s="140"/>
      <c r="L43" s="62"/>
      <c r="M43" s="62"/>
      <c r="N43" s="143"/>
      <c r="O43" s="143"/>
      <c r="P43" s="143"/>
      <c r="Q43" s="143"/>
      <c r="R43" s="143"/>
      <c r="S43" s="143"/>
      <c r="T43" s="141"/>
      <c r="U43" s="141"/>
      <c r="V43" s="62">
        <f t="shared" si="9"/>
        <v>0</v>
      </c>
      <c r="W43" s="62"/>
      <c r="X43" s="123">
        <f>'PROY. INTER'!W43</f>
        <v>0</v>
      </c>
      <c r="Y43" s="62">
        <f t="shared" si="10"/>
        <v>0</v>
      </c>
      <c r="Z43" s="62">
        <f t="shared" si="11"/>
        <v>0</v>
      </c>
      <c r="AA43" s="64">
        <f t="shared" si="12"/>
        <v>0</v>
      </c>
      <c r="AC43" s="2"/>
      <c r="AE43" s="56">
        <v>32.0</v>
      </c>
      <c r="AF43" s="124" t="str">
        <f t="shared" ref="AF43:AG43" si="149">B43</f>
        <v/>
      </c>
      <c r="AG43" s="125" t="str">
        <f t="shared" si="149"/>
        <v/>
      </c>
      <c r="AH43" s="140"/>
      <c r="AI43" s="140"/>
      <c r="AJ43" s="140"/>
      <c r="AK43" s="140"/>
      <c r="AL43" s="140"/>
      <c r="AM43" s="140"/>
      <c r="AN43" s="140"/>
      <c r="AO43" s="140"/>
      <c r="AP43" s="62"/>
      <c r="AQ43" s="62"/>
      <c r="AR43" s="143"/>
      <c r="AS43" s="143"/>
      <c r="AT43" s="143"/>
      <c r="AU43" s="143"/>
      <c r="AV43" s="143"/>
      <c r="AW43" s="143"/>
      <c r="AX43" s="141"/>
      <c r="AY43" s="141"/>
      <c r="AZ43" s="62">
        <f t="shared" si="14"/>
        <v>0</v>
      </c>
      <c r="BA43" s="62"/>
      <c r="BB43" s="123">
        <f>'PROY. INTER'!AX43</f>
        <v>0</v>
      </c>
      <c r="BC43" s="62">
        <f t="shared" si="15"/>
        <v>0</v>
      </c>
      <c r="BD43" s="62">
        <f t="shared" si="16"/>
        <v>0</v>
      </c>
      <c r="BE43" s="64">
        <f t="shared" si="17"/>
        <v>0</v>
      </c>
      <c r="BG43" s="2"/>
      <c r="BI43" s="56">
        <v>32.0</v>
      </c>
      <c r="BJ43" s="124" t="str">
        <f t="shared" ref="BJ43:BK43" si="150">B43</f>
        <v/>
      </c>
      <c r="BK43" s="125" t="str">
        <f t="shared" si="150"/>
        <v/>
      </c>
      <c r="BL43" s="140"/>
      <c r="BM43" s="140"/>
      <c r="BN43" s="140"/>
      <c r="BO43" s="140"/>
      <c r="BP43" s="140"/>
      <c r="BQ43" s="140"/>
      <c r="BR43" s="140"/>
      <c r="BS43" s="140"/>
      <c r="BT43" s="62"/>
      <c r="BU43" s="62"/>
      <c r="BV43" s="143"/>
      <c r="BW43" s="143"/>
      <c r="BX43" s="143"/>
      <c r="BY43" s="143"/>
      <c r="BZ43" s="143"/>
      <c r="CA43" s="143"/>
      <c r="CB43" s="141"/>
      <c r="CC43" s="141"/>
      <c r="CD43" s="62">
        <f t="shared" si="19"/>
        <v>0</v>
      </c>
      <c r="CE43" s="62"/>
      <c r="CF43" s="123">
        <f>'PROY. INTER'!BY43</f>
        <v>0</v>
      </c>
      <c r="CG43" s="62">
        <f t="shared" si="20"/>
        <v>0</v>
      </c>
      <c r="CH43" s="62">
        <f t="shared" si="21"/>
        <v>0</v>
      </c>
      <c r="CI43" s="64">
        <f t="shared" si="22"/>
        <v>0</v>
      </c>
      <c r="CK43" s="2"/>
      <c r="CM43" s="126">
        <v>32.0</v>
      </c>
      <c r="CN43" s="127" t="str">
        <f t="shared" ref="CN43:CO43" si="151">B43</f>
        <v/>
      </c>
      <c r="CO43" s="128" t="str">
        <f t="shared" si="151"/>
        <v/>
      </c>
      <c r="CP43" s="129">
        <f t="shared" si="24"/>
        <v>0</v>
      </c>
      <c r="CQ43" s="129">
        <f t="shared" si="25"/>
        <v>0</v>
      </c>
      <c r="CR43" s="129">
        <f t="shared" si="26"/>
        <v>0</v>
      </c>
      <c r="CS43" s="130">
        <f t="shared" si="27"/>
        <v>0</v>
      </c>
      <c r="CT43" s="131" t="str">
        <f t="shared" si="28"/>
        <v>REPROBADO</v>
      </c>
      <c r="CV43" s="2"/>
      <c r="CX43" s="132">
        <v>32.0</v>
      </c>
      <c r="CY43" s="133" t="str">
        <f t="shared" ref="CY43:CZ43" si="152">B43</f>
        <v/>
      </c>
      <c r="CZ43" s="134" t="str">
        <f t="shared" si="152"/>
        <v/>
      </c>
      <c r="DA43" s="244">
        <f t="shared" si="30"/>
        <v>0</v>
      </c>
      <c r="DB43" s="136"/>
      <c r="DC43" s="137">
        <f t="shared" si="31"/>
        <v>0</v>
      </c>
      <c r="DD43" s="138" t="str">
        <f t="shared" si="32"/>
        <v>NO PROMOVIDO</v>
      </c>
    </row>
    <row r="44" ht="15.75" customHeight="1">
      <c r="A44" s="56">
        <v>33.0</v>
      </c>
      <c r="B44" s="57" t="str">
        <f>LEN!B44</f>
        <v/>
      </c>
      <c r="C44" s="57" t="str">
        <f>LEN!C44</f>
        <v/>
      </c>
      <c r="D44" s="140"/>
      <c r="E44" s="140"/>
      <c r="F44" s="140"/>
      <c r="G44" s="140"/>
      <c r="H44" s="140"/>
      <c r="I44" s="140"/>
      <c r="J44" s="140"/>
      <c r="K44" s="140"/>
      <c r="L44" s="62"/>
      <c r="M44" s="62"/>
      <c r="N44" s="143"/>
      <c r="O44" s="143"/>
      <c r="P44" s="143"/>
      <c r="Q44" s="143"/>
      <c r="R44" s="143"/>
      <c r="S44" s="143"/>
      <c r="T44" s="141"/>
      <c r="U44" s="141"/>
      <c r="V44" s="62">
        <f t="shared" si="9"/>
        <v>0</v>
      </c>
      <c r="W44" s="62"/>
      <c r="X44" s="123">
        <f>'PROY. INTER'!W44</f>
        <v>0</v>
      </c>
      <c r="Y44" s="62">
        <f t="shared" si="10"/>
        <v>0</v>
      </c>
      <c r="Z44" s="62">
        <f t="shared" si="11"/>
        <v>0</v>
      </c>
      <c r="AA44" s="64">
        <f t="shared" si="12"/>
        <v>0</v>
      </c>
      <c r="AC44" s="2"/>
      <c r="AE44" s="56">
        <v>33.0</v>
      </c>
      <c r="AF44" s="124" t="str">
        <f t="shared" ref="AF44:AG44" si="153">B44</f>
        <v/>
      </c>
      <c r="AG44" s="125" t="str">
        <f t="shared" si="153"/>
        <v/>
      </c>
      <c r="AH44" s="140"/>
      <c r="AI44" s="140"/>
      <c r="AJ44" s="140"/>
      <c r="AK44" s="140"/>
      <c r="AL44" s="140"/>
      <c r="AM44" s="140"/>
      <c r="AN44" s="140"/>
      <c r="AO44" s="140"/>
      <c r="AP44" s="62"/>
      <c r="AQ44" s="62"/>
      <c r="AR44" s="143"/>
      <c r="AS44" s="143"/>
      <c r="AT44" s="143"/>
      <c r="AU44" s="143"/>
      <c r="AV44" s="143"/>
      <c r="AW44" s="143"/>
      <c r="AX44" s="141"/>
      <c r="AY44" s="141"/>
      <c r="AZ44" s="62">
        <f t="shared" si="14"/>
        <v>0</v>
      </c>
      <c r="BA44" s="62"/>
      <c r="BB44" s="123">
        <f>'PROY. INTER'!AX44</f>
        <v>0</v>
      </c>
      <c r="BC44" s="62">
        <f t="shared" si="15"/>
        <v>0</v>
      </c>
      <c r="BD44" s="62">
        <f t="shared" si="16"/>
        <v>0</v>
      </c>
      <c r="BE44" s="64">
        <f t="shared" si="17"/>
        <v>0</v>
      </c>
      <c r="BG44" s="2"/>
      <c r="BI44" s="56">
        <v>33.0</v>
      </c>
      <c r="BJ44" s="124" t="str">
        <f t="shared" ref="BJ44:BK44" si="154">B44</f>
        <v/>
      </c>
      <c r="BK44" s="125" t="str">
        <f t="shared" si="154"/>
        <v/>
      </c>
      <c r="BL44" s="140"/>
      <c r="BM44" s="140"/>
      <c r="BN44" s="140"/>
      <c r="BO44" s="140"/>
      <c r="BP44" s="140"/>
      <c r="BQ44" s="140"/>
      <c r="BR44" s="140"/>
      <c r="BS44" s="140"/>
      <c r="BT44" s="62"/>
      <c r="BU44" s="62"/>
      <c r="BV44" s="143"/>
      <c r="BW44" s="143"/>
      <c r="BX44" s="143"/>
      <c r="BY44" s="143"/>
      <c r="BZ44" s="143"/>
      <c r="CA44" s="143"/>
      <c r="CB44" s="141"/>
      <c r="CC44" s="141"/>
      <c r="CD44" s="62">
        <f t="shared" si="19"/>
        <v>0</v>
      </c>
      <c r="CE44" s="62"/>
      <c r="CF44" s="123">
        <f>'PROY. INTER'!BY44</f>
        <v>0</v>
      </c>
      <c r="CG44" s="62">
        <f t="shared" si="20"/>
        <v>0</v>
      </c>
      <c r="CH44" s="62">
        <f t="shared" si="21"/>
        <v>0</v>
      </c>
      <c r="CI44" s="64">
        <f t="shared" si="22"/>
        <v>0</v>
      </c>
      <c r="CK44" s="2"/>
      <c r="CM44" s="126">
        <v>33.0</v>
      </c>
      <c r="CN44" s="127" t="str">
        <f t="shared" ref="CN44:CO44" si="155">B44</f>
        <v/>
      </c>
      <c r="CO44" s="128" t="str">
        <f t="shared" si="155"/>
        <v/>
      </c>
      <c r="CP44" s="129">
        <f t="shared" si="24"/>
        <v>0</v>
      </c>
      <c r="CQ44" s="129">
        <f t="shared" si="25"/>
        <v>0</v>
      </c>
      <c r="CR44" s="129">
        <f t="shared" si="26"/>
        <v>0</v>
      </c>
      <c r="CS44" s="130">
        <f t="shared" si="27"/>
        <v>0</v>
      </c>
      <c r="CT44" s="131" t="str">
        <f t="shared" si="28"/>
        <v>REPROBADO</v>
      </c>
      <c r="CV44" s="2"/>
      <c r="CX44" s="132">
        <v>33.0</v>
      </c>
      <c r="CY44" s="133" t="str">
        <f t="shared" ref="CY44:CZ44" si="156">B44</f>
        <v/>
      </c>
      <c r="CZ44" s="134" t="str">
        <f t="shared" si="156"/>
        <v/>
      </c>
      <c r="DA44" s="244">
        <f t="shared" si="30"/>
        <v>0</v>
      </c>
      <c r="DB44" s="136"/>
      <c r="DC44" s="137">
        <f t="shared" si="31"/>
        <v>0</v>
      </c>
      <c r="DD44" s="138" t="str">
        <f t="shared" si="32"/>
        <v>NO PROMOVIDO</v>
      </c>
    </row>
    <row r="45" ht="15.75" customHeight="1">
      <c r="A45" s="56">
        <v>34.0</v>
      </c>
      <c r="B45" s="57" t="str">
        <f>LEN!B45</f>
        <v/>
      </c>
      <c r="C45" s="57" t="str">
        <f>LEN!C45</f>
        <v/>
      </c>
      <c r="D45" s="140"/>
      <c r="E45" s="140"/>
      <c r="F45" s="140"/>
      <c r="G45" s="140"/>
      <c r="H45" s="140"/>
      <c r="I45" s="140"/>
      <c r="J45" s="140"/>
      <c r="K45" s="140"/>
      <c r="L45" s="62"/>
      <c r="M45" s="62"/>
      <c r="N45" s="143"/>
      <c r="O45" s="143"/>
      <c r="P45" s="143"/>
      <c r="Q45" s="143"/>
      <c r="R45" s="143"/>
      <c r="S45" s="143"/>
      <c r="T45" s="141"/>
      <c r="U45" s="141"/>
      <c r="V45" s="62">
        <f t="shared" si="9"/>
        <v>0</v>
      </c>
      <c r="W45" s="62"/>
      <c r="X45" s="123">
        <f>'PROY. INTER'!W45</f>
        <v>0</v>
      </c>
      <c r="Y45" s="62">
        <f t="shared" si="10"/>
        <v>0</v>
      </c>
      <c r="Z45" s="62">
        <f t="shared" si="11"/>
        <v>0</v>
      </c>
      <c r="AA45" s="64">
        <f t="shared" si="12"/>
        <v>0</v>
      </c>
      <c r="AC45" s="2"/>
      <c r="AE45" s="56">
        <v>34.0</v>
      </c>
      <c r="AF45" s="124" t="str">
        <f t="shared" ref="AF45:AG45" si="157">B45</f>
        <v/>
      </c>
      <c r="AG45" s="125" t="str">
        <f t="shared" si="157"/>
        <v/>
      </c>
      <c r="AH45" s="140"/>
      <c r="AI45" s="140"/>
      <c r="AJ45" s="140"/>
      <c r="AK45" s="140"/>
      <c r="AL45" s="140"/>
      <c r="AM45" s="140"/>
      <c r="AN45" s="140"/>
      <c r="AO45" s="140"/>
      <c r="AP45" s="62"/>
      <c r="AQ45" s="62"/>
      <c r="AR45" s="143"/>
      <c r="AS45" s="143"/>
      <c r="AT45" s="143"/>
      <c r="AU45" s="143"/>
      <c r="AV45" s="143"/>
      <c r="AW45" s="143"/>
      <c r="AX45" s="141"/>
      <c r="AY45" s="141"/>
      <c r="AZ45" s="62">
        <f t="shared" si="14"/>
        <v>0</v>
      </c>
      <c r="BA45" s="62"/>
      <c r="BB45" s="123">
        <f>'PROY. INTER'!AX45</f>
        <v>0</v>
      </c>
      <c r="BC45" s="62">
        <f t="shared" si="15"/>
        <v>0</v>
      </c>
      <c r="BD45" s="62">
        <f t="shared" si="16"/>
        <v>0</v>
      </c>
      <c r="BE45" s="64">
        <f t="shared" si="17"/>
        <v>0</v>
      </c>
      <c r="BG45" s="2"/>
      <c r="BI45" s="56">
        <v>34.0</v>
      </c>
      <c r="BJ45" s="124" t="str">
        <f t="shared" ref="BJ45:BK45" si="158">B45</f>
        <v/>
      </c>
      <c r="BK45" s="125" t="str">
        <f t="shared" si="158"/>
        <v/>
      </c>
      <c r="BL45" s="140"/>
      <c r="BM45" s="140"/>
      <c r="BN45" s="140"/>
      <c r="BO45" s="140"/>
      <c r="BP45" s="140"/>
      <c r="BQ45" s="140"/>
      <c r="BR45" s="140"/>
      <c r="BS45" s="140"/>
      <c r="BT45" s="62"/>
      <c r="BU45" s="62"/>
      <c r="BV45" s="143"/>
      <c r="BW45" s="143"/>
      <c r="BX45" s="143"/>
      <c r="BY45" s="143"/>
      <c r="BZ45" s="143"/>
      <c r="CA45" s="143"/>
      <c r="CB45" s="141"/>
      <c r="CC45" s="141"/>
      <c r="CD45" s="62">
        <f t="shared" si="19"/>
        <v>0</v>
      </c>
      <c r="CE45" s="62"/>
      <c r="CF45" s="123">
        <f>'PROY. INTER'!BY45</f>
        <v>0</v>
      </c>
      <c r="CG45" s="62">
        <f t="shared" si="20"/>
        <v>0</v>
      </c>
      <c r="CH45" s="62">
        <f t="shared" si="21"/>
        <v>0</v>
      </c>
      <c r="CI45" s="64">
        <f t="shared" si="22"/>
        <v>0</v>
      </c>
      <c r="CK45" s="2"/>
      <c r="CM45" s="126">
        <v>34.0</v>
      </c>
      <c r="CN45" s="127" t="str">
        <f t="shared" ref="CN45:CO45" si="159">B45</f>
        <v/>
      </c>
      <c r="CO45" s="128" t="str">
        <f t="shared" si="159"/>
        <v/>
      </c>
      <c r="CP45" s="129">
        <f t="shared" si="24"/>
        <v>0</v>
      </c>
      <c r="CQ45" s="129">
        <f t="shared" si="25"/>
        <v>0</v>
      </c>
      <c r="CR45" s="129">
        <f t="shared" si="26"/>
        <v>0</v>
      </c>
      <c r="CS45" s="130">
        <f t="shared" si="27"/>
        <v>0</v>
      </c>
      <c r="CT45" s="131" t="str">
        <f t="shared" si="28"/>
        <v>REPROBADO</v>
      </c>
      <c r="CV45" s="2"/>
      <c r="CX45" s="132">
        <v>34.0</v>
      </c>
      <c r="CY45" s="133" t="str">
        <f t="shared" ref="CY45:CZ45" si="160">B45</f>
        <v/>
      </c>
      <c r="CZ45" s="134" t="str">
        <f t="shared" si="160"/>
        <v/>
      </c>
      <c r="DA45" s="244">
        <f t="shared" si="30"/>
        <v>0</v>
      </c>
      <c r="DB45" s="136"/>
      <c r="DC45" s="137">
        <f t="shared" si="31"/>
        <v>0</v>
      </c>
      <c r="DD45" s="138" t="str">
        <f t="shared" si="32"/>
        <v>NO PROMOVIDO</v>
      </c>
    </row>
    <row r="46" ht="15.75" customHeight="1">
      <c r="A46" s="56">
        <v>35.0</v>
      </c>
      <c r="B46" s="57" t="str">
        <f>LEN!B46</f>
        <v/>
      </c>
      <c r="C46" s="57" t="str">
        <f>LEN!C46</f>
        <v/>
      </c>
      <c r="D46" s="140"/>
      <c r="E46" s="140"/>
      <c r="F46" s="140"/>
      <c r="G46" s="140"/>
      <c r="H46" s="140"/>
      <c r="I46" s="140"/>
      <c r="J46" s="140"/>
      <c r="K46" s="140"/>
      <c r="L46" s="62"/>
      <c r="M46" s="62"/>
      <c r="N46" s="143"/>
      <c r="O46" s="143"/>
      <c r="P46" s="143"/>
      <c r="Q46" s="143"/>
      <c r="R46" s="143"/>
      <c r="S46" s="143"/>
      <c r="T46" s="141"/>
      <c r="U46" s="141"/>
      <c r="V46" s="62">
        <f t="shared" si="9"/>
        <v>0</v>
      </c>
      <c r="W46" s="62"/>
      <c r="X46" s="123">
        <f>'PROY. INTER'!W46</f>
        <v>0</v>
      </c>
      <c r="Y46" s="62">
        <f t="shared" si="10"/>
        <v>0</v>
      </c>
      <c r="Z46" s="62">
        <f t="shared" si="11"/>
        <v>0</v>
      </c>
      <c r="AA46" s="64">
        <f t="shared" si="12"/>
        <v>0</v>
      </c>
      <c r="AC46" s="2"/>
      <c r="AE46" s="56">
        <v>35.0</v>
      </c>
      <c r="AF46" s="124" t="str">
        <f t="shared" ref="AF46:AG46" si="161">B46</f>
        <v/>
      </c>
      <c r="AG46" s="125" t="str">
        <f t="shared" si="161"/>
        <v/>
      </c>
      <c r="AH46" s="140"/>
      <c r="AI46" s="140"/>
      <c r="AJ46" s="140"/>
      <c r="AK46" s="140"/>
      <c r="AL46" s="140"/>
      <c r="AM46" s="140"/>
      <c r="AN46" s="140"/>
      <c r="AO46" s="140"/>
      <c r="AP46" s="62"/>
      <c r="AQ46" s="62"/>
      <c r="AR46" s="143"/>
      <c r="AS46" s="143"/>
      <c r="AT46" s="143"/>
      <c r="AU46" s="143"/>
      <c r="AV46" s="143"/>
      <c r="AW46" s="143"/>
      <c r="AX46" s="141"/>
      <c r="AY46" s="141"/>
      <c r="AZ46" s="62">
        <f t="shared" si="14"/>
        <v>0</v>
      </c>
      <c r="BA46" s="62"/>
      <c r="BB46" s="123">
        <f>'PROY. INTER'!AX46</f>
        <v>0</v>
      </c>
      <c r="BC46" s="62">
        <f t="shared" si="15"/>
        <v>0</v>
      </c>
      <c r="BD46" s="62">
        <f t="shared" si="16"/>
        <v>0</v>
      </c>
      <c r="BE46" s="64">
        <f t="shared" si="17"/>
        <v>0</v>
      </c>
      <c r="BG46" s="2"/>
      <c r="BI46" s="56">
        <v>35.0</v>
      </c>
      <c r="BJ46" s="124" t="str">
        <f t="shared" ref="BJ46:BK46" si="162">B46</f>
        <v/>
      </c>
      <c r="BK46" s="125" t="str">
        <f t="shared" si="162"/>
        <v/>
      </c>
      <c r="BL46" s="140"/>
      <c r="BM46" s="140"/>
      <c r="BN46" s="140"/>
      <c r="BO46" s="140"/>
      <c r="BP46" s="140"/>
      <c r="BQ46" s="140"/>
      <c r="BR46" s="140"/>
      <c r="BS46" s="140"/>
      <c r="BT46" s="62"/>
      <c r="BU46" s="62"/>
      <c r="BV46" s="143"/>
      <c r="BW46" s="143"/>
      <c r="BX46" s="143"/>
      <c r="BY46" s="143"/>
      <c r="BZ46" s="143"/>
      <c r="CA46" s="143"/>
      <c r="CB46" s="141"/>
      <c r="CC46" s="141"/>
      <c r="CD46" s="62">
        <f t="shared" si="19"/>
        <v>0</v>
      </c>
      <c r="CE46" s="62"/>
      <c r="CF46" s="123">
        <f>'PROY. INTER'!BY46</f>
        <v>0</v>
      </c>
      <c r="CG46" s="62">
        <f t="shared" si="20"/>
        <v>0</v>
      </c>
      <c r="CH46" s="62">
        <f t="shared" si="21"/>
        <v>0</v>
      </c>
      <c r="CI46" s="64">
        <f t="shared" si="22"/>
        <v>0</v>
      </c>
      <c r="CK46" s="2"/>
      <c r="CM46" s="126">
        <v>35.0</v>
      </c>
      <c r="CN46" s="127" t="str">
        <f t="shared" ref="CN46:CO46" si="163">B46</f>
        <v/>
      </c>
      <c r="CO46" s="128" t="str">
        <f t="shared" si="163"/>
        <v/>
      </c>
      <c r="CP46" s="129">
        <f t="shared" si="24"/>
        <v>0</v>
      </c>
      <c r="CQ46" s="129">
        <f t="shared" si="25"/>
        <v>0</v>
      </c>
      <c r="CR46" s="129">
        <f t="shared" si="26"/>
        <v>0</v>
      </c>
      <c r="CS46" s="130">
        <f t="shared" si="27"/>
        <v>0</v>
      </c>
      <c r="CT46" s="131" t="str">
        <f t="shared" si="28"/>
        <v>REPROBADO</v>
      </c>
      <c r="CV46" s="2"/>
      <c r="CX46" s="132">
        <v>35.0</v>
      </c>
      <c r="CY46" s="133" t="str">
        <f t="shared" ref="CY46:CZ46" si="164">B46</f>
        <v/>
      </c>
      <c r="CZ46" s="134" t="str">
        <f t="shared" si="164"/>
        <v/>
      </c>
      <c r="DA46" s="244">
        <f t="shared" si="30"/>
        <v>0</v>
      </c>
      <c r="DB46" s="136"/>
      <c r="DC46" s="137">
        <f t="shared" si="31"/>
        <v>0</v>
      </c>
      <c r="DD46" s="138" t="str">
        <f t="shared" si="32"/>
        <v>NO PROMOVIDO</v>
      </c>
    </row>
    <row r="47" ht="15.75" customHeight="1">
      <c r="A47" s="56">
        <v>36.0</v>
      </c>
      <c r="B47" s="57" t="str">
        <f>LEN!B47</f>
        <v/>
      </c>
      <c r="C47" s="57" t="str">
        <f>LEN!C47</f>
        <v/>
      </c>
      <c r="D47" s="140"/>
      <c r="E47" s="140"/>
      <c r="F47" s="140"/>
      <c r="G47" s="140"/>
      <c r="H47" s="140"/>
      <c r="I47" s="140"/>
      <c r="J47" s="140"/>
      <c r="K47" s="140"/>
      <c r="L47" s="62"/>
      <c r="M47" s="62"/>
      <c r="N47" s="143"/>
      <c r="O47" s="143"/>
      <c r="P47" s="143"/>
      <c r="Q47" s="143"/>
      <c r="R47" s="143"/>
      <c r="S47" s="143"/>
      <c r="T47" s="141"/>
      <c r="U47" s="141"/>
      <c r="V47" s="62">
        <f t="shared" si="9"/>
        <v>0</v>
      </c>
      <c r="W47" s="62"/>
      <c r="X47" s="123">
        <f>'PROY. INTER'!W47</f>
        <v>0</v>
      </c>
      <c r="Y47" s="62">
        <f t="shared" si="10"/>
        <v>0</v>
      </c>
      <c r="Z47" s="62">
        <f t="shared" si="11"/>
        <v>0</v>
      </c>
      <c r="AA47" s="64">
        <f t="shared" si="12"/>
        <v>0</v>
      </c>
      <c r="AC47" s="2"/>
      <c r="AE47" s="56">
        <v>36.0</v>
      </c>
      <c r="AF47" s="124" t="str">
        <f t="shared" ref="AF47:AG47" si="165">B47</f>
        <v/>
      </c>
      <c r="AG47" s="125" t="str">
        <f t="shared" si="165"/>
        <v/>
      </c>
      <c r="AH47" s="140"/>
      <c r="AI47" s="140"/>
      <c r="AJ47" s="140"/>
      <c r="AK47" s="140"/>
      <c r="AL47" s="140"/>
      <c r="AM47" s="140"/>
      <c r="AN47" s="140"/>
      <c r="AO47" s="140"/>
      <c r="AP47" s="62"/>
      <c r="AQ47" s="62"/>
      <c r="AR47" s="143"/>
      <c r="AS47" s="143"/>
      <c r="AT47" s="143"/>
      <c r="AU47" s="143"/>
      <c r="AV47" s="143"/>
      <c r="AW47" s="143"/>
      <c r="AX47" s="141"/>
      <c r="AY47" s="141"/>
      <c r="AZ47" s="62">
        <f t="shared" si="14"/>
        <v>0</v>
      </c>
      <c r="BA47" s="62"/>
      <c r="BB47" s="123">
        <f>'PROY. INTER'!AX47</f>
        <v>0</v>
      </c>
      <c r="BC47" s="62">
        <f t="shared" si="15"/>
        <v>0</v>
      </c>
      <c r="BD47" s="62">
        <f t="shared" si="16"/>
        <v>0</v>
      </c>
      <c r="BE47" s="64">
        <f t="shared" si="17"/>
        <v>0</v>
      </c>
      <c r="BG47" s="2"/>
      <c r="BI47" s="56">
        <v>36.0</v>
      </c>
      <c r="BJ47" s="124" t="str">
        <f t="shared" ref="BJ47:BK47" si="166">B47</f>
        <v/>
      </c>
      <c r="BK47" s="125" t="str">
        <f t="shared" si="166"/>
        <v/>
      </c>
      <c r="BL47" s="140"/>
      <c r="BM47" s="140"/>
      <c r="BN47" s="140"/>
      <c r="BO47" s="140"/>
      <c r="BP47" s="140"/>
      <c r="BQ47" s="140"/>
      <c r="BR47" s="140"/>
      <c r="BS47" s="140"/>
      <c r="BT47" s="62"/>
      <c r="BU47" s="62"/>
      <c r="BV47" s="143"/>
      <c r="BW47" s="143"/>
      <c r="BX47" s="143"/>
      <c r="BY47" s="143"/>
      <c r="BZ47" s="143"/>
      <c r="CA47" s="143"/>
      <c r="CB47" s="141"/>
      <c r="CC47" s="141"/>
      <c r="CD47" s="62">
        <f t="shared" si="19"/>
        <v>0</v>
      </c>
      <c r="CE47" s="62"/>
      <c r="CF47" s="123">
        <f>'PROY. INTER'!BY47</f>
        <v>0</v>
      </c>
      <c r="CG47" s="62">
        <f t="shared" si="20"/>
        <v>0</v>
      </c>
      <c r="CH47" s="62">
        <f t="shared" si="21"/>
        <v>0</v>
      </c>
      <c r="CI47" s="64">
        <f t="shared" si="22"/>
        <v>0</v>
      </c>
      <c r="CK47" s="2"/>
      <c r="CM47" s="126">
        <v>36.0</v>
      </c>
      <c r="CN47" s="127" t="str">
        <f t="shared" ref="CN47:CO47" si="167">B47</f>
        <v/>
      </c>
      <c r="CO47" s="128" t="str">
        <f t="shared" si="167"/>
        <v/>
      </c>
      <c r="CP47" s="129">
        <f t="shared" si="24"/>
        <v>0</v>
      </c>
      <c r="CQ47" s="129">
        <f t="shared" si="25"/>
        <v>0</v>
      </c>
      <c r="CR47" s="129">
        <f t="shared" si="26"/>
        <v>0</v>
      </c>
      <c r="CS47" s="130">
        <f t="shared" si="27"/>
        <v>0</v>
      </c>
      <c r="CT47" s="131" t="str">
        <f t="shared" si="28"/>
        <v>REPROBADO</v>
      </c>
      <c r="CV47" s="2"/>
      <c r="CX47" s="132">
        <v>36.0</v>
      </c>
      <c r="CY47" s="133" t="str">
        <f t="shared" ref="CY47:CZ47" si="168">B47</f>
        <v/>
      </c>
      <c r="CZ47" s="134" t="str">
        <f t="shared" si="168"/>
        <v/>
      </c>
      <c r="DA47" s="244">
        <f t="shared" si="30"/>
        <v>0</v>
      </c>
      <c r="DB47" s="136"/>
      <c r="DC47" s="137">
        <f t="shared" si="31"/>
        <v>0</v>
      </c>
      <c r="DD47" s="138" t="str">
        <f t="shared" si="32"/>
        <v>NO PROMOVIDO</v>
      </c>
    </row>
    <row r="48" ht="15.75" customHeight="1">
      <c r="A48" s="56">
        <v>37.0</v>
      </c>
      <c r="B48" s="57" t="str">
        <f>LEN!B48</f>
        <v/>
      </c>
      <c r="C48" s="57" t="str">
        <f>LEN!C48</f>
        <v/>
      </c>
      <c r="D48" s="140"/>
      <c r="E48" s="140"/>
      <c r="F48" s="140"/>
      <c r="G48" s="140"/>
      <c r="H48" s="140"/>
      <c r="I48" s="140"/>
      <c r="J48" s="140"/>
      <c r="K48" s="140"/>
      <c r="L48" s="62"/>
      <c r="M48" s="62"/>
      <c r="N48" s="143"/>
      <c r="O48" s="143"/>
      <c r="P48" s="143"/>
      <c r="Q48" s="143"/>
      <c r="R48" s="143"/>
      <c r="S48" s="143"/>
      <c r="T48" s="141"/>
      <c r="U48" s="141"/>
      <c r="V48" s="62">
        <f t="shared" si="9"/>
        <v>0</v>
      </c>
      <c r="W48" s="62"/>
      <c r="X48" s="123">
        <f>'PROY. INTER'!W48</f>
        <v>0</v>
      </c>
      <c r="Y48" s="62">
        <f t="shared" si="10"/>
        <v>0</v>
      </c>
      <c r="Z48" s="62">
        <f t="shared" si="11"/>
        <v>0</v>
      </c>
      <c r="AA48" s="64">
        <f t="shared" si="12"/>
        <v>0</v>
      </c>
      <c r="AC48" s="2"/>
      <c r="AE48" s="56">
        <v>37.0</v>
      </c>
      <c r="AF48" s="124" t="str">
        <f t="shared" ref="AF48:AG48" si="169">B48</f>
        <v/>
      </c>
      <c r="AG48" s="125" t="str">
        <f t="shared" si="169"/>
        <v/>
      </c>
      <c r="AH48" s="140"/>
      <c r="AI48" s="140"/>
      <c r="AJ48" s="140"/>
      <c r="AK48" s="140"/>
      <c r="AL48" s="140"/>
      <c r="AM48" s="140"/>
      <c r="AN48" s="140"/>
      <c r="AO48" s="140"/>
      <c r="AP48" s="62"/>
      <c r="AQ48" s="62"/>
      <c r="AR48" s="143"/>
      <c r="AS48" s="143"/>
      <c r="AT48" s="143"/>
      <c r="AU48" s="143"/>
      <c r="AV48" s="143"/>
      <c r="AW48" s="143"/>
      <c r="AX48" s="141"/>
      <c r="AY48" s="141"/>
      <c r="AZ48" s="62">
        <f t="shared" si="14"/>
        <v>0</v>
      </c>
      <c r="BA48" s="62"/>
      <c r="BB48" s="123">
        <f>'PROY. INTER'!AX48</f>
        <v>0</v>
      </c>
      <c r="BC48" s="62">
        <f t="shared" si="15"/>
        <v>0</v>
      </c>
      <c r="BD48" s="62">
        <f t="shared" si="16"/>
        <v>0</v>
      </c>
      <c r="BE48" s="64">
        <f t="shared" si="17"/>
        <v>0</v>
      </c>
      <c r="BG48" s="2"/>
      <c r="BI48" s="56">
        <v>37.0</v>
      </c>
      <c r="BJ48" s="124" t="str">
        <f t="shared" ref="BJ48:BK48" si="170">B48</f>
        <v/>
      </c>
      <c r="BK48" s="125" t="str">
        <f t="shared" si="170"/>
        <v/>
      </c>
      <c r="BL48" s="140"/>
      <c r="BM48" s="140"/>
      <c r="BN48" s="140"/>
      <c r="BO48" s="140"/>
      <c r="BP48" s="140"/>
      <c r="BQ48" s="140"/>
      <c r="BR48" s="140"/>
      <c r="BS48" s="140"/>
      <c r="BT48" s="62"/>
      <c r="BU48" s="62"/>
      <c r="BV48" s="143"/>
      <c r="BW48" s="143"/>
      <c r="BX48" s="143"/>
      <c r="BY48" s="143"/>
      <c r="BZ48" s="143"/>
      <c r="CA48" s="143"/>
      <c r="CB48" s="141"/>
      <c r="CC48" s="141"/>
      <c r="CD48" s="62">
        <f t="shared" si="19"/>
        <v>0</v>
      </c>
      <c r="CE48" s="62"/>
      <c r="CF48" s="123">
        <f>'PROY. INTER'!BY48</f>
        <v>0</v>
      </c>
      <c r="CG48" s="62">
        <f t="shared" si="20"/>
        <v>0</v>
      </c>
      <c r="CH48" s="62">
        <f t="shared" si="21"/>
        <v>0</v>
      </c>
      <c r="CI48" s="64">
        <f t="shared" si="22"/>
        <v>0</v>
      </c>
      <c r="CK48" s="2"/>
      <c r="CM48" s="126">
        <v>37.0</v>
      </c>
      <c r="CN48" s="127" t="str">
        <f t="shared" ref="CN48:CO48" si="171">B48</f>
        <v/>
      </c>
      <c r="CO48" s="128" t="str">
        <f t="shared" si="171"/>
        <v/>
      </c>
      <c r="CP48" s="129">
        <f t="shared" si="24"/>
        <v>0</v>
      </c>
      <c r="CQ48" s="129">
        <f t="shared" si="25"/>
        <v>0</v>
      </c>
      <c r="CR48" s="129">
        <f t="shared" si="26"/>
        <v>0</v>
      </c>
      <c r="CS48" s="130">
        <f t="shared" si="27"/>
        <v>0</v>
      </c>
      <c r="CT48" s="131" t="str">
        <f t="shared" si="28"/>
        <v>REPROBADO</v>
      </c>
      <c r="CV48" s="2"/>
      <c r="CX48" s="132">
        <v>37.0</v>
      </c>
      <c r="CY48" s="133" t="str">
        <f t="shared" ref="CY48:CZ48" si="172">B48</f>
        <v/>
      </c>
      <c r="CZ48" s="134" t="str">
        <f t="shared" si="172"/>
        <v/>
      </c>
      <c r="DA48" s="244">
        <f t="shared" si="30"/>
        <v>0</v>
      </c>
      <c r="DB48" s="136"/>
      <c r="DC48" s="137">
        <f t="shared" si="31"/>
        <v>0</v>
      </c>
      <c r="DD48" s="138" t="str">
        <f t="shared" si="32"/>
        <v>NO PROMOVIDO</v>
      </c>
    </row>
    <row r="49" ht="15.75" customHeight="1">
      <c r="A49" s="56">
        <v>38.0</v>
      </c>
      <c r="B49" s="57" t="str">
        <f>LEN!B49</f>
        <v/>
      </c>
      <c r="C49" s="57" t="str">
        <f>LEN!C49</f>
        <v/>
      </c>
      <c r="D49" s="140"/>
      <c r="E49" s="140"/>
      <c r="F49" s="140"/>
      <c r="G49" s="140"/>
      <c r="H49" s="140"/>
      <c r="I49" s="140"/>
      <c r="J49" s="140"/>
      <c r="K49" s="140"/>
      <c r="L49" s="62"/>
      <c r="M49" s="62"/>
      <c r="N49" s="143"/>
      <c r="O49" s="143"/>
      <c r="P49" s="143"/>
      <c r="Q49" s="143"/>
      <c r="R49" s="143"/>
      <c r="S49" s="143"/>
      <c r="T49" s="141"/>
      <c r="U49" s="141"/>
      <c r="V49" s="62">
        <f t="shared" si="9"/>
        <v>0</v>
      </c>
      <c r="W49" s="62"/>
      <c r="X49" s="123">
        <f>'PROY. INTER'!W49</f>
        <v>0</v>
      </c>
      <c r="Y49" s="62">
        <f t="shared" si="10"/>
        <v>0</v>
      </c>
      <c r="Z49" s="62">
        <f t="shared" si="11"/>
        <v>0</v>
      </c>
      <c r="AA49" s="64">
        <f t="shared" si="12"/>
        <v>0</v>
      </c>
      <c r="AC49" s="2"/>
      <c r="AE49" s="56">
        <v>38.0</v>
      </c>
      <c r="AF49" s="124" t="str">
        <f t="shared" ref="AF49:AG49" si="173">B49</f>
        <v/>
      </c>
      <c r="AG49" s="125" t="str">
        <f t="shared" si="173"/>
        <v/>
      </c>
      <c r="AH49" s="140"/>
      <c r="AI49" s="140"/>
      <c r="AJ49" s="140"/>
      <c r="AK49" s="140"/>
      <c r="AL49" s="140"/>
      <c r="AM49" s="140"/>
      <c r="AN49" s="140"/>
      <c r="AO49" s="140"/>
      <c r="AP49" s="62"/>
      <c r="AQ49" s="62"/>
      <c r="AR49" s="143"/>
      <c r="AS49" s="143"/>
      <c r="AT49" s="143"/>
      <c r="AU49" s="143"/>
      <c r="AV49" s="143"/>
      <c r="AW49" s="143"/>
      <c r="AX49" s="141"/>
      <c r="AY49" s="141"/>
      <c r="AZ49" s="62">
        <f t="shared" si="14"/>
        <v>0</v>
      </c>
      <c r="BA49" s="62"/>
      <c r="BB49" s="123">
        <f>'PROY. INTER'!AX49</f>
        <v>0</v>
      </c>
      <c r="BC49" s="62">
        <f t="shared" si="15"/>
        <v>0</v>
      </c>
      <c r="BD49" s="62">
        <f t="shared" si="16"/>
        <v>0</v>
      </c>
      <c r="BE49" s="64">
        <f t="shared" si="17"/>
        <v>0</v>
      </c>
      <c r="BG49" s="2"/>
      <c r="BI49" s="56">
        <v>38.0</v>
      </c>
      <c r="BJ49" s="124" t="str">
        <f t="shared" ref="BJ49:BK49" si="174">B49</f>
        <v/>
      </c>
      <c r="BK49" s="125" t="str">
        <f t="shared" si="174"/>
        <v/>
      </c>
      <c r="BL49" s="140"/>
      <c r="BM49" s="140"/>
      <c r="BN49" s="140"/>
      <c r="BO49" s="140"/>
      <c r="BP49" s="140"/>
      <c r="BQ49" s="140"/>
      <c r="BR49" s="140"/>
      <c r="BS49" s="140"/>
      <c r="BT49" s="62"/>
      <c r="BU49" s="62"/>
      <c r="BV49" s="143"/>
      <c r="BW49" s="143"/>
      <c r="BX49" s="143"/>
      <c r="BY49" s="143"/>
      <c r="BZ49" s="143"/>
      <c r="CA49" s="143"/>
      <c r="CB49" s="141"/>
      <c r="CC49" s="141"/>
      <c r="CD49" s="62">
        <f t="shared" si="19"/>
        <v>0</v>
      </c>
      <c r="CE49" s="62"/>
      <c r="CF49" s="123">
        <f>'PROY. INTER'!BY49</f>
        <v>0</v>
      </c>
      <c r="CG49" s="62">
        <f t="shared" si="20"/>
        <v>0</v>
      </c>
      <c r="CH49" s="62">
        <f t="shared" si="21"/>
        <v>0</v>
      </c>
      <c r="CI49" s="64">
        <f t="shared" si="22"/>
        <v>0</v>
      </c>
      <c r="CK49" s="2"/>
      <c r="CM49" s="126">
        <v>38.0</v>
      </c>
      <c r="CN49" s="127" t="str">
        <f t="shared" ref="CN49:CO49" si="175">B49</f>
        <v/>
      </c>
      <c r="CO49" s="128" t="str">
        <f t="shared" si="175"/>
        <v/>
      </c>
      <c r="CP49" s="129">
        <f t="shared" si="24"/>
        <v>0</v>
      </c>
      <c r="CQ49" s="129">
        <f t="shared" si="25"/>
        <v>0</v>
      </c>
      <c r="CR49" s="129">
        <f t="shared" si="26"/>
        <v>0</v>
      </c>
      <c r="CS49" s="130">
        <f t="shared" si="27"/>
        <v>0</v>
      </c>
      <c r="CT49" s="131" t="str">
        <f t="shared" si="28"/>
        <v>REPROBADO</v>
      </c>
      <c r="CV49" s="2"/>
      <c r="CX49" s="132">
        <v>38.0</v>
      </c>
      <c r="CY49" s="133" t="str">
        <f t="shared" ref="CY49:CZ49" si="176">B49</f>
        <v/>
      </c>
      <c r="CZ49" s="134" t="str">
        <f t="shared" si="176"/>
        <v/>
      </c>
      <c r="DA49" s="244">
        <f t="shared" si="30"/>
        <v>0</v>
      </c>
      <c r="DB49" s="136"/>
      <c r="DC49" s="137">
        <f t="shared" si="31"/>
        <v>0</v>
      </c>
      <c r="DD49" s="138" t="str">
        <f t="shared" si="32"/>
        <v>NO PROMOVIDO</v>
      </c>
    </row>
    <row r="50" ht="15.75" customHeight="1">
      <c r="A50" s="56">
        <v>39.0</v>
      </c>
      <c r="B50" s="57" t="str">
        <f>LEN!B50</f>
        <v/>
      </c>
      <c r="C50" s="57" t="str">
        <f>LEN!C50</f>
        <v/>
      </c>
      <c r="D50" s="140"/>
      <c r="E50" s="140"/>
      <c r="F50" s="140"/>
      <c r="G50" s="140"/>
      <c r="H50" s="140"/>
      <c r="I50" s="140"/>
      <c r="J50" s="140"/>
      <c r="K50" s="140"/>
      <c r="L50" s="62"/>
      <c r="M50" s="62"/>
      <c r="N50" s="143"/>
      <c r="O50" s="143"/>
      <c r="P50" s="143"/>
      <c r="Q50" s="143"/>
      <c r="R50" s="143"/>
      <c r="S50" s="143"/>
      <c r="T50" s="141"/>
      <c r="U50" s="141"/>
      <c r="V50" s="62">
        <f t="shared" si="9"/>
        <v>0</v>
      </c>
      <c r="W50" s="62"/>
      <c r="X50" s="123">
        <f>'PROY. INTER'!W50</f>
        <v>0</v>
      </c>
      <c r="Y50" s="62">
        <f t="shared" si="10"/>
        <v>0</v>
      </c>
      <c r="Z50" s="62">
        <f t="shared" si="11"/>
        <v>0</v>
      </c>
      <c r="AA50" s="64">
        <f t="shared" si="12"/>
        <v>0</v>
      </c>
      <c r="AC50" s="2"/>
      <c r="AE50" s="56">
        <v>39.0</v>
      </c>
      <c r="AF50" s="124" t="str">
        <f t="shared" ref="AF50:AG50" si="177">B50</f>
        <v/>
      </c>
      <c r="AG50" s="125" t="str">
        <f t="shared" si="177"/>
        <v/>
      </c>
      <c r="AH50" s="140"/>
      <c r="AI50" s="140"/>
      <c r="AJ50" s="140"/>
      <c r="AK50" s="140"/>
      <c r="AL50" s="140"/>
      <c r="AM50" s="140"/>
      <c r="AN50" s="140"/>
      <c r="AO50" s="140"/>
      <c r="AP50" s="62"/>
      <c r="AQ50" s="62"/>
      <c r="AR50" s="143"/>
      <c r="AS50" s="143"/>
      <c r="AT50" s="143"/>
      <c r="AU50" s="143"/>
      <c r="AV50" s="143"/>
      <c r="AW50" s="143"/>
      <c r="AX50" s="141"/>
      <c r="AY50" s="141"/>
      <c r="AZ50" s="62">
        <f t="shared" si="14"/>
        <v>0</v>
      </c>
      <c r="BA50" s="62"/>
      <c r="BB50" s="123">
        <f>'PROY. INTER'!AX50</f>
        <v>0</v>
      </c>
      <c r="BC50" s="62">
        <f t="shared" si="15"/>
        <v>0</v>
      </c>
      <c r="BD50" s="62">
        <f t="shared" si="16"/>
        <v>0</v>
      </c>
      <c r="BE50" s="64">
        <f t="shared" si="17"/>
        <v>0</v>
      </c>
      <c r="BG50" s="2"/>
      <c r="BI50" s="56">
        <v>39.0</v>
      </c>
      <c r="BJ50" s="124" t="str">
        <f t="shared" ref="BJ50:BK50" si="178">B50</f>
        <v/>
      </c>
      <c r="BK50" s="125" t="str">
        <f t="shared" si="178"/>
        <v/>
      </c>
      <c r="BL50" s="140"/>
      <c r="BM50" s="140"/>
      <c r="BN50" s="140"/>
      <c r="BO50" s="140"/>
      <c r="BP50" s="140"/>
      <c r="BQ50" s="140"/>
      <c r="BR50" s="140"/>
      <c r="BS50" s="140"/>
      <c r="BT50" s="62"/>
      <c r="BU50" s="62"/>
      <c r="BV50" s="143"/>
      <c r="BW50" s="143"/>
      <c r="BX50" s="143"/>
      <c r="BY50" s="143"/>
      <c r="BZ50" s="143"/>
      <c r="CA50" s="143"/>
      <c r="CB50" s="141"/>
      <c r="CC50" s="141"/>
      <c r="CD50" s="62">
        <f t="shared" si="19"/>
        <v>0</v>
      </c>
      <c r="CE50" s="62"/>
      <c r="CF50" s="123">
        <f>'PROY. INTER'!BY50</f>
        <v>0</v>
      </c>
      <c r="CG50" s="62">
        <f t="shared" si="20"/>
        <v>0</v>
      </c>
      <c r="CH50" s="62">
        <f t="shared" si="21"/>
        <v>0</v>
      </c>
      <c r="CI50" s="64">
        <f t="shared" si="22"/>
        <v>0</v>
      </c>
      <c r="CK50" s="2"/>
      <c r="CM50" s="126">
        <v>39.0</v>
      </c>
      <c r="CN50" s="127" t="str">
        <f t="shared" ref="CN50:CO50" si="179">B50</f>
        <v/>
      </c>
      <c r="CO50" s="128" t="str">
        <f t="shared" si="179"/>
        <v/>
      </c>
      <c r="CP50" s="129">
        <f t="shared" si="24"/>
        <v>0</v>
      </c>
      <c r="CQ50" s="129">
        <f t="shared" si="25"/>
        <v>0</v>
      </c>
      <c r="CR50" s="129">
        <f t="shared" si="26"/>
        <v>0</v>
      </c>
      <c r="CS50" s="130">
        <f t="shared" si="27"/>
        <v>0</v>
      </c>
      <c r="CT50" s="131" t="str">
        <f t="shared" si="28"/>
        <v>REPROBADO</v>
      </c>
      <c r="CV50" s="2"/>
      <c r="CX50" s="132">
        <v>39.0</v>
      </c>
      <c r="CY50" s="133" t="str">
        <f t="shared" ref="CY50:CZ50" si="180">B50</f>
        <v/>
      </c>
      <c r="CZ50" s="134" t="str">
        <f t="shared" si="180"/>
        <v/>
      </c>
      <c r="DA50" s="244">
        <f t="shared" si="30"/>
        <v>0</v>
      </c>
      <c r="DB50" s="136"/>
      <c r="DC50" s="137">
        <f t="shared" si="31"/>
        <v>0</v>
      </c>
      <c r="DD50" s="138" t="str">
        <f t="shared" si="32"/>
        <v>NO PROMOVIDO</v>
      </c>
    </row>
    <row r="51" ht="15.75" customHeight="1">
      <c r="A51" s="56">
        <v>40.0</v>
      </c>
      <c r="B51" s="57" t="str">
        <f>LEN!B51</f>
        <v/>
      </c>
      <c r="C51" s="57" t="str">
        <f>LEN!C51</f>
        <v/>
      </c>
      <c r="D51" s="140"/>
      <c r="E51" s="140"/>
      <c r="F51" s="140"/>
      <c r="G51" s="140"/>
      <c r="H51" s="140"/>
      <c r="I51" s="140"/>
      <c r="J51" s="140"/>
      <c r="K51" s="140"/>
      <c r="L51" s="62"/>
      <c r="M51" s="62"/>
      <c r="N51" s="143"/>
      <c r="O51" s="143"/>
      <c r="P51" s="143"/>
      <c r="Q51" s="143"/>
      <c r="R51" s="143"/>
      <c r="S51" s="143"/>
      <c r="T51" s="141"/>
      <c r="U51" s="141"/>
      <c r="V51" s="62">
        <f t="shared" si="9"/>
        <v>0</v>
      </c>
      <c r="W51" s="62"/>
      <c r="X51" s="123">
        <f>'PROY. INTER'!W56</f>
        <v>0</v>
      </c>
      <c r="Y51" s="62">
        <f t="shared" si="10"/>
        <v>0</v>
      </c>
      <c r="Z51" s="62">
        <f t="shared" si="11"/>
        <v>0</v>
      </c>
      <c r="AA51" s="64">
        <f t="shared" si="12"/>
        <v>0</v>
      </c>
      <c r="AC51" s="2"/>
      <c r="AE51" s="56">
        <v>40.0</v>
      </c>
      <c r="AF51" s="124" t="str">
        <f t="shared" ref="AF51:AG51" si="181">B51</f>
        <v/>
      </c>
      <c r="AG51" s="125" t="str">
        <f t="shared" si="181"/>
        <v/>
      </c>
      <c r="AH51" s="140"/>
      <c r="AI51" s="140"/>
      <c r="AJ51" s="140"/>
      <c r="AK51" s="140"/>
      <c r="AL51" s="140"/>
      <c r="AM51" s="140"/>
      <c r="AN51" s="140"/>
      <c r="AO51" s="140"/>
      <c r="AP51" s="62"/>
      <c r="AQ51" s="62"/>
      <c r="AR51" s="143"/>
      <c r="AS51" s="143"/>
      <c r="AT51" s="143"/>
      <c r="AU51" s="143"/>
      <c r="AV51" s="143"/>
      <c r="AW51" s="143"/>
      <c r="AX51" s="141"/>
      <c r="AY51" s="141"/>
      <c r="AZ51" s="62">
        <f t="shared" si="14"/>
        <v>0</v>
      </c>
      <c r="BA51" s="62"/>
      <c r="BB51" s="123">
        <f>'PROY. INTER'!AX56</f>
        <v>0</v>
      </c>
      <c r="BC51" s="62">
        <f t="shared" si="15"/>
        <v>0</v>
      </c>
      <c r="BD51" s="62">
        <f t="shared" si="16"/>
        <v>0</v>
      </c>
      <c r="BE51" s="64">
        <f t="shared" si="17"/>
        <v>0</v>
      </c>
      <c r="BG51" s="2"/>
      <c r="BI51" s="56">
        <v>40.0</v>
      </c>
      <c r="BJ51" s="124" t="str">
        <f t="shared" ref="BJ51:BK51" si="182">B51</f>
        <v/>
      </c>
      <c r="BK51" s="125" t="str">
        <f t="shared" si="182"/>
        <v/>
      </c>
      <c r="BL51" s="140"/>
      <c r="BM51" s="140"/>
      <c r="BN51" s="140"/>
      <c r="BO51" s="140"/>
      <c r="BP51" s="140"/>
      <c r="BQ51" s="140"/>
      <c r="BR51" s="140"/>
      <c r="BS51" s="140"/>
      <c r="BT51" s="62"/>
      <c r="BU51" s="62"/>
      <c r="BV51" s="143"/>
      <c r="BW51" s="143"/>
      <c r="BX51" s="143"/>
      <c r="BY51" s="143"/>
      <c r="BZ51" s="143"/>
      <c r="CA51" s="143"/>
      <c r="CB51" s="141"/>
      <c r="CC51" s="141"/>
      <c r="CD51" s="62">
        <f t="shared" si="19"/>
        <v>0</v>
      </c>
      <c r="CE51" s="62"/>
      <c r="CF51" s="123">
        <f>'PROY. INTER'!BY56</f>
        <v>0</v>
      </c>
      <c r="CG51" s="62">
        <f t="shared" si="20"/>
        <v>0</v>
      </c>
      <c r="CH51" s="62">
        <f t="shared" si="21"/>
        <v>0</v>
      </c>
      <c r="CI51" s="64">
        <f t="shared" si="22"/>
        <v>0</v>
      </c>
      <c r="CK51" s="2"/>
      <c r="CM51" s="126">
        <v>40.0</v>
      </c>
      <c r="CN51" s="127" t="str">
        <f t="shared" ref="CN51:CO51" si="183">B51</f>
        <v/>
      </c>
      <c r="CO51" s="128" t="str">
        <f t="shared" si="183"/>
        <v/>
      </c>
      <c r="CP51" s="129">
        <f t="shared" si="24"/>
        <v>0</v>
      </c>
      <c r="CQ51" s="129">
        <f t="shared" si="25"/>
        <v>0</v>
      </c>
      <c r="CR51" s="129">
        <f t="shared" si="26"/>
        <v>0</v>
      </c>
      <c r="CS51" s="130">
        <f t="shared" si="27"/>
        <v>0</v>
      </c>
      <c r="CT51" s="131" t="str">
        <f t="shared" si="28"/>
        <v>REPROBADO</v>
      </c>
      <c r="CV51" s="2"/>
      <c r="CX51" s="132">
        <v>40.0</v>
      </c>
      <c r="CY51" s="133" t="str">
        <f t="shared" ref="CY51:CZ51" si="184">B51</f>
        <v/>
      </c>
      <c r="CZ51" s="134" t="str">
        <f t="shared" si="184"/>
        <v/>
      </c>
      <c r="DA51" s="244">
        <f t="shared" si="30"/>
        <v>0</v>
      </c>
      <c r="DB51" s="136"/>
      <c r="DC51" s="137">
        <f t="shared" si="31"/>
        <v>0</v>
      </c>
      <c r="DD51" s="138" t="str">
        <f t="shared" si="32"/>
        <v>NO PROMOVIDO</v>
      </c>
    </row>
    <row r="52" ht="15.75" customHeight="1">
      <c r="A52" s="56">
        <v>41.0</v>
      </c>
      <c r="B52" s="57" t="str">
        <f>LEN!B52</f>
        <v/>
      </c>
      <c r="C52" s="57" t="str">
        <f>LEN!C52</f>
        <v/>
      </c>
      <c r="D52" s="140"/>
      <c r="E52" s="140"/>
      <c r="F52" s="140"/>
      <c r="G52" s="140"/>
      <c r="H52" s="140"/>
      <c r="I52" s="140"/>
      <c r="J52" s="140"/>
      <c r="K52" s="140"/>
      <c r="L52" s="62"/>
      <c r="M52" s="62"/>
      <c r="N52" s="143"/>
      <c r="O52" s="143"/>
      <c r="P52" s="143"/>
      <c r="Q52" s="143"/>
      <c r="R52" s="143"/>
      <c r="S52" s="143"/>
      <c r="T52" s="141"/>
      <c r="U52" s="141"/>
      <c r="V52" s="62">
        <f t="shared" si="9"/>
        <v>0</v>
      </c>
      <c r="W52" s="62"/>
      <c r="X52" s="123">
        <f>'PROY. INTER'!W57</f>
        <v>0</v>
      </c>
      <c r="Y52" s="62">
        <f t="shared" si="10"/>
        <v>0</v>
      </c>
      <c r="Z52" s="62">
        <f t="shared" si="11"/>
        <v>0</v>
      </c>
      <c r="AA52" s="64">
        <f t="shared" si="12"/>
        <v>0</v>
      </c>
      <c r="AC52" s="2"/>
      <c r="AE52" s="56">
        <v>41.0</v>
      </c>
      <c r="AF52" s="124" t="str">
        <f t="shared" ref="AF52:AG52" si="185">B52</f>
        <v/>
      </c>
      <c r="AG52" s="125" t="str">
        <f t="shared" si="185"/>
        <v/>
      </c>
      <c r="AH52" s="140"/>
      <c r="AI52" s="140"/>
      <c r="AJ52" s="140"/>
      <c r="AK52" s="140"/>
      <c r="AL52" s="140"/>
      <c r="AM52" s="140"/>
      <c r="AN52" s="140"/>
      <c r="AO52" s="140"/>
      <c r="AP52" s="62"/>
      <c r="AQ52" s="62"/>
      <c r="AR52" s="143"/>
      <c r="AS52" s="143"/>
      <c r="AT52" s="143"/>
      <c r="AU52" s="143"/>
      <c r="AV52" s="143"/>
      <c r="AW52" s="143"/>
      <c r="AX52" s="141"/>
      <c r="AY52" s="141"/>
      <c r="AZ52" s="62">
        <f t="shared" si="14"/>
        <v>0</v>
      </c>
      <c r="BA52" s="62"/>
      <c r="BB52" s="123">
        <f>'PROY. INTER'!AX57</f>
        <v>0</v>
      </c>
      <c r="BC52" s="62">
        <f t="shared" si="15"/>
        <v>0</v>
      </c>
      <c r="BD52" s="62">
        <f t="shared" si="16"/>
        <v>0</v>
      </c>
      <c r="BE52" s="64">
        <f t="shared" si="17"/>
        <v>0</v>
      </c>
      <c r="BG52" s="2"/>
      <c r="BI52" s="56">
        <v>41.0</v>
      </c>
      <c r="BJ52" s="124" t="str">
        <f t="shared" ref="BJ52:BK52" si="186">B52</f>
        <v/>
      </c>
      <c r="BK52" s="125" t="str">
        <f t="shared" si="186"/>
        <v/>
      </c>
      <c r="BL52" s="140"/>
      <c r="BM52" s="140"/>
      <c r="BN52" s="140"/>
      <c r="BO52" s="140"/>
      <c r="BP52" s="140"/>
      <c r="BQ52" s="140"/>
      <c r="BR52" s="140"/>
      <c r="BS52" s="140"/>
      <c r="BT52" s="62"/>
      <c r="BU52" s="62"/>
      <c r="BV52" s="143"/>
      <c r="BW52" s="143"/>
      <c r="BX52" s="143"/>
      <c r="BY52" s="143"/>
      <c r="BZ52" s="143"/>
      <c r="CA52" s="143"/>
      <c r="CB52" s="141"/>
      <c r="CC52" s="141"/>
      <c r="CD52" s="62">
        <f t="shared" si="19"/>
        <v>0</v>
      </c>
      <c r="CE52" s="62"/>
      <c r="CF52" s="123">
        <f>'PROY. INTER'!BY57</f>
        <v>0</v>
      </c>
      <c r="CG52" s="62">
        <f t="shared" si="20"/>
        <v>0</v>
      </c>
      <c r="CH52" s="62">
        <f t="shared" si="21"/>
        <v>0</v>
      </c>
      <c r="CI52" s="64">
        <f t="shared" si="22"/>
        <v>0</v>
      </c>
      <c r="CK52" s="2"/>
      <c r="CM52" s="126">
        <v>41.0</v>
      </c>
      <c r="CN52" s="127" t="str">
        <f t="shared" ref="CN52:CO52" si="187">B52</f>
        <v/>
      </c>
      <c r="CO52" s="128" t="str">
        <f t="shared" si="187"/>
        <v/>
      </c>
      <c r="CP52" s="129">
        <f t="shared" si="24"/>
        <v>0</v>
      </c>
      <c r="CQ52" s="129">
        <f t="shared" si="25"/>
        <v>0</v>
      </c>
      <c r="CR52" s="129">
        <f t="shared" si="26"/>
        <v>0</v>
      </c>
      <c r="CS52" s="130">
        <f t="shared" si="27"/>
        <v>0</v>
      </c>
      <c r="CT52" s="131" t="str">
        <f t="shared" si="28"/>
        <v>REPROBADO</v>
      </c>
      <c r="CV52" s="2"/>
      <c r="CX52" s="132">
        <v>41.0</v>
      </c>
      <c r="CY52" s="133" t="str">
        <f t="shared" ref="CY52:CZ52" si="188">B52</f>
        <v/>
      </c>
      <c r="CZ52" s="134" t="str">
        <f t="shared" si="188"/>
        <v/>
      </c>
      <c r="DA52" s="244">
        <f t="shared" si="30"/>
        <v>0</v>
      </c>
      <c r="DB52" s="136"/>
      <c r="DC52" s="137">
        <f t="shared" si="31"/>
        <v>0</v>
      </c>
      <c r="DD52" s="138" t="str">
        <f t="shared" si="32"/>
        <v>NO PROMOVIDO</v>
      </c>
    </row>
    <row r="53" ht="15.75" customHeight="1">
      <c r="A53" s="56">
        <v>42.0</v>
      </c>
      <c r="B53" s="57" t="str">
        <f>LEN!B53</f>
        <v/>
      </c>
      <c r="C53" s="57" t="str">
        <f>LEN!C53</f>
        <v/>
      </c>
      <c r="D53" s="140"/>
      <c r="E53" s="140"/>
      <c r="F53" s="140"/>
      <c r="G53" s="140"/>
      <c r="H53" s="140"/>
      <c r="I53" s="140"/>
      <c r="J53" s="140"/>
      <c r="K53" s="140"/>
      <c r="L53" s="62"/>
      <c r="M53" s="62"/>
      <c r="N53" s="143"/>
      <c r="O53" s="143"/>
      <c r="P53" s="143"/>
      <c r="Q53" s="143"/>
      <c r="R53" s="143"/>
      <c r="S53" s="143"/>
      <c r="T53" s="141"/>
      <c r="U53" s="141"/>
      <c r="V53" s="62">
        <f t="shared" si="9"/>
        <v>0</v>
      </c>
      <c r="W53" s="62"/>
      <c r="X53" s="123">
        <f>'PROY. INTER'!W58</f>
        <v>0</v>
      </c>
      <c r="Y53" s="62">
        <f t="shared" si="10"/>
        <v>0</v>
      </c>
      <c r="Z53" s="62">
        <f t="shared" si="11"/>
        <v>0</v>
      </c>
      <c r="AA53" s="64">
        <f t="shared" si="12"/>
        <v>0</v>
      </c>
      <c r="AC53" s="2"/>
      <c r="AE53" s="56">
        <v>42.0</v>
      </c>
      <c r="AF53" s="124" t="str">
        <f t="shared" ref="AF53:AG53" si="189">B53</f>
        <v/>
      </c>
      <c r="AG53" s="125" t="str">
        <f t="shared" si="189"/>
        <v/>
      </c>
      <c r="AH53" s="140"/>
      <c r="AI53" s="140"/>
      <c r="AJ53" s="140"/>
      <c r="AK53" s="140"/>
      <c r="AL53" s="140"/>
      <c r="AM53" s="140"/>
      <c r="AN53" s="140"/>
      <c r="AO53" s="140"/>
      <c r="AP53" s="62"/>
      <c r="AQ53" s="62"/>
      <c r="AR53" s="143"/>
      <c r="AS53" s="143"/>
      <c r="AT53" s="143"/>
      <c r="AU53" s="143"/>
      <c r="AV53" s="143"/>
      <c r="AW53" s="143"/>
      <c r="AX53" s="141"/>
      <c r="AY53" s="141"/>
      <c r="AZ53" s="62">
        <f t="shared" si="14"/>
        <v>0</v>
      </c>
      <c r="BA53" s="62"/>
      <c r="BB53" s="123">
        <f>'PROY. INTER'!AX58</f>
        <v>0</v>
      </c>
      <c r="BC53" s="62">
        <f t="shared" si="15"/>
        <v>0</v>
      </c>
      <c r="BD53" s="62">
        <f t="shared" si="16"/>
        <v>0</v>
      </c>
      <c r="BE53" s="64">
        <f t="shared" si="17"/>
        <v>0</v>
      </c>
      <c r="BG53" s="2"/>
      <c r="BI53" s="56">
        <v>42.0</v>
      </c>
      <c r="BJ53" s="124" t="str">
        <f t="shared" ref="BJ53:BK53" si="190">B53</f>
        <v/>
      </c>
      <c r="BK53" s="125" t="str">
        <f t="shared" si="190"/>
        <v/>
      </c>
      <c r="BL53" s="140"/>
      <c r="BM53" s="140"/>
      <c r="BN53" s="140"/>
      <c r="BO53" s="140"/>
      <c r="BP53" s="140"/>
      <c r="BQ53" s="140"/>
      <c r="BR53" s="140"/>
      <c r="BS53" s="140"/>
      <c r="BT53" s="62"/>
      <c r="BU53" s="62"/>
      <c r="BV53" s="143"/>
      <c r="BW53" s="143"/>
      <c r="BX53" s="143"/>
      <c r="BY53" s="143"/>
      <c r="BZ53" s="143"/>
      <c r="CA53" s="143"/>
      <c r="CB53" s="141"/>
      <c r="CC53" s="141"/>
      <c r="CD53" s="62">
        <f t="shared" si="19"/>
        <v>0</v>
      </c>
      <c r="CE53" s="62"/>
      <c r="CF53" s="123">
        <f>'PROY. INTER'!BY58</f>
        <v>0</v>
      </c>
      <c r="CG53" s="62">
        <f t="shared" si="20"/>
        <v>0</v>
      </c>
      <c r="CH53" s="62">
        <f t="shared" si="21"/>
        <v>0</v>
      </c>
      <c r="CI53" s="64">
        <f t="shared" si="22"/>
        <v>0</v>
      </c>
      <c r="CK53" s="2"/>
      <c r="CM53" s="126">
        <v>42.0</v>
      </c>
      <c r="CN53" s="127" t="str">
        <f t="shared" ref="CN53:CO53" si="191">B53</f>
        <v/>
      </c>
      <c r="CO53" s="128" t="str">
        <f t="shared" si="191"/>
        <v/>
      </c>
      <c r="CP53" s="129">
        <f t="shared" si="24"/>
        <v>0</v>
      </c>
      <c r="CQ53" s="129">
        <f t="shared" si="25"/>
        <v>0</v>
      </c>
      <c r="CR53" s="129">
        <f t="shared" si="26"/>
        <v>0</v>
      </c>
      <c r="CS53" s="130">
        <f t="shared" si="27"/>
        <v>0</v>
      </c>
      <c r="CT53" s="131" t="str">
        <f t="shared" si="28"/>
        <v>REPROBADO</v>
      </c>
      <c r="CV53" s="2"/>
      <c r="CX53" s="132">
        <v>42.0</v>
      </c>
      <c r="CY53" s="133" t="str">
        <f t="shared" ref="CY53:CZ53" si="192">B53</f>
        <v/>
      </c>
      <c r="CZ53" s="134" t="str">
        <f t="shared" si="192"/>
        <v/>
      </c>
      <c r="DA53" s="244">
        <f t="shared" si="30"/>
        <v>0</v>
      </c>
      <c r="DB53" s="136"/>
      <c r="DC53" s="137">
        <f t="shared" si="31"/>
        <v>0</v>
      </c>
      <c r="DD53" s="138" t="str">
        <f t="shared" si="32"/>
        <v>NO PROMOVIDO</v>
      </c>
    </row>
    <row r="54" ht="15.75" customHeight="1">
      <c r="A54" s="56">
        <v>43.0</v>
      </c>
      <c r="B54" s="57" t="str">
        <f>LEN!B54</f>
        <v/>
      </c>
      <c r="C54" s="57" t="str">
        <f>LEN!C54</f>
        <v/>
      </c>
      <c r="D54" s="140"/>
      <c r="E54" s="140"/>
      <c r="F54" s="140"/>
      <c r="G54" s="140"/>
      <c r="H54" s="140"/>
      <c r="I54" s="140"/>
      <c r="J54" s="140"/>
      <c r="K54" s="140"/>
      <c r="L54" s="62"/>
      <c r="M54" s="62"/>
      <c r="N54" s="143"/>
      <c r="O54" s="143"/>
      <c r="P54" s="143"/>
      <c r="Q54" s="143"/>
      <c r="R54" s="143"/>
      <c r="S54" s="143"/>
      <c r="T54" s="141"/>
      <c r="U54" s="141"/>
      <c r="V54" s="62">
        <f t="shared" si="9"/>
        <v>0</v>
      </c>
      <c r="W54" s="62"/>
      <c r="X54" s="123">
        <f>'PROY. INTER'!W60</f>
        <v>0</v>
      </c>
      <c r="Y54" s="62">
        <f t="shared" si="10"/>
        <v>0</v>
      </c>
      <c r="Z54" s="62">
        <f t="shared" si="11"/>
        <v>0</v>
      </c>
      <c r="AA54" s="64">
        <f t="shared" si="12"/>
        <v>0</v>
      </c>
      <c r="AC54" s="2"/>
      <c r="AE54" s="56">
        <v>43.0</v>
      </c>
      <c r="AF54" s="124" t="str">
        <f t="shared" ref="AF54:AG54" si="193">B54</f>
        <v/>
      </c>
      <c r="AG54" s="125" t="str">
        <f t="shared" si="193"/>
        <v/>
      </c>
      <c r="AH54" s="140"/>
      <c r="AI54" s="140"/>
      <c r="AJ54" s="140"/>
      <c r="AK54" s="140"/>
      <c r="AL54" s="140"/>
      <c r="AM54" s="140"/>
      <c r="AN54" s="140"/>
      <c r="AO54" s="140"/>
      <c r="AP54" s="62"/>
      <c r="AQ54" s="62"/>
      <c r="AR54" s="143"/>
      <c r="AS54" s="143"/>
      <c r="AT54" s="143"/>
      <c r="AU54" s="143"/>
      <c r="AV54" s="143"/>
      <c r="AW54" s="143"/>
      <c r="AX54" s="141"/>
      <c r="AY54" s="141"/>
      <c r="AZ54" s="62">
        <f t="shared" si="14"/>
        <v>0</v>
      </c>
      <c r="BA54" s="62"/>
      <c r="BB54" s="123">
        <f>'PROY. INTER'!AX60</f>
        <v>0</v>
      </c>
      <c r="BC54" s="62">
        <f t="shared" si="15"/>
        <v>0</v>
      </c>
      <c r="BD54" s="62">
        <f t="shared" si="16"/>
        <v>0</v>
      </c>
      <c r="BE54" s="64">
        <f t="shared" si="17"/>
        <v>0</v>
      </c>
      <c r="BG54" s="2"/>
      <c r="BI54" s="56">
        <v>43.0</v>
      </c>
      <c r="BJ54" s="124" t="str">
        <f t="shared" ref="BJ54:BK54" si="194">B54</f>
        <v/>
      </c>
      <c r="BK54" s="125" t="str">
        <f t="shared" si="194"/>
        <v/>
      </c>
      <c r="BL54" s="140"/>
      <c r="BM54" s="140"/>
      <c r="BN54" s="140"/>
      <c r="BO54" s="140"/>
      <c r="BP54" s="140"/>
      <c r="BQ54" s="140"/>
      <c r="BR54" s="140"/>
      <c r="BS54" s="140"/>
      <c r="BT54" s="62"/>
      <c r="BU54" s="62"/>
      <c r="BV54" s="143"/>
      <c r="BW54" s="143"/>
      <c r="BX54" s="143"/>
      <c r="BY54" s="143"/>
      <c r="BZ54" s="143"/>
      <c r="CA54" s="143"/>
      <c r="CB54" s="141"/>
      <c r="CC54" s="141"/>
      <c r="CD54" s="62">
        <f t="shared" si="19"/>
        <v>0</v>
      </c>
      <c r="CE54" s="62"/>
      <c r="CF54" s="123">
        <f>'PROY. INTER'!BY60</f>
        <v>0</v>
      </c>
      <c r="CG54" s="62">
        <f t="shared" si="20"/>
        <v>0</v>
      </c>
      <c r="CH54" s="62">
        <f t="shared" si="21"/>
        <v>0</v>
      </c>
      <c r="CI54" s="64">
        <f t="shared" si="22"/>
        <v>0</v>
      </c>
      <c r="CK54" s="2"/>
      <c r="CM54" s="126">
        <v>43.0</v>
      </c>
      <c r="CN54" s="127" t="str">
        <f t="shared" ref="CN54:CO54" si="195">B54</f>
        <v/>
      </c>
      <c r="CO54" s="128" t="str">
        <f t="shared" si="195"/>
        <v/>
      </c>
      <c r="CP54" s="129">
        <f t="shared" si="24"/>
        <v>0</v>
      </c>
      <c r="CQ54" s="129">
        <f t="shared" si="25"/>
        <v>0</v>
      </c>
      <c r="CR54" s="129">
        <f t="shared" si="26"/>
        <v>0</v>
      </c>
      <c r="CS54" s="130">
        <f t="shared" si="27"/>
        <v>0</v>
      </c>
      <c r="CT54" s="131" t="str">
        <f t="shared" si="28"/>
        <v>REPROBADO</v>
      </c>
      <c r="CV54" s="2"/>
      <c r="CX54" s="132">
        <v>43.0</v>
      </c>
      <c r="CY54" s="133" t="str">
        <f t="shared" ref="CY54:CZ54" si="196">B54</f>
        <v/>
      </c>
      <c r="CZ54" s="134" t="str">
        <f t="shared" si="196"/>
        <v/>
      </c>
      <c r="DA54" s="244">
        <f t="shared" si="30"/>
        <v>0</v>
      </c>
      <c r="DB54" s="136"/>
      <c r="DC54" s="137">
        <f t="shared" si="31"/>
        <v>0</v>
      </c>
      <c r="DD54" s="138" t="str">
        <f t="shared" si="32"/>
        <v>NO PROMOVIDO</v>
      </c>
    </row>
    <row r="55" ht="15.75" customHeight="1">
      <c r="A55" s="56">
        <v>44.0</v>
      </c>
      <c r="B55" s="57" t="str">
        <f>LEN!B55</f>
        <v/>
      </c>
      <c r="C55" s="57" t="str">
        <f>LEN!C55</f>
        <v/>
      </c>
      <c r="D55" s="140"/>
      <c r="E55" s="140"/>
      <c r="F55" s="140"/>
      <c r="G55" s="140"/>
      <c r="H55" s="140"/>
      <c r="I55" s="140"/>
      <c r="J55" s="140"/>
      <c r="K55" s="140"/>
      <c r="L55" s="62"/>
      <c r="M55" s="62"/>
      <c r="N55" s="143"/>
      <c r="O55" s="143"/>
      <c r="P55" s="143"/>
      <c r="Q55" s="143"/>
      <c r="R55" s="143"/>
      <c r="S55" s="143"/>
      <c r="T55" s="141"/>
      <c r="U55" s="141"/>
      <c r="V55" s="62">
        <f t="shared" si="9"/>
        <v>0</v>
      </c>
      <c r="W55" s="62"/>
      <c r="X55" s="123">
        <f>'PROY. INTER'!W61</f>
        <v>0</v>
      </c>
      <c r="Y55" s="62">
        <f t="shared" si="10"/>
        <v>0</v>
      </c>
      <c r="Z55" s="62">
        <f t="shared" si="11"/>
        <v>0</v>
      </c>
      <c r="AA55" s="64">
        <f t="shared" si="12"/>
        <v>0</v>
      </c>
      <c r="AC55" s="2"/>
      <c r="AE55" s="56">
        <v>44.0</v>
      </c>
      <c r="AF55" s="124" t="str">
        <f t="shared" ref="AF55:AG55" si="197">B55</f>
        <v/>
      </c>
      <c r="AG55" s="125" t="str">
        <f t="shared" si="197"/>
        <v/>
      </c>
      <c r="AH55" s="140"/>
      <c r="AI55" s="140"/>
      <c r="AJ55" s="140"/>
      <c r="AK55" s="140"/>
      <c r="AL55" s="140"/>
      <c r="AM55" s="140"/>
      <c r="AN55" s="140"/>
      <c r="AO55" s="140"/>
      <c r="AP55" s="62"/>
      <c r="AQ55" s="62"/>
      <c r="AR55" s="143"/>
      <c r="AS55" s="143"/>
      <c r="AT55" s="143"/>
      <c r="AU55" s="143"/>
      <c r="AV55" s="143"/>
      <c r="AW55" s="143"/>
      <c r="AX55" s="141"/>
      <c r="AY55" s="141"/>
      <c r="AZ55" s="62">
        <f t="shared" si="14"/>
        <v>0</v>
      </c>
      <c r="BA55" s="62"/>
      <c r="BB55" s="123">
        <f>'PROY. INTER'!AX61</f>
        <v>0</v>
      </c>
      <c r="BC55" s="62">
        <f t="shared" si="15"/>
        <v>0</v>
      </c>
      <c r="BD55" s="62">
        <f t="shared" si="16"/>
        <v>0</v>
      </c>
      <c r="BE55" s="64">
        <f t="shared" si="17"/>
        <v>0</v>
      </c>
      <c r="BG55" s="2"/>
      <c r="BI55" s="56">
        <v>44.0</v>
      </c>
      <c r="BJ55" s="124" t="str">
        <f t="shared" ref="BJ55:BK55" si="198">B55</f>
        <v/>
      </c>
      <c r="BK55" s="125" t="str">
        <f t="shared" si="198"/>
        <v/>
      </c>
      <c r="BL55" s="140"/>
      <c r="BM55" s="140"/>
      <c r="BN55" s="140"/>
      <c r="BO55" s="140"/>
      <c r="BP55" s="140"/>
      <c r="BQ55" s="140"/>
      <c r="BR55" s="140"/>
      <c r="BS55" s="140"/>
      <c r="BT55" s="62"/>
      <c r="BU55" s="62"/>
      <c r="BV55" s="143"/>
      <c r="BW55" s="143"/>
      <c r="BX55" s="143"/>
      <c r="BY55" s="143"/>
      <c r="BZ55" s="143"/>
      <c r="CA55" s="143"/>
      <c r="CB55" s="141"/>
      <c r="CC55" s="141"/>
      <c r="CD55" s="62">
        <f t="shared" si="19"/>
        <v>0</v>
      </c>
      <c r="CE55" s="62"/>
      <c r="CF55" s="123">
        <f>'PROY. INTER'!BY61</f>
        <v>0</v>
      </c>
      <c r="CG55" s="62">
        <f t="shared" si="20"/>
        <v>0</v>
      </c>
      <c r="CH55" s="62">
        <f t="shared" si="21"/>
        <v>0</v>
      </c>
      <c r="CI55" s="64">
        <f t="shared" si="22"/>
        <v>0</v>
      </c>
      <c r="CK55" s="2"/>
      <c r="CM55" s="126">
        <v>44.0</v>
      </c>
      <c r="CN55" s="127" t="str">
        <f t="shared" ref="CN55:CO55" si="199">B55</f>
        <v/>
      </c>
      <c r="CO55" s="128" t="str">
        <f t="shared" si="199"/>
        <v/>
      </c>
      <c r="CP55" s="129">
        <f t="shared" si="24"/>
        <v>0</v>
      </c>
      <c r="CQ55" s="129">
        <f t="shared" si="25"/>
        <v>0</v>
      </c>
      <c r="CR55" s="129">
        <f t="shared" si="26"/>
        <v>0</v>
      </c>
      <c r="CS55" s="130">
        <f t="shared" si="27"/>
        <v>0</v>
      </c>
      <c r="CT55" s="131" t="str">
        <f t="shared" si="28"/>
        <v>REPROBADO</v>
      </c>
      <c r="CV55" s="2"/>
      <c r="CX55" s="132">
        <v>44.0</v>
      </c>
      <c r="CY55" s="133" t="str">
        <f t="shared" ref="CY55:CZ55" si="200">B55</f>
        <v/>
      </c>
      <c r="CZ55" s="134" t="str">
        <f t="shared" si="200"/>
        <v/>
      </c>
      <c r="DA55" s="244">
        <f t="shared" si="30"/>
        <v>0</v>
      </c>
      <c r="DB55" s="136"/>
      <c r="DC55" s="137">
        <f t="shared" si="31"/>
        <v>0</v>
      </c>
      <c r="DD55" s="138" t="str">
        <f t="shared" si="32"/>
        <v>NO PROMOVIDO</v>
      </c>
    </row>
    <row r="56" ht="15.75" customHeight="1">
      <c r="A56" s="56">
        <v>45.0</v>
      </c>
      <c r="B56" s="57" t="str">
        <f>LEN!B56</f>
        <v/>
      </c>
      <c r="C56" s="57" t="str">
        <f>LEN!C56</f>
        <v/>
      </c>
      <c r="D56" s="140"/>
      <c r="E56" s="140"/>
      <c r="F56" s="140"/>
      <c r="G56" s="140"/>
      <c r="H56" s="140"/>
      <c r="I56" s="140"/>
      <c r="J56" s="140"/>
      <c r="K56" s="140"/>
      <c r="L56" s="62"/>
      <c r="M56" s="62"/>
      <c r="N56" s="143"/>
      <c r="O56" s="143"/>
      <c r="P56" s="143"/>
      <c r="Q56" s="143"/>
      <c r="R56" s="143"/>
      <c r="S56" s="143"/>
      <c r="T56" s="141"/>
      <c r="U56" s="141"/>
      <c r="V56" s="62">
        <f t="shared" si="9"/>
        <v>0</v>
      </c>
      <c r="W56" s="62"/>
      <c r="X56" s="123" t="str">
        <f>'PROY. INTER'!W62</f>
        <v/>
      </c>
      <c r="Y56" s="62" t="str">
        <f t="shared" si="10"/>
        <v>#DIV/0!</v>
      </c>
      <c r="Z56" s="62" t="str">
        <f t="shared" si="11"/>
        <v>#DIV/0!</v>
      </c>
      <c r="AA56" s="64" t="str">
        <f t="shared" si="12"/>
        <v/>
      </c>
      <c r="AC56" s="2"/>
      <c r="AE56" s="56">
        <v>45.0</v>
      </c>
      <c r="AF56" s="124" t="str">
        <f t="shared" ref="AF56:AG56" si="201">B56</f>
        <v/>
      </c>
      <c r="AG56" s="125" t="str">
        <f t="shared" si="201"/>
        <v/>
      </c>
      <c r="AH56" s="140"/>
      <c r="AI56" s="140"/>
      <c r="AJ56" s="140"/>
      <c r="AK56" s="140"/>
      <c r="AL56" s="140"/>
      <c r="AM56" s="140"/>
      <c r="AN56" s="140"/>
      <c r="AO56" s="140"/>
      <c r="AP56" s="62"/>
      <c r="AQ56" s="62"/>
      <c r="AR56" s="143"/>
      <c r="AS56" s="143"/>
      <c r="AT56" s="143"/>
      <c r="AU56" s="143"/>
      <c r="AV56" s="143"/>
      <c r="AW56" s="143"/>
      <c r="AX56" s="141"/>
      <c r="AY56" s="141"/>
      <c r="AZ56" s="62">
        <f t="shared" si="14"/>
        <v>0</v>
      </c>
      <c r="BA56" s="62"/>
      <c r="BB56" s="123" t="str">
        <f>'PROY. INTER'!AX62</f>
        <v/>
      </c>
      <c r="BC56" s="62" t="str">
        <f t="shared" si="15"/>
        <v>#DIV/0!</v>
      </c>
      <c r="BD56" s="62" t="str">
        <f t="shared" si="16"/>
        <v>#DIV/0!</v>
      </c>
      <c r="BE56" s="64" t="str">
        <f t="shared" si="17"/>
        <v/>
      </c>
      <c r="BG56" s="2"/>
      <c r="BI56" s="56">
        <v>45.0</v>
      </c>
      <c r="BJ56" s="124" t="str">
        <f t="shared" ref="BJ56:BK56" si="202">B56</f>
        <v/>
      </c>
      <c r="BK56" s="125" t="str">
        <f t="shared" si="202"/>
        <v/>
      </c>
      <c r="BL56" s="140"/>
      <c r="BM56" s="140"/>
      <c r="BN56" s="140"/>
      <c r="BO56" s="140"/>
      <c r="BP56" s="140"/>
      <c r="BQ56" s="140"/>
      <c r="BR56" s="140"/>
      <c r="BS56" s="140"/>
      <c r="BT56" s="62"/>
      <c r="BU56" s="62"/>
      <c r="BV56" s="143"/>
      <c r="BW56" s="143"/>
      <c r="BX56" s="143"/>
      <c r="BY56" s="143"/>
      <c r="BZ56" s="143"/>
      <c r="CA56" s="143"/>
      <c r="CB56" s="141"/>
      <c r="CC56" s="141"/>
      <c r="CD56" s="62">
        <f t="shared" si="19"/>
        <v>0</v>
      </c>
      <c r="CE56" s="62"/>
      <c r="CF56" s="123" t="str">
        <f>'PROY. INTER'!BY62</f>
        <v/>
      </c>
      <c r="CG56" s="62" t="str">
        <f t="shared" si="20"/>
        <v>#DIV/0!</v>
      </c>
      <c r="CH56" s="62" t="str">
        <f t="shared" si="21"/>
        <v>#DIV/0!</v>
      </c>
      <c r="CI56" s="64" t="str">
        <f t="shared" si="22"/>
        <v/>
      </c>
      <c r="CK56" s="2"/>
      <c r="CM56" s="126">
        <v>45.0</v>
      </c>
      <c r="CN56" s="127" t="str">
        <f t="shared" ref="CN56:CO56" si="203">B56</f>
        <v/>
      </c>
      <c r="CO56" s="128" t="str">
        <f t="shared" si="203"/>
        <v/>
      </c>
      <c r="CP56" s="129" t="str">
        <f t="shared" si="24"/>
        <v/>
      </c>
      <c r="CQ56" s="129" t="str">
        <f t="shared" si="25"/>
        <v/>
      </c>
      <c r="CR56" s="129" t="str">
        <f t="shared" si="26"/>
        <v/>
      </c>
      <c r="CS56" s="130">
        <f t="shared" si="27"/>
        <v>0</v>
      </c>
      <c r="CT56" s="131" t="str">
        <f t="shared" si="28"/>
        <v>REPROBADO</v>
      </c>
      <c r="CV56" s="2"/>
      <c r="CX56" s="132">
        <v>45.0</v>
      </c>
      <c r="CY56" s="133" t="str">
        <f t="shared" ref="CY56:CZ56" si="204">B56</f>
        <v/>
      </c>
      <c r="CZ56" s="134" t="str">
        <f t="shared" si="204"/>
        <v/>
      </c>
      <c r="DA56" s="244">
        <f t="shared" si="30"/>
        <v>0</v>
      </c>
      <c r="DB56" s="136"/>
      <c r="DC56" s="137">
        <f t="shared" si="31"/>
        <v>0</v>
      </c>
      <c r="DD56" s="138" t="str">
        <f t="shared" si="32"/>
        <v>NO PROMOVIDO</v>
      </c>
    </row>
    <row r="57" ht="15.75" customHeight="1">
      <c r="A57" s="56">
        <v>46.0</v>
      </c>
      <c r="B57" s="57" t="str">
        <f>LEN!B57</f>
        <v/>
      </c>
      <c r="C57" s="57" t="str">
        <f>LEN!C57</f>
        <v/>
      </c>
      <c r="D57" s="140"/>
      <c r="E57" s="140"/>
      <c r="F57" s="140"/>
      <c r="G57" s="140"/>
      <c r="H57" s="140"/>
      <c r="I57" s="140"/>
      <c r="J57" s="140"/>
      <c r="K57" s="140"/>
      <c r="L57" s="62"/>
      <c r="M57" s="62"/>
      <c r="N57" s="143"/>
      <c r="O57" s="143"/>
      <c r="P57" s="143"/>
      <c r="Q57" s="143"/>
      <c r="R57" s="143"/>
      <c r="S57" s="143"/>
      <c r="T57" s="141"/>
      <c r="U57" s="141"/>
      <c r="V57" s="62">
        <f t="shared" si="9"/>
        <v>0</v>
      </c>
      <c r="W57" s="62"/>
      <c r="X57" s="123" t="str">
        <f>'PROY. INTER'!W63</f>
        <v/>
      </c>
      <c r="Y57" s="62" t="str">
        <f t="shared" si="10"/>
        <v>#DIV/0!</v>
      </c>
      <c r="Z57" s="62" t="str">
        <f t="shared" si="11"/>
        <v>#DIV/0!</v>
      </c>
      <c r="AA57" s="64" t="str">
        <f t="shared" si="12"/>
        <v/>
      </c>
      <c r="AC57" s="2"/>
      <c r="AE57" s="56">
        <v>46.0</v>
      </c>
      <c r="AF57" s="124" t="str">
        <f t="shared" ref="AF57:AG57" si="205">B57</f>
        <v/>
      </c>
      <c r="AG57" s="125" t="str">
        <f t="shared" si="205"/>
        <v/>
      </c>
      <c r="AH57" s="140"/>
      <c r="AI57" s="140"/>
      <c r="AJ57" s="140"/>
      <c r="AK57" s="140"/>
      <c r="AL57" s="140"/>
      <c r="AM57" s="140"/>
      <c r="AN57" s="140"/>
      <c r="AO57" s="140"/>
      <c r="AP57" s="62"/>
      <c r="AQ57" s="62"/>
      <c r="AR57" s="143"/>
      <c r="AS57" s="143"/>
      <c r="AT57" s="143"/>
      <c r="AU57" s="143"/>
      <c r="AV57" s="143"/>
      <c r="AW57" s="143"/>
      <c r="AX57" s="141"/>
      <c r="AY57" s="141"/>
      <c r="AZ57" s="62">
        <f t="shared" si="14"/>
        <v>0</v>
      </c>
      <c r="BA57" s="62"/>
      <c r="BB57" s="123" t="str">
        <f>'PROY. INTER'!AX63</f>
        <v/>
      </c>
      <c r="BC57" s="62" t="str">
        <f t="shared" si="15"/>
        <v>#DIV/0!</v>
      </c>
      <c r="BD57" s="62" t="str">
        <f t="shared" si="16"/>
        <v>#DIV/0!</v>
      </c>
      <c r="BE57" s="64" t="str">
        <f t="shared" si="17"/>
        <v/>
      </c>
      <c r="BG57" s="2"/>
      <c r="BI57" s="56">
        <v>46.0</v>
      </c>
      <c r="BJ57" s="124" t="str">
        <f t="shared" ref="BJ57:BK57" si="206">B57</f>
        <v/>
      </c>
      <c r="BK57" s="125" t="str">
        <f t="shared" si="206"/>
        <v/>
      </c>
      <c r="BL57" s="140"/>
      <c r="BM57" s="140"/>
      <c r="BN57" s="140"/>
      <c r="BO57" s="140"/>
      <c r="BP57" s="140"/>
      <c r="BQ57" s="140"/>
      <c r="BR57" s="140"/>
      <c r="BS57" s="140"/>
      <c r="BT57" s="62"/>
      <c r="BU57" s="62"/>
      <c r="BV57" s="143"/>
      <c r="BW57" s="143"/>
      <c r="BX57" s="143"/>
      <c r="BY57" s="143"/>
      <c r="BZ57" s="143"/>
      <c r="CA57" s="143"/>
      <c r="CB57" s="141"/>
      <c r="CC57" s="141"/>
      <c r="CD57" s="62">
        <f t="shared" si="19"/>
        <v>0</v>
      </c>
      <c r="CE57" s="62"/>
      <c r="CF57" s="123" t="str">
        <f>'PROY. INTER'!BY63</f>
        <v/>
      </c>
      <c r="CG57" s="62" t="str">
        <f t="shared" si="20"/>
        <v>#DIV/0!</v>
      </c>
      <c r="CH57" s="62" t="str">
        <f t="shared" si="21"/>
        <v>#DIV/0!</v>
      </c>
      <c r="CI57" s="64" t="str">
        <f t="shared" si="22"/>
        <v/>
      </c>
      <c r="CK57" s="2"/>
      <c r="CM57" s="126">
        <v>46.0</v>
      </c>
      <c r="CN57" s="127" t="str">
        <f t="shared" ref="CN57:CO57" si="207">B57</f>
        <v/>
      </c>
      <c r="CO57" s="128" t="str">
        <f t="shared" si="207"/>
        <v/>
      </c>
      <c r="CP57" s="129" t="str">
        <f t="shared" si="24"/>
        <v/>
      </c>
      <c r="CQ57" s="129" t="str">
        <f t="shared" si="25"/>
        <v/>
      </c>
      <c r="CR57" s="129" t="str">
        <f t="shared" si="26"/>
        <v/>
      </c>
      <c r="CS57" s="130">
        <f t="shared" si="27"/>
        <v>0</v>
      </c>
      <c r="CT57" s="131" t="str">
        <f t="shared" si="28"/>
        <v>REPROBADO</v>
      </c>
      <c r="CV57" s="2"/>
      <c r="CX57" s="132">
        <v>46.0</v>
      </c>
      <c r="CY57" s="133" t="str">
        <f t="shared" ref="CY57:CZ57" si="208">B57</f>
        <v/>
      </c>
      <c r="CZ57" s="134" t="str">
        <f t="shared" si="208"/>
        <v/>
      </c>
      <c r="DA57" s="244">
        <f t="shared" si="30"/>
        <v>0</v>
      </c>
      <c r="DB57" s="136"/>
      <c r="DC57" s="137">
        <f t="shared" si="31"/>
        <v>0</v>
      </c>
      <c r="DD57" s="138" t="str">
        <f t="shared" si="32"/>
        <v>NO PROMOVIDO</v>
      </c>
    </row>
    <row r="58" ht="15.75" customHeight="1">
      <c r="A58" s="56">
        <v>47.0</v>
      </c>
      <c r="B58" s="57" t="str">
        <f>LEN!B58</f>
        <v/>
      </c>
      <c r="C58" s="57" t="str">
        <f>LEN!C58</f>
        <v/>
      </c>
      <c r="D58" s="140"/>
      <c r="E58" s="140"/>
      <c r="F58" s="140"/>
      <c r="G58" s="140"/>
      <c r="H58" s="140"/>
      <c r="I58" s="140"/>
      <c r="J58" s="140"/>
      <c r="K58" s="140"/>
      <c r="L58" s="62"/>
      <c r="M58" s="62"/>
      <c r="N58" s="143"/>
      <c r="O58" s="143"/>
      <c r="P58" s="143"/>
      <c r="Q58" s="143"/>
      <c r="R58" s="143"/>
      <c r="S58" s="143"/>
      <c r="T58" s="141"/>
      <c r="U58" s="141"/>
      <c r="V58" s="62">
        <f t="shared" si="9"/>
        <v>0</v>
      </c>
      <c r="W58" s="62"/>
      <c r="X58" s="123" t="str">
        <f>'PROY. INTER'!W64</f>
        <v/>
      </c>
      <c r="Y58" s="62" t="str">
        <f t="shared" si="10"/>
        <v>#DIV/0!</v>
      </c>
      <c r="Z58" s="62" t="str">
        <f t="shared" si="11"/>
        <v>#DIV/0!</v>
      </c>
      <c r="AA58" s="64" t="str">
        <f t="shared" si="12"/>
        <v/>
      </c>
      <c r="AC58" s="2"/>
      <c r="AE58" s="56">
        <v>47.0</v>
      </c>
      <c r="AF58" s="124" t="str">
        <f t="shared" ref="AF58:AG58" si="209">B58</f>
        <v/>
      </c>
      <c r="AG58" s="125" t="str">
        <f t="shared" si="209"/>
        <v/>
      </c>
      <c r="AH58" s="140"/>
      <c r="AI58" s="140"/>
      <c r="AJ58" s="140"/>
      <c r="AK58" s="140"/>
      <c r="AL58" s="140"/>
      <c r="AM58" s="140"/>
      <c r="AN58" s="140"/>
      <c r="AO58" s="140"/>
      <c r="AP58" s="62"/>
      <c r="AQ58" s="62"/>
      <c r="AR58" s="143"/>
      <c r="AS58" s="143"/>
      <c r="AT58" s="143"/>
      <c r="AU58" s="143"/>
      <c r="AV58" s="143"/>
      <c r="AW58" s="143"/>
      <c r="AX58" s="141"/>
      <c r="AY58" s="141"/>
      <c r="AZ58" s="62">
        <f t="shared" si="14"/>
        <v>0</v>
      </c>
      <c r="BA58" s="62"/>
      <c r="BB58" s="123" t="str">
        <f>'PROY. INTER'!AX64</f>
        <v/>
      </c>
      <c r="BC58" s="62" t="str">
        <f t="shared" si="15"/>
        <v>#DIV/0!</v>
      </c>
      <c r="BD58" s="62" t="str">
        <f t="shared" si="16"/>
        <v>#DIV/0!</v>
      </c>
      <c r="BE58" s="64" t="str">
        <f t="shared" si="17"/>
        <v/>
      </c>
      <c r="BG58" s="2"/>
      <c r="BI58" s="56">
        <v>47.0</v>
      </c>
      <c r="BJ58" s="124" t="str">
        <f t="shared" ref="BJ58:BK58" si="210">B58</f>
        <v/>
      </c>
      <c r="BK58" s="125" t="str">
        <f t="shared" si="210"/>
        <v/>
      </c>
      <c r="BL58" s="140"/>
      <c r="BM58" s="140"/>
      <c r="BN58" s="140"/>
      <c r="BO58" s="140"/>
      <c r="BP58" s="140"/>
      <c r="BQ58" s="140"/>
      <c r="BR58" s="140"/>
      <c r="BS58" s="140"/>
      <c r="BT58" s="62"/>
      <c r="BU58" s="62"/>
      <c r="BV58" s="143"/>
      <c r="BW58" s="143"/>
      <c r="BX58" s="143"/>
      <c r="BY58" s="143"/>
      <c r="BZ58" s="143"/>
      <c r="CA58" s="143"/>
      <c r="CB58" s="141"/>
      <c r="CC58" s="141"/>
      <c r="CD58" s="62">
        <f t="shared" si="19"/>
        <v>0</v>
      </c>
      <c r="CE58" s="62"/>
      <c r="CF58" s="123" t="str">
        <f>'PROY. INTER'!BY64</f>
        <v/>
      </c>
      <c r="CG58" s="62" t="str">
        <f t="shared" si="20"/>
        <v>#DIV/0!</v>
      </c>
      <c r="CH58" s="62" t="str">
        <f t="shared" si="21"/>
        <v>#DIV/0!</v>
      </c>
      <c r="CI58" s="64" t="str">
        <f t="shared" si="22"/>
        <v/>
      </c>
      <c r="CK58" s="2"/>
      <c r="CM58" s="126">
        <v>47.0</v>
      </c>
      <c r="CN58" s="127" t="str">
        <f t="shared" ref="CN58:CO58" si="211">B58</f>
        <v/>
      </c>
      <c r="CO58" s="128" t="str">
        <f t="shared" si="211"/>
        <v/>
      </c>
      <c r="CP58" s="129" t="str">
        <f t="shared" si="24"/>
        <v/>
      </c>
      <c r="CQ58" s="129" t="str">
        <f t="shared" si="25"/>
        <v/>
      </c>
      <c r="CR58" s="129" t="str">
        <f t="shared" si="26"/>
        <v/>
      </c>
      <c r="CS58" s="130">
        <f t="shared" si="27"/>
        <v>0</v>
      </c>
      <c r="CT58" s="131" t="str">
        <f t="shared" si="28"/>
        <v>REPROBADO</v>
      </c>
      <c r="CV58" s="2"/>
      <c r="CX58" s="132">
        <v>47.0</v>
      </c>
      <c r="CY58" s="133" t="str">
        <f t="shared" ref="CY58:CZ58" si="212">B58</f>
        <v/>
      </c>
      <c r="CZ58" s="134" t="str">
        <f t="shared" si="212"/>
        <v/>
      </c>
      <c r="DA58" s="244">
        <f t="shared" si="30"/>
        <v>0</v>
      </c>
      <c r="DB58" s="136"/>
      <c r="DC58" s="137">
        <f t="shared" si="31"/>
        <v>0</v>
      </c>
      <c r="DD58" s="138" t="str">
        <f t="shared" si="32"/>
        <v>NO PROMOVIDO</v>
      </c>
    </row>
    <row r="59" ht="15.75" customHeight="1">
      <c r="A59" s="56">
        <v>48.0</v>
      </c>
      <c r="B59" s="57" t="str">
        <f>LEN!B59</f>
        <v/>
      </c>
      <c r="C59" s="57" t="str">
        <f>LEN!C59</f>
        <v/>
      </c>
      <c r="D59" s="140"/>
      <c r="E59" s="140"/>
      <c r="F59" s="140"/>
      <c r="G59" s="140"/>
      <c r="H59" s="140"/>
      <c r="I59" s="140"/>
      <c r="J59" s="140"/>
      <c r="K59" s="140"/>
      <c r="L59" s="62"/>
      <c r="M59" s="62"/>
      <c r="N59" s="143"/>
      <c r="O59" s="143"/>
      <c r="P59" s="143"/>
      <c r="Q59" s="143"/>
      <c r="R59" s="143"/>
      <c r="S59" s="143"/>
      <c r="T59" s="141"/>
      <c r="U59" s="141"/>
      <c r="V59" s="62">
        <f t="shared" si="9"/>
        <v>0</v>
      </c>
      <c r="W59" s="62"/>
      <c r="X59" s="123" t="str">
        <f>'PROY. INTER'!W65</f>
        <v/>
      </c>
      <c r="Y59" s="62" t="str">
        <f t="shared" si="10"/>
        <v>#DIV/0!</v>
      </c>
      <c r="Z59" s="62" t="str">
        <f t="shared" si="11"/>
        <v>#DIV/0!</v>
      </c>
      <c r="AA59" s="64" t="str">
        <f t="shared" si="12"/>
        <v/>
      </c>
      <c r="AC59" s="2"/>
      <c r="AE59" s="56">
        <v>48.0</v>
      </c>
      <c r="AF59" s="124" t="str">
        <f t="shared" ref="AF59:AG59" si="213">B59</f>
        <v/>
      </c>
      <c r="AG59" s="125" t="str">
        <f t="shared" si="213"/>
        <v/>
      </c>
      <c r="AH59" s="140"/>
      <c r="AI59" s="140"/>
      <c r="AJ59" s="140"/>
      <c r="AK59" s="140"/>
      <c r="AL59" s="140"/>
      <c r="AM59" s="140"/>
      <c r="AN59" s="140"/>
      <c r="AO59" s="140"/>
      <c r="AP59" s="62"/>
      <c r="AQ59" s="62"/>
      <c r="AR59" s="143"/>
      <c r="AS59" s="143"/>
      <c r="AT59" s="143"/>
      <c r="AU59" s="143"/>
      <c r="AV59" s="143"/>
      <c r="AW59" s="143"/>
      <c r="AX59" s="141"/>
      <c r="AY59" s="141"/>
      <c r="AZ59" s="62">
        <f t="shared" si="14"/>
        <v>0</v>
      </c>
      <c r="BA59" s="62"/>
      <c r="BB59" s="123" t="str">
        <f>'PROY. INTER'!AX65</f>
        <v/>
      </c>
      <c r="BC59" s="62" t="str">
        <f t="shared" si="15"/>
        <v>#DIV/0!</v>
      </c>
      <c r="BD59" s="62" t="str">
        <f t="shared" si="16"/>
        <v>#DIV/0!</v>
      </c>
      <c r="BE59" s="64" t="str">
        <f t="shared" si="17"/>
        <v/>
      </c>
      <c r="BG59" s="2"/>
      <c r="BI59" s="56">
        <v>48.0</v>
      </c>
      <c r="BJ59" s="124" t="str">
        <f t="shared" ref="BJ59:BK59" si="214">B59</f>
        <v/>
      </c>
      <c r="BK59" s="125" t="str">
        <f t="shared" si="214"/>
        <v/>
      </c>
      <c r="BL59" s="140"/>
      <c r="BM59" s="140"/>
      <c r="BN59" s="140"/>
      <c r="BO59" s="140"/>
      <c r="BP59" s="140"/>
      <c r="BQ59" s="140"/>
      <c r="BR59" s="140"/>
      <c r="BS59" s="140"/>
      <c r="BT59" s="62"/>
      <c r="BU59" s="62"/>
      <c r="BV59" s="143"/>
      <c r="BW59" s="143"/>
      <c r="BX59" s="143"/>
      <c r="BY59" s="143"/>
      <c r="BZ59" s="143"/>
      <c r="CA59" s="143"/>
      <c r="CB59" s="141"/>
      <c r="CC59" s="141"/>
      <c r="CD59" s="62">
        <f t="shared" si="19"/>
        <v>0</v>
      </c>
      <c r="CE59" s="62"/>
      <c r="CF59" s="123" t="str">
        <f>'PROY. INTER'!BY65</f>
        <v/>
      </c>
      <c r="CG59" s="62" t="str">
        <f t="shared" si="20"/>
        <v>#DIV/0!</v>
      </c>
      <c r="CH59" s="62" t="str">
        <f t="shared" si="21"/>
        <v>#DIV/0!</v>
      </c>
      <c r="CI59" s="64" t="str">
        <f t="shared" si="22"/>
        <v/>
      </c>
      <c r="CK59" s="2"/>
      <c r="CM59" s="126">
        <v>48.0</v>
      </c>
      <c r="CN59" s="127" t="str">
        <f t="shared" ref="CN59:CO59" si="215">B59</f>
        <v/>
      </c>
      <c r="CO59" s="128" t="str">
        <f t="shared" si="215"/>
        <v/>
      </c>
      <c r="CP59" s="129" t="str">
        <f t="shared" si="24"/>
        <v/>
      </c>
      <c r="CQ59" s="129" t="str">
        <f t="shared" si="25"/>
        <v/>
      </c>
      <c r="CR59" s="129" t="str">
        <f t="shared" si="26"/>
        <v/>
      </c>
      <c r="CS59" s="130">
        <f t="shared" si="27"/>
        <v>0</v>
      </c>
      <c r="CT59" s="131" t="str">
        <f t="shared" si="28"/>
        <v>REPROBADO</v>
      </c>
      <c r="CV59" s="2"/>
      <c r="CX59" s="132">
        <v>48.0</v>
      </c>
      <c r="CY59" s="133" t="str">
        <f t="shared" ref="CY59:CZ59" si="216">B59</f>
        <v/>
      </c>
      <c r="CZ59" s="134" t="str">
        <f t="shared" si="216"/>
        <v/>
      </c>
      <c r="DA59" s="244">
        <f t="shared" si="30"/>
        <v>0</v>
      </c>
      <c r="DB59" s="136"/>
      <c r="DC59" s="137">
        <f t="shared" si="31"/>
        <v>0</v>
      </c>
      <c r="DD59" s="138" t="str">
        <f t="shared" si="32"/>
        <v>NO PROMOVIDO</v>
      </c>
    </row>
    <row r="60" ht="15.75" customHeight="1">
      <c r="A60" s="56">
        <v>49.0</v>
      </c>
      <c r="B60" s="57" t="str">
        <f>LEN!B60</f>
        <v/>
      </c>
      <c r="C60" s="57" t="str">
        <f>LEN!C60</f>
        <v/>
      </c>
      <c r="D60" s="140"/>
      <c r="E60" s="140"/>
      <c r="F60" s="140"/>
      <c r="G60" s="140"/>
      <c r="H60" s="140"/>
      <c r="I60" s="140"/>
      <c r="J60" s="140"/>
      <c r="K60" s="140"/>
      <c r="L60" s="62"/>
      <c r="M60" s="62"/>
      <c r="N60" s="143"/>
      <c r="O60" s="143"/>
      <c r="P60" s="143"/>
      <c r="Q60" s="143"/>
      <c r="R60" s="143"/>
      <c r="S60" s="143"/>
      <c r="T60" s="141"/>
      <c r="U60" s="141"/>
      <c r="V60" s="62">
        <f t="shared" si="9"/>
        <v>0</v>
      </c>
      <c r="W60" s="62"/>
      <c r="X60" s="123" t="str">
        <f>'PROY. INTER'!W66</f>
        <v/>
      </c>
      <c r="Y60" s="62" t="str">
        <f t="shared" si="10"/>
        <v>#DIV/0!</v>
      </c>
      <c r="Z60" s="62" t="str">
        <f t="shared" si="11"/>
        <v>#DIV/0!</v>
      </c>
      <c r="AA60" s="64" t="str">
        <f t="shared" si="12"/>
        <v/>
      </c>
      <c r="AC60" s="2"/>
      <c r="AE60" s="56">
        <v>49.0</v>
      </c>
      <c r="AF60" s="124" t="str">
        <f t="shared" ref="AF60:AG60" si="217">B60</f>
        <v/>
      </c>
      <c r="AG60" s="125" t="str">
        <f t="shared" si="217"/>
        <v/>
      </c>
      <c r="AH60" s="140"/>
      <c r="AI60" s="140"/>
      <c r="AJ60" s="140"/>
      <c r="AK60" s="140"/>
      <c r="AL60" s="140"/>
      <c r="AM60" s="140"/>
      <c r="AN60" s="140"/>
      <c r="AO60" s="140"/>
      <c r="AP60" s="62"/>
      <c r="AQ60" s="62"/>
      <c r="AR60" s="143"/>
      <c r="AS60" s="143"/>
      <c r="AT60" s="143"/>
      <c r="AU60" s="143"/>
      <c r="AV60" s="143"/>
      <c r="AW60" s="143"/>
      <c r="AX60" s="141"/>
      <c r="AY60" s="141"/>
      <c r="AZ60" s="62">
        <f t="shared" si="14"/>
        <v>0</v>
      </c>
      <c r="BA60" s="62"/>
      <c r="BB60" s="123" t="str">
        <f>'PROY. INTER'!AX66</f>
        <v/>
      </c>
      <c r="BC60" s="62" t="str">
        <f t="shared" si="15"/>
        <v>#DIV/0!</v>
      </c>
      <c r="BD60" s="62" t="str">
        <f t="shared" si="16"/>
        <v>#DIV/0!</v>
      </c>
      <c r="BE60" s="64" t="str">
        <f t="shared" si="17"/>
        <v/>
      </c>
      <c r="BG60" s="2"/>
      <c r="BI60" s="56">
        <v>49.0</v>
      </c>
      <c r="BJ60" s="124" t="str">
        <f t="shared" ref="BJ60:BK60" si="218">B60</f>
        <v/>
      </c>
      <c r="BK60" s="125" t="str">
        <f t="shared" si="218"/>
        <v/>
      </c>
      <c r="BL60" s="140"/>
      <c r="BM60" s="140"/>
      <c r="BN60" s="140"/>
      <c r="BO60" s="140"/>
      <c r="BP60" s="140"/>
      <c r="BQ60" s="140"/>
      <c r="BR60" s="140"/>
      <c r="BS60" s="140"/>
      <c r="BT60" s="62"/>
      <c r="BU60" s="62"/>
      <c r="BV60" s="143"/>
      <c r="BW60" s="143"/>
      <c r="BX60" s="143"/>
      <c r="BY60" s="143"/>
      <c r="BZ60" s="143"/>
      <c r="CA60" s="143"/>
      <c r="CB60" s="141"/>
      <c r="CC60" s="141"/>
      <c r="CD60" s="62">
        <f t="shared" si="19"/>
        <v>0</v>
      </c>
      <c r="CE60" s="62"/>
      <c r="CF60" s="123" t="str">
        <f>'PROY. INTER'!BY66</f>
        <v/>
      </c>
      <c r="CG60" s="62" t="str">
        <f t="shared" si="20"/>
        <v>#DIV/0!</v>
      </c>
      <c r="CH60" s="62" t="str">
        <f t="shared" si="21"/>
        <v>#DIV/0!</v>
      </c>
      <c r="CI60" s="64" t="str">
        <f t="shared" si="22"/>
        <v/>
      </c>
      <c r="CK60" s="2"/>
      <c r="CM60" s="126">
        <v>49.0</v>
      </c>
      <c r="CN60" s="127" t="str">
        <f t="shared" ref="CN60:CO60" si="219">B60</f>
        <v/>
      </c>
      <c r="CO60" s="128" t="str">
        <f t="shared" si="219"/>
        <v/>
      </c>
      <c r="CP60" s="129" t="str">
        <f t="shared" si="24"/>
        <v/>
      </c>
      <c r="CQ60" s="129" t="str">
        <f t="shared" si="25"/>
        <v/>
      </c>
      <c r="CR60" s="129" t="str">
        <f t="shared" si="26"/>
        <v/>
      </c>
      <c r="CS60" s="130">
        <f t="shared" si="27"/>
        <v>0</v>
      </c>
      <c r="CT60" s="131" t="str">
        <f t="shared" si="28"/>
        <v>REPROBADO</v>
      </c>
      <c r="CV60" s="2"/>
      <c r="CX60" s="132">
        <v>49.0</v>
      </c>
      <c r="CY60" s="133" t="str">
        <f t="shared" ref="CY60:CZ60" si="220">B60</f>
        <v/>
      </c>
      <c r="CZ60" s="134" t="str">
        <f t="shared" si="220"/>
        <v/>
      </c>
      <c r="DA60" s="244">
        <f t="shared" si="30"/>
        <v>0</v>
      </c>
      <c r="DB60" s="136"/>
      <c r="DC60" s="137">
        <f t="shared" si="31"/>
        <v>0</v>
      </c>
      <c r="DD60" s="138" t="str">
        <f t="shared" si="32"/>
        <v>NO PROMOVIDO</v>
      </c>
    </row>
    <row r="61" ht="15.75" customHeight="1">
      <c r="A61" s="56">
        <v>50.0</v>
      </c>
      <c r="B61" s="57" t="str">
        <f>LEN!B61</f>
        <v/>
      </c>
      <c r="C61" s="57" t="str">
        <f>LEN!C61</f>
        <v/>
      </c>
      <c r="D61" s="140"/>
      <c r="E61" s="140"/>
      <c r="F61" s="140"/>
      <c r="G61" s="140"/>
      <c r="H61" s="140"/>
      <c r="I61" s="140"/>
      <c r="J61" s="140"/>
      <c r="K61" s="140"/>
      <c r="L61" s="62"/>
      <c r="M61" s="62"/>
      <c r="N61" s="143"/>
      <c r="O61" s="143"/>
      <c r="P61" s="143"/>
      <c r="Q61" s="143"/>
      <c r="R61" s="143"/>
      <c r="S61" s="143"/>
      <c r="T61" s="141"/>
      <c r="U61" s="141"/>
      <c r="V61" s="62">
        <f t="shared" si="9"/>
        <v>0</v>
      </c>
      <c r="W61" s="62"/>
      <c r="X61" s="123" t="str">
        <f>'PROY. INTER'!W67</f>
        <v/>
      </c>
      <c r="Y61" s="62" t="str">
        <f t="shared" si="10"/>
        <v>#DIV/0!</v>
      </c>
      <c r="Z61" s="62" t="str">
        <f t="shared" si="11"/>
        <v>#DIV/0!</v>
      </c>
      <c r="AA61" s="64" t="str">
        <f t="shared" si="12"/>
        <v/>
      </c>
      <c r="AC61" s="2"/>
      <c r="AE61" s="56">
        <v>50.0</v>
      </c>
      <c r="AF61" s="124" t="str">
        <f t="shared" ref="AF61:AG61" si="221">B61</f>
        <v/>
      </c>
      <c r="AG61" s="125" t="str">
        <f t="shared" si="221"/>
        <v/>
      </c>
      <c r="AH61" s="140"/>
      <c r="AI61" s="140"/>
      <c r="AJ61" s="140"/>
      <c r="AK61" s="140"/>
      <c r="AL61" s="140"/>
      <c r="AM61" s="140"/>
      <c r="AN61" s="140"/>
      <c r="AO61" s="140"/>
      <c r="AP61" s="62"/>
      <c r="AQ61" s="62"/>
      <c r="AR61" s="143"/>
      <c r="AS61" s="143"/>
      <c r="AT61" s="143"/>
      <c r="AU61" s="143"/>
      <c r="AV61" s="143"/>
      <c r="AW61" s="143"/>
      <c r="AX61" s="141"/>
      <c r="AY61" s="141"/>
      <c r="AZ61" s="62">
        <f t="shared" si="14"/>
        <v>0</v>
      </c>
      <c r="BA61" s="62"/>
      <c r="BB61" s="123" t="str">
        <f>'PROY. INTER'!AX67</f>
        <v/>
      </c>
      <c r="BC61" s="62" t="str">
        <f t="shared" si="15"/>
        <v>#DIV/0!</v>
      </c>
      <c r="BD61" s="62" t="str">
        <f t="shared" si="16"/>
        <v>#DIV/0!</v>
      </c>
      <c r="BE61" s="64" t="str">
        <f t="shared" si="17"/>
        <v/>
      </c>
      <c r="BG61" s="2"/>
      <c r="BI61" s="56">
        <v>50.0</v>
      </c>
      <c r="BJ61" s="124" t="str">
        <f t="shared" ref="BJ61:BK61" si="222">B61</f>
        <v/>
      </c>
      <c r="BK61" s="125" t="str">
        <f t="shared" si="222"/>
        <v/>
      </c>
      <c r="BL61" s="140"/>
      <c r="BM61" s="140"/>
      <c r="BN61" s="140"/>
      <c r="BO61" s="140"/>
      <c r="BP61" s="140"/>
      <c r="BQ61" s="140"/>
      <c r="BR61" s="140"/>
      <c r="BS61" s="140"/>
      <c r="BT61" s="62"/>
      <c r="BU61" s="62"/>
      <c r="BV61" s="143"/>
      <c r="BW61" s="143"/>
      <c r="BX61" s="143"/>
      <c r="BY61" s="143"/>
      <c r="BZ61" s="143"/>
      <c r="CA61" s="143"/>
      <c r="CB61" s="141"/>
      <c r="CC61" s="141"/>
      <c r="CD61" s="62">
        <f t="shared" si="19"/>
        <v>0</v>
      </c>
      <c r="CE61" s="62"/>
      <c r="CF61" s="123" t="str">
        <f>'PROY. INTER'!BY67</f>
        <v/>
      </c>
      <c r="CG61" s="62" t="str">
        <f t="shared" si="20"/>
        <v>#DIV/0!</v>
      </c>
      <c r="CH61" s="62" t="str">
        <f t="shared" si="21"/>
        <v>#DIV/0!</v>
      </c>
      <c r="CI61" s="64" t="str">
        <f t="shared" si="22"/>
        <v/>
      </c>
      <c r="CK61" s="2"/>
      <c r="CM61" s="126">
        <v>50.0</v>
      </c>
      <c r="CN61" s="127" t="str">
        <f t="shared" ref="CN61:CO61" si="223">B61</f>
        <v/>
      </c>
      <c r="CO61" s="128" t="str">
        <f t="shared" si="223"/>
        <v/>
      </c>
      <c r="CP61" s="129" t="str">
        <f t="shared" si="24"/>
        <v/>
      </c>
      <c r="CQ61" s="129" t="str">
        <f t="shared" si="25"/>
        <v/>
      </c>
      <c r="CR61" s="129" t="str">
        <f t="shared" si="26"/>
        <v/>
      </c>
      <c r="CS61" s="130">
        <f t="shared" si="27"/>
        <v>0</v>
      </c>
      <c r="CT61" s="131" t="str">
        <f t="shared" si="28"/>
        <v>REPROBADO</v>
      </c>
      <c r="CV61" s="2"/>
      <c r="CX61" s="132">
        <v>50.0</v>
      </c>
      <c r="CY61" s="133" t="str">
        <f t="shared" ref="CY61:CZ61" si="224">B61</f>
        <v/>
      </c>
      <c r="CZ61" s="134" t="str">
        <f t="shared" si="224"/>
        <v/>
      </c>
      <c r="DA61" s="244">
        <f t="shared" si="30"/>
        <v>0</v>
      </c>
      <c r="DB61" s="136"/>
      <c r="DC61" s="137">
        <f t="shared" si="31"/>
        <v>0</v>
      </c>
      <c r="DD61" s="138" t="str">
        <f t="shared" si="32"/>
        <v>NO PROMOVIDO</v>
      </c>
    </row>
    <row r="62" ht="15.75" customHeight="1"/>
    <row r="63" ht="15.75" customHeight="1">
      <c r="CO63" s="146" t="s">
        <v>104</v>
      </c>
      <c r="CP63" s="147">
        <f>COUNTIF(CS12:CS61,"&gt;0")</f>
        <v>24</v>
      </c>
      <c r="CQ63" s="4"/>
      <c r="CT63" s="148"/>
    </row>
    <row r="64" ht="15.75" customHeight="1">
      <c r="CO64" s="146" t="s">
        <v>105</v>
      </c>
      <c r="CP64" s="149">
        <f>SUM(CS12:CS61)/CP63</f>
        <v>5.447916667</v>
      </c>
      <c r="CQ64" s="4"/>
      <c r="CT64" s="150"/>
    </row>
    <row r="65" ht="15.75" customHeight="1"/>
    <row r="66" ht="15.75" customHeight="1">
      <c r="CO66" s="151" t="s">
        <v>106</v>
      </c>
      <c r="CQ66" s="152" t="str">
        <f>#REF!</f>
        <v>#REF!</v>
      </c>
      <c r="CR66" s="4"/>
    </row>
    <row r="67" ht="15.75" customHeight="1">
      <c r="CO67" s="153" t="s">
        <v>107</v>
      </c>
      <c r="CQ67" s="154" t="s">
        <v>108</v>
      </c>
      <c r="CR67" s="154" t="s">
        <v>109</v>
      </c>
    </row>
    <row r="68" ht="15.75" customHeight="1">
      <c r="CO68" s="155" t="s">
        <v>110</v>
      </c>
      <c r="CQ68" s="156" t="s">
        <v>111</v>
      </c>
      <c r="CR68" s="157">
        <f>COUNTIF(CS12:CS61,"&gt;8,99")</f>
        <v>0</v>
      </c>
    </row>
    <row r="69" ht="15.75" customHeight="1">
      <c r="CO69" s="155" t="s">
        <v>112</v>
      </c>
      <c r="CQ69" s="156" t="s">
        <v>113</v>
      </c>
      <c r="CR69" s="157">
        <f>COUNTIF(CS12:CS61,"&gt;6,99")-CR68</f>
        <v>0</v>
      </c>
    </row>
    <row r="70" ht="15.75" customHeight="1">
      <c r="CO70" s="158" t="s">
        <v>114</v>
      </c>
      <c r="CQ70" s="156" t="s">
        <v>115</v>
      </c>
      <c r="CR70" s="157">
        <f>COUNTIF(CS12:CS61,"&gt;4")-CR69-CR68</f>
        <v>23</v>
      </c>
    </row>
    <row r="71" ht="15.75" customHeight="1">
      <c r="CO71" s="155" t="s">
        <v>116</v>
      </c>
      <c r="CQ71" s="156" t="s">
        <v>117</v>
      </c>
      <c r="CR71" s="159">
        <f>COUNTIF(CS12:CS61,"&gt;0")-CR70-CR69-CR68</f>
        <v>1</v>
      </c>
    </row>
    <row r="72" ht="15.75" customHeight="1">
      <c r="CQ72" s="160" t="s">
        <v>118</v>
      </c>
      <c r="CR72" s="161">
        <f>SUM(CR68:CR71)</f>
        <v>24</v>
      </c>
    </row>
    <row r="73" ht="15.75" customHeight="1"/>
    <row r="74" ht="15.75" customHeight="1"/>
    <row r="75" ht="15.75" customHeight="1">
      <c r="CO75" s="162"/>
      <c r="CS75" s="162"/>
      <c r="CT75" s="162"/>
    </row>
    <row r="76" ht="15.75" customHeight="1">
      <c r="CO76" s="163"/>
      <c r="CP76" s="164"/>
      <c r="CQ76" s="164"/>
      <c r="CS76" s="163"/>
      <c r="CT76" s="165"/>
    </row>
    <row r="77" ht="15.75" customHeight="1">
      <c r="CO77" s="166" t="s">
        <v>119</v>
      </c>
      <c r="CS77" s="166" t="s">
        <v>120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</sheetData>
  <mergeCells count="107">
    <mergeCell ref="AH8:AW8"/>
    <mergeCell ref="AX8:AY10"/>
    <mergeCell ref="AH9:AO9"/>
    <mergeCell ref="AP9:AW9"/>
    <mergeCell ref="AH10:AI10"/>
    <mergeCell ref="AJ10:AK10"/>
    <mergeCell ref="AL10:AM10"/>
    <mergeCell ref="AV10:AW10"/>
    <mergeCell ref="D4:F4"/>
    <mergeCell ref="A6:AA6"/>
    <mergeCell ref="AE6:BE6"/>
    <mergeCell ref="BI6:CI6"/>
    <mergeCell ref="AE7:BE7"/>
    <mergeCell ref="CB8:CC10"/>
    <mergeCell ref="BT9:CA9"/>
    <mergeCell ref="BI7:CI7"/>
    <mergeCell ref="BL8:CA8"/>
    <mergeCell ref="A8:C10"/>
    <mergeCell ref="D9:K9"/>
    <mergeCell ref="D10:E10"/>
    <mergeCell ref="F10:G10"/>
    <mergeCell ref="H10:I10"/>
    <mergeCell ref="J10:K10"/>
    <mergeCell ref="BI8:BK10"/>
    <mergeCell ref="BL9:BS9"/>
    <mergeCell ref="BL10:BM10"/>
    <mergeCell ref="BN10:BO10"/>
    <mergeCell ref="BP10:BQ10"/>
    <mergeCell ref="BR10:BS10"/>
    <mergeCell ref="L9:S9"/>
    <mergeCell ref="L10:M10"/>
    <mergeCell ref="N10:O10"/>
    <mergeCell ref="P10:Q10"/>
    <mergeCell ref="R10:S10"/>
    <mergeCell ref="AN10:AO10"/>
    <mergeCell ref="AP10:AQ10"/>
    <mergeCell ref="AR10:AS10"/>
    <mergeCell ref="AT10:AU10"/>
    <mergeCell ref="BT10:BU10"/>
    <mergeCell ref="BV10:BW10"/>
    <mergeCell ref="CM7:CT7"/>
    <mergeCell ref="CM9:CO9"/>
    <mergeCell ref="CP9:CT9"/>
    <mergeCell ref="CM10:CO10"/>
    <mergeCell ref="CP10:CR10"/>
    <mergeCell ref="CS10:CS11"/>
    <mergeCell ref="CT10:CT11"/>
    <mergeCell ref="CP63:CQ63"/>
    <mergeCell ref="CP64:CQ64"/>
    <mergeCell ref="CQ66:CR66"/>
    <mergeCell ref="CS76:CT76"/>
    <mergeCell ref="CS77:CT77"/>
    <mergeCell ref="CM6:CT6"/>
    <mergeCell ref="CD8:CD11"/>
    <mergeCell ref="CE8:CE11"/>
    <mergeCell ref="CF8:CF11"/>
    <mergeCell ref="CG8:CG11"/>
    <mergeCell ref="CH8:CH11"/>
    <mergeCell ref="CI8:CI11"/>
    <mergeCell ref="A2:B2"/>
    <mergeCell ref="C2:AA2"/>
    <mergeCell ref="AE2:AF2"/>
    <mergeCell ref="AG2:BE2"/>
    <mergeCell ref="BI2:BJ2"/>
    <mergeCell ref="BK2:CI2"/>
    <mergeCell ref="CM2:CN2"/>
    <mergeCell ref="A3:B3"/>
    <mergeCell ref="C3:AA3"/>
    <mergeCell ref="AE3:AF3"/>
    <mergeCell ref="AG3:BE3"/>
    <mergeCell ref="BI3:BJ3"/>
    <mergeCell ref="BK3:CI3"/>
    <mergeCell ref="CM3:CN3"/>
    <mergeCell ref="A4:B4"/>
    <mergeCell ref="AE4:AF4"/>
    <mergeCell ref="AH4:AJ4"/>
    <mergeCell ref="BI4:BJ4"/>
    <mergeCell ref="BL4:BN4"/>
    <mergeCell ref="CM4:CN4"/>
    <mergeCell ref="CP4:CQ4"/>
    <mergeCell ref="A7:AA7"/>
    <mergeCell ref="D8:S8"/>
    <mergeCell ref="V8:V11"/>
    <mergeCell ref="W8:W11"/>
    <mergeCell ref="X8:X11"/>
    <mergeCell ref="Y8:Y11"/>
    <mergeCell ref="Z8:Z11"/>
    <mergeCell ref="AA8:AA11"/>
    <mergeCell ref="T8:U10"/>
    <mergeCell ref="AE8:AG10"/>
    <mergeCell ref="AZ8:AZ11"/>
    <mergeCell ref="BA8:BA11"/>
    <mergeCell ref="BB8:BB11"/>
    <mergeCell ref="BC8:BC11"/>
    <mergeCell ref="BD8:BD11"/>
    <mergeCell ref="BE8:BE11"/>
    <mergeCell ref="BX10:BY10"/>
    <mergeCell ref="BZ10:CA10"/>
    <mergeCell ref="CX7:DD7"/>
    <mergeCell ref="DA10:DD10"/>
    <mergeCell ref="CX2:CY2"/>
    <mergeCell ref="CZ2:DD2"/>
    <mergeCell ref="CX3:CY3"/>
    <mergeCell ref="CZ3:DD3"/>
    <mergeCell ref="CX4:CY4"/>
    <mergeCell ref="DA4:DB4"/>
    <mergeCell ref="CX6:DD6"/>
  </mergeCells>
  <conditionalFormatting sqref="D12:K61">
    <cfRule type="cellIs" dxfId="0" priority="1" operator="lessThan">
      <formula>7</formula>
    </cfRule>
  </conditionalFormatting>
  <conditionalFormatting sqref="AH12:AO61">
    <cfRule type="cellIs" dxfId="0" priority="2" operator="lessThan">
      <formula>7</formula>
    </cfRule>
  </conditionalFormatting>
  <conditionalFormatting sqref="BL12:BS61">
    <cfRule type="cellIs" dxfId="0" priority="3" operator="lessThan">
      <formula>7</formula>
    </cfRule>
  </conditionalFormatting>
  <conditionalFormatting sqref="CT12:CT61">
    <cfRule type="containsText" dxfId="1" priority="4" operator="containsText" text="REPROBADO">
      <formula>NOT(ISERROR(SEARCH(("REPROBADO"),(CT12))))</formula>
    </cfRule>
  </conditionalFormatting>
  <conditionalFormatting sqref="CT12:CT61">
    <cfRule type="containsText" dxfId="2" priority="5" operator="containsText" text="SUPLETORIO">
      <formula>NOT(ISERROR(SEARCH(("SUPLETORIO"),(CT12))))</formula>
    </cfRule>
  </conditionalFormatting>
  <conditionalFormatting sqref="CT12:CT61">
    <cfRule type="containsText" dxfId="3" priority="6" operator="containsText" text="APROBADO">
      <formula>NOT(ISERROR(SEARCH(("APROBADO"),(CT12))))</formula>
    </cfRule>
  </conditionalFormatting>
  <conditionalFormatting sqref="CT12:CT61">
    <cfRule type="containsText" dxfId="4" priority="7" operator="containsText" text="REMEDIAL">
      <formula>NOT(ISERROR(SEARCH(("REMEDIAL"),(CT12))))</formula>
    </cfRule>
  </conditionalFormatting>
  <conditionalFormatting sqref="CT12:CT61">
    <cfRule type="containsText" dxfId="5" priority="8" operator="containsText" text="SUPLETORIO">
      <formula>NOT(ISERROR(SEARCH(("SUPLETORIO"),(CT12))))</formula>
    </cfRule>
  </conditionalFormatting>
  <conditionalFormatting sqref="CT12:CT61">
    <cfRule type="containsText" dxfId="6" priority="9" operator="containsText" text="APROBADO">
      <formula>NOT(ISERROR(SEARCH(("APROBADO"),(CT12))))</formula>
    </cfRule>
  </conditionalFormatting>
  <conditionalFormatting sqref="DC12:DC61">
    <cfRule type="expression" dxfId="7" priority="10">
      <formula>ISERROR(DC12)</formula>
    </cfRule>
  </conditionalFormatting>
  <conditionalFormatting sqref="DD12:DD61">
    <cfRule type="containsText" dxfId="0" priority="11" operator="containsText" text="NO PROMOVIDO">
      <formula>NOT(ISERROR(SEARCH(("NO PROMOVIDO"),(DD12))))</formula>
    </cfRule>
  </conditionalFormatting>
  <conditionalFormatting sqref="DD12:DD61">
    <cfRule type="containsText" dxfId="8" priority="12" operator="containsText" text="PROMOVIDO">
      <formula>NOT(ISERROR(SEARCH(("PROMOVIDO"),(DD12))))</formula>
    </cfRule>
  </conditionalFormatting>
  <dataValidations>
    <dataValidation type="decimal" allowBlank="1" showInputMessage="1" showErrorMessage="1" prompt="ERROR - LA CALIFICACION ES ENTRE 1 Y 10" sqref="DB12:DB61">
      <formula1>1.0</formula1>
      <formula2>10.0</formula2>
    </dataValidation>
    <dataValidation type="decimal" allowBlank="1" showInputMessage="1" showErrorMessage="1" prompt="LOS VALORES DEBEN SER ENTRE 0 Y 10 PTS" sqref="BL12:CC61 CE12:CE61">
      <formula1>0.0</formula1>
      <formula2>10.0</formula2>
    </dataValidation>
    <dataValidation type="decimal" allowBlank="1" showInputMessage="1" showErrorMessage="1" prompt="EL VALOR DEBE SER ENTRE 0 Y 10 PTS" sqref="D12:U61 W12:W61">
      <formula1>0.0</formula1>
      <formula2>10.0</formula2>
    </dataValidation>
  </dataValidations>
  <printOptions/>
  <pageMargins bottom="0.1968503937007874" footer="0.0" header="0.0" left="0.1968503937007874" right="0.1968503937007874" top="0.1968503937007874"/>
  <pageSetup paperSize="9" scale="75"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1.71"/>
    <col customWidth="1" min="3" max="3" width="40.71"/>
    <col customWidth="1" min="4" max="18" width="4.86"/>
    <col customWidth="1" min="19" max="19" width="7.43"/>
    <col customWidth="1" min="20" max="21" width="2.57"/>
    <col customWidth="1" min="22" max="22" width="2.86"/>
    <col customWidth="1" min="23" max="24" width="10.71"/>
    <col customWidth="1" min="25" max="25" width="39.43"/>
    <col customWidth="1" min="26" max="40" width="4.86"/>
    <col customWidth="1" min="41" max="41" width="9.0"/>
    <col customWidth="1" min="42" max="42" width="3.57"/>
    <col customWidth="1" min="43" max="43" width="3.14"/>
    <col customWidth="1" min="44" max="44" width="4.0"/>
    <col customWidth="1" min="45" max="46" width="7.0"/>
    <col customWidth="1" min="47" max="47" width="42.43"/>
    <col customWidth="1" min="48" max="62" width="4.86"/>
    <col customWidth="1" min="63" max="63" width="8.57"/>
  </cols>
  <sheetData>
    <row r="1" ht="82.5" customHeight="1">
      <c r="U1" s="2"/>
      <c r="W1" s="273" t="s">
        <v>203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4"/>
    </row>
    <row r="2" ht="21.0" customHeight="1">
      <c r="A2" s="3" t="s">
        <v>0</v>
      </c>
      <c r="B2" s="4"/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  <c r="U2" s="2"/>
      <c r="W2" s="3" t="s">
        <v>0</v>
      </c>
      <c r="X2" s="4"/>
      <c r="Y2" s="5" t="str">
        <f t="shared" ref="Y2:Y3" si="1">C2</f>
        <v>UNIDAD EDUCATIVA EMILIO ISAIAS ABIHANNA 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4"/>
      <c r="AS2" s="3" t="s">
        <v>0</v>
      </c>
      <c r="AT2" s="4"/>
      <c r="AU2" s="5" t="str">
        <f>Y2</f>
        <v>UNIDAD EDUCATIVA EMILIO ISAIAS ABIHANNA </v>
      </c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4"/>
    </row>
    <row r="3" ht="21.0" customHeight="1">
      <c r="A3" s="3" t="s">
        <v>2</v>
      </c>
      <c r="B3" s="4"/>
      <c r="C3" s="7" t="s">
        <v>204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U3" s="2"/>
      <c r="W3" s="3" t="s">
        <v>2</v>
      </c>
      <c r="X3" s="4"/>
      <c r="Y3" s="8" t="str">
        <f t="shared" si="1"/>
        <v>Stalin Ochoa                                                                                              LCDA. SILVIA DURAN A.                                    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4"/>
      <c r="AQ3" s="2"/>
      <c r="AS3" s="3" t="s">
        <v>2</v>
      </c>
      <c r="AT3" s="4"/>
      <c r="AU3" s="8" t="str">
        <f t="shared" ref="AU3:AU4" si="2">C3</f>
        <v>Stalin Ochoa                                                                                              LCDA. SILVIA DURAN A.                                    </v>
      </c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4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U4" s="2"/>
      <c r="W4" s="3" t="s">
        <v>4</v>
      </c>
      <c r="X4" s="4"/>
      <c r="Y4" s="12" t="str">
        <f>LEN!V4</f>
        <v/>
      </c>
      <c r="Z4" s="10" t="s">
        <v>6</v>
      </c>
      <c r="AA4" s="6"/>
      <c r="AB4" s="4"/>
      <c r="AC4" s="11" t="str">
        <f>LEN!Z4</f>
        <v/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Q4" s="2"/>
      <c r="AS4" s="3" t="s">
        <v>4</v>
      </c>
      <c r="AT4" s="4"/>
      <c r="AU4" s="12" t="str">
        <f t="shared" si="2"/>
        <v>1ER. AÑO DE BACHILLERATO TECNICO</v>
      </c>
      <c r="AV4" s="10" t="s">
        <v>6</v>
      </c>
      <c r="AW4" s="6"/>
      <c r="AX4" s="4"/>
      <c r="AY4" s="11" t="str">
        <f>G4</f>
        <v>B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</row>
    <row r="5" ht="25.5" customHeight="1">
      <c r="U5" s="2"/>
      <c r="AQ5" s="2"/>
    </row>
    <row r="6" ht="30.0" customHeight="1">
      <c r="A6" s="273" t="s">
        <v>205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4"/>
      <c r="U6" s="2"/>
      <c r="W6" s="274" t="s">
        <v>203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4"/>
      <c r="AQ6" s="2"/>
      <c r="AS6" s="273" t="s">
        <v>206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4"/>
    </row>
    <row r="7" ht="25.5" customHeight="1">
      <c r="A7" s="1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4"/>
      <c r="U7" s="2"/>
      <c r="W7" s="1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4"/>
      <c r="AQ7" s="2"/>
      <c r="AS7" s="1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4"/>
    </row>
    <row r="8" ht="20.25" customHeight="1">
      <c r="A8" s="17" t="s">
        <v>12</v>
      </c>
      <c r="B8" s="18"/>
      <c r="C8" s="19"/>
      <c r="D8" s="275" t="s">
        <v>29</v>
      </c>
      <c r="E8" s="21"/>
      <c r="F8" s="21"/>
      <c r="G8" s="21"/>
      <c r="H8" s="21"/>
      <c r="I8" s="21"/>
      <c r="J8" s="276"/>
      <c r="K8" s="277"/>
      <c r="L8" s="277"/>
      <c r="M8" s="277"/>
      <c r="N8" s="277"/>
      <c r="O8" s="277"/>
      <c r="P8" s="277"/>
      <c r="Q8" s="277"/>
      <c r="R8" s="277"/>
      <c r="S8" s="23" t="s">
        <v>207</v>
      </c>
      <c r="U8" s="2"/>
      <c r="W8" s="17" t="s">
        <v>12</v>
      </c>
      <c r="X8" s="18"/>
      <c r="Y8" s="278"/>
      <c r="Z8" s="279" t="s">
        <v>208</v>
      </c>
      <c r="AA8" s="18"/>
      <c r="AB8" s="18"/>
      <c r="AC8" s="18"/>
      <c r="AD8" s="18"/>
      <c r="AE8" s="18"/>
      <c r="AF8" s="278"/>
      <c r="AG8" s="280"/>
      <c r="AH8" s="280"/>
      <c r="AI8" s="280"/>
      <c r="AJ8" s="280"/>
      <c r="AK8" s="280"/>
      <c r="AL8" s="280"/>
      <c r="AM8" s="280"/>
      <c r="AN8" s="280"/>
      <c r="AO8" s="281" t="s">
        <v>209</v>
      </c>
      <c r="AQ8" s="2"/>
      <c r="AS8" s="17" t="s">
        <v>12</v>
      </c>
      <c r="AT8" s="18"/>
      <c r="AU8" s="19"/>
      <c r="AV8" s="20" t="s">
        <v>208</v>
      </c>
      <c r="AW8" s="21"/>
      <c r="AX8" s="21"/>
      <c r="AY8" s="21"/>
      <c r="AZ8" s="21"/>
      <c r="BA8" s="21"/>
      <c r="BB8" s="276"/>
      <c r="BC8" s="277"/>
      <c r="BD8" s="277"/>
      <c r="BE8" s="277"/>
      <c r="BF8" s="277"/>
      <c r="BG8" s="277"/>
      <c r="BH8" s="277"/>
      <c r="BI8" s="277"/>
      <c r="BJ8" s="277"/>
      <c r="BK8" s="23" t="s">
        <v>210</v>
      </c>
    </row>
    <row r="9" ht="27.0" customHeight="1">
      <c r="A9" s="27"/>
      <c r="C9" s="28"/>
      <c r="D9" s="29"/>
      <c r="J9" s="282"/>
      <c r="K9" s="280"/>
      <c r="L9" s="280"/>
      <c r="M9" s="280"/>
      <c r="N9" s="280"/>
      <c r="O9" s="280"/>
      <c r="P9" s="280"/>
      <c r="Q9" s="280"/>
      <c r="R9" s="280"/>
      <c r="S9" s="30"/>
      <c r="U9" s="2"/>
      <c r="W9" s="27"/>
      <c r="Y9" s="282"/>
      <c r="Z9" s="27"/>
      <c r="AF9" s="282"/>
      <c r="AG9" s="280"/>
      <c r="AH9" s="280"/>
      <c r="AI9" s="280"/>
      <c r="AJ9" s="280"/>
      <c r="AK9" s="280"/>
      <c r="AL9" s="280"/>
      <c r="AM9" s="280"/>
      <c r="AN9" s="280"/>
      <c r="AO9" s="283"/>
      <c r="AQ9" s="2"/>
      <c r="AS9" s="27"/>
      <c r="AU9" s="28"/>
      <c r="AV9" s="29"/>
      <c r="BB9" s="282"/>
      <c r="BC9" s="280"/>
      <c r="BD9" s="280"/>
      <c r="BE9" s="280"/>
      <c r="BF9" s="280"/>
      <c r="BG9" s="280"/>
      <c r="BH9" s="280"/>
      <c r="BI9" s="280"/>
      <c r="BJ9" s="280"/>
      <c r="BK9" s="30"/>
    </row>
    <row r="10" ht="30.0" customHeight="1">
      <c r="A10" s="32"/>
      <c r="B10" s="33"/>
      <c r="C10" s="34"/>
      <c r="D10" s="93"/>
      <c r="E10" s="284"/>
      <c r="F10" s="284"/>
      <c r="G10" s="284"/>
      <c r="H10" s="284"/>
      <c r="I10" s="284"/>
      <c r="J10" s="285"/>
      <c r="K10" s="280"/>
      <c r="L10" s="280"/>
      <c r="M10" s="280"/>
      <c r="N10" s="280"/>
      <c r="O10" s="280"/>
      <c r="P10" s="280"/>
      <c r="Q10" s="280"/>
      <c r="R10" s="280"/>
      <c r="S10" s="30"/>
      <c r="U10" s="2"/>
      <c r="W10" s="286"/>
      <c r="X10" s="36"/>
      <c r="Y10" s="287"/>
      <c r="Z10" s="288"/>
      <c r="AA10" s="284"/>
      <c r="AB10" s="284"/>
      <c r="AC10" s="284"/>
      <c r="AD10" s="284"/>
      <c r="AE10" s="284"/>
      <c r="AF10" s="285"/>
      <c r="AG10" s="280"/>
      <c r="AH10" s="280"/>
      <c r="AI10" s="280"/>
      <c r="AJ10" s="280"/>
      <c r="AK10" s="280"/>
      <c r="AL10" s="280"/>
      <c r="AM10" s="280"/>
      <c r="AN10" s="280"/>
      <c r="AO10" s="283"/>
      <c r="AQ10" s="2"/>
      <c r="AS10" s="32"/>
      <c r="AT10" s="33"/>
      <c r="AU10" s="34"/>
      <c r="AV10" s="35"/>
      <c r="AW10" s="36"/>
      <c r="AX10" s="36"/>
      <c r="AY10" s="36"/>
      <c r="AZ10" s="36"/>
      <c r="BA10" s="36"/>
      <c r="BB10" s="287"/>
      <c r="BC10" s="280"/>
      <c r="BD10" s="280"/>
      <c r="BE10" s="280"/>
      <c r="BF10" s="280"/>
      <c r="BG10" s="280"/>
      <c r="BH10" s="280"/>
      <c r="BI10" s="280"/>
      <c r="BJ10" s="280"/>
      <c r="BK10" s="30"/>
    </row>
    <row r="11" ht="72.75" customHeight="1">
      <c r="A11" s="38" t="s">
        <v>23</v>
      </c>
      <c r="B11" s="38" t="s">
        <v>24</v>
      </c>
      <c r="C11" s="39" t="s">
        <v>25</v>
      </c>
      <c r="D11" s="40" t="s">
        <v>26</v>
      </c>
      <c r="E11" s="41" t="s">
        <v>27</v>
      </c>
      <c r="F11" s="42" t="s">
        <v>28</v>
      </c>
      <c r="G11" s="43" t="s">
        <v>29</v>
      </c>
      <c r="H11" s="44" t="s">
        <v>30</v>
      </c>
      <c r="I11" s="45" t="s">
        <v>31</v>
      </c>
      <c r="J11" s="46" t="s">
        <v>32</v>
      </c>
      <c r="K11" s="47" t="s">
        <v>33</v>
      </c>
      <c r="L11" s="48" t="s">
        <v>34</v>
      </c>
      <c r="M11" s="49" t="s">
        <v>35</v>
      </c>
      <c r="N11" s="41" t="s">
        <v>36</v>
      </c>
      <c r="O11" s="50" t="s">
        <v>37</v>
      </c>
      <c r="P11" s="51" t="s">
        <v>38</v>
      </c>
      <c r="Q11" s="52" t="s">
        <v>39</v>
      </c>
      <c r="R11" s="53" t="s">
        <v>40</v>
      </c>
      <c r="S11" s="54"/>
      <c r="U11" s="2"/>
      <c r="W11" s="38" t="s">
        <v>23</v>
      </c>
      <c r="X11" s="289" t="str">
        <f t="shared" ref="X11:Y11" si="3">B11</f>
        <v>CÉDULA</v>
      </c>
      <c r="Y11" s="290" t="str">
        <f t="shared" si="3"/>
        <v>APELLIDOS/NOMBRES</v>
      </c>
      <c r="Z11" s="40" t="s">
        <v>26</v>
      </c>
      <c r="AA11" s="41" t="s">
        <v>27</v>
      </c>
      <c r="AB11" s="42" t="s">
        <v>28</v>
      </c>
      <c r="AC11" s="43" t="s">
        <v>29</v>
      </c>
      <c r="AD11" s="44" t="s">
        <v>30</v>
      </c>
      <c r="AE11" s="45" t="s">
        <v>31</v>
      </c>
      <c r="AF11" s="46" t="s">
        <v>32</v>
      </c>
      <c r="AG11" s="47" t="s">
        <v>33</v>
      </c>
      <c r="AH11" s="48" t="s">
        <v>34</v>
      </c>
      <c r="AI11" s="49" t="s">
        <v>35</v>
      </c>
      <c r="AJ11" s="41" t="s">
        <v>36</v>
      </c>
      <c r="AK11" s="50" t="s">
        <v>37</v>
      </c>
      <c r="AL11" s="51" t="s">
        <v>38</v>
      </c>
      <c r="AM11" s="52" t="s">
        <v>39</v>
      </c>
      <c r="AN11" s="53" t="s">
        <v>40</v>
      </c>
      <c r="AO11" s="291"/>
      <c r="AQ11" s="2"/>
      <c r="AS11" s="38" t="s">
        <v>23</v>
      </c>
      <c r="AT11" s="38" t="s">
        <v>24</v>
      </c>
      <c r="AU11" s="39" t="s">
        <v>25</v>
      </c>
      <c r="AV11" s="40" t="s">
        <v>26</v>
      </c>
      <c r="AW11" s="41" t="s">
        <v>27</v>
      </c>
      <c r="AX11" s="42" t="s">
        <v>28</v>
      </c>
      <c r="AY11" s="43" t="s">
        <v>29</v>
      </c>
      <c r="AZ11" s="44" t="s">
        <v>30</v>
      </c>
      <c r="BA11" s="45" t="s">
        <v>31</v>
      </c>
      <c r="BB11" s="46" t="s">
        <v>32</v>
      </c>
      <c r="BC11" s="47" t="s">
        <v>33</v>
      </c>
      <c r="BD11" s="48" t="s">
        <v>34</v>
      </c>
      <c r="BE11" s="49" t="s">
        <v>35</v>
      </c>
      <c r="BF11" s="41" t="s">
        <v>36</v>
      </c>
      <c r="BG11" s="50" t="s">
        <v>37</v>
      </c>
      <c r="BH11" s="51" t="s">
        <v>38</v>
      </c>
      <c r="BI11" s="52" t="s">
        <v>39</v>
      </c>
      <c r="BJ11" s="53" t="s">
        <v>40</v>
      </c>
      <c r="BK11" s="54"/>
    </row>
    <row r="12" ht="15.0" customHeight="1">
      <c r="A12" s="56">
        <v>1.0</v>
      </c>
      <c r="B12" s="124" t="str">
        <f>LEN!B12</f>
        <v/>
      </c>
      <c r="C12" s="125" t="str">
        <f>LEN!C12</f>
        <v>Almeida Alvarado Ariana Guisela</v>
      </c>
      <c r="D12" s="120">
        <f>LEN!CP12</f>
        <v>9.3</v>
      </c>
      <c r="E12" s="120">
        <f>MATE!CP12</f>
        <v>9.03</v>
      </c>
      <c r="F12" s="120">
        <f>INGLES!CP12</f>
        <v>9.63</v>
      </c>
      <c r="G12" s="120">
        <f>QUIMI!CP12</f>
        <v>9.7</v>
      </c>
      <c r="H12" s="120">
        <f>FISICA!CO12</f>
        <v>9.76</v>
      </c>
      <c r="I12" s="120">
        <f>'ED. FISICA'!CP12</f>
        <v>9.53</v>
      </c>
      <c r="J12" s="120">
        <f>'CONTABILIDAD GENERAL '!CP12</f>
        <v>10</v>
      </c>
      <c r="K12" s="120">
        <f>BIO!CP12</f>
        <v>10</v>
      </c>
      <c r="L12" s="120">
        <f>HIST!CP12</f>
        <v>10</v>
      </c>
      <c r="M12" s="120">
        <f>'E. C. A '!CP12</f>
        <v>9.35</v>
      </c>
      <c r="N12" s="120">
        <f>FILOSOFIA!CP12</f>
        <v>10</v>
      </c>
      <c r="O12" s="120">
        <f>EMP!CP12</f>
        <v>9.89</v>
      </c>
      <c r="P12" s="120">
        <f>'EDUCACION PARA LA CIUDADANIA '!CP12</f>
        <v>10</v>
      </c>
      <c r="Q12" s="120">
        <f>'PAQUETES CONTABLES '!CP12</f>
        <v>9.69</v>
      </c>
      <c r="R12" s="120">
        <f>'TRIBUTACION '!CP12</f>
        <v>8.86</v>
      </c>
      <c r="S12" s="122">
        <f t="shared" ref="S12:S61" si="6">AVERAGE(D12:Q12)</f>
        <v>9.705714286</v>
      </c>
      <c r="T12" s="292"/>
      <c r="U12" s="2"/>
      <c r="W12" s="56">
        <v>1.0</v>
      </c>
      <c r="X12" s="124" t="str">
        <f t="shared" ref="X12:Y12" si="4">B12</f>
        <v/>
      </c>
      <c r="Y12" s="188" t="str">
        <f t="shared" si="4"/>
        <v>Almeida Alvarado Ariana Guisela</v>
      </c>
      <c r="Z12" s="120">
        <f>LEN!CQ12</f>
        <v>9.75</v>
      </c>
      <c r="AA12" s="120">
        <f>MATE!CQ12</f>
        <v>9.38</v>
      </c>
      <c r="AB12" s="120">
        <f>INGLES!CQ12</f>
        <v>9.38</v>
      </c>
      <c r="AC12" s="120">
        <f>QUIMI!CQ12</f>
        <v>10</v>
      </c>
      <c r="AD12" s="120">
        <f>FISICA!CP12</f>
        <v>9.7</v>
      </c>
      <c r="AE12" s="120">
        <f>'ED. FISICA'!CQ12</f>
        <v>9.5</v>
      </c>
      <c r="AF12" s="120">
        <f>'CONTABILIDAD GENERAL '!CQ12</f>
        <v>9.65</v>
      </c>
      <c r="AG12" s="120">
        <f>BIO!CQ12</f>
        <v>10</v>
      </c>
      <c r="AH12" s="120">
        <f>HIST!CQ12</f>
        <v>10</v>
      </c>
      <c r="AI12" s="120">
        <f>'E. C. A '!CQ12</f>
        <v>10</v>
      </c>
      <c r="AJ12" s="120">
        <f>FILOSOFIA!CQ12</f>
        <v>10</v>
      </c>
      <c r="AK12" s="120">
        <f>EMP!CQ12</f>
        <v>10</v>
      </c>
      <c r="AL12" s="120">
        <f>'EDUCACION PARA LA CIUDADANIA '!CQ12</f>
        <v>10</v>
      </c>
      <c r="AM12" s="120">
        <f>'PAQUETES CONTABLES '!CQ12</f>
        <v>10</v>
      </c>
      <c r="AN12" s="120">
        <f>'TRIBUTACION '!CQ12</f>
        <v>9.55</v>
      </c>
      <c r="AO12" s="122">
        <f t="shared" ref="AO12:AO61" si="8">AVERAGE(Z12:AM12)</f>
        <v>9.811428571</v>
      </c>
      <c r="AQ12" s="2" t="str">
        <f t="shared" ref="AQ12:AQ61" si="9">IFERROR(TRUNC(SUM(#REF!+#REF!),2),"")</f>
        <v/>
      </c>
      <c r="AS12" s="56">
        <v>1.0</v>
      </c>
      <c r="AT12" s="124" t="str">
        <f t="shared" ref="AT12:AU12" si="5">B12</f>
        <v/>
      </c>
      <c r="AU12" s="125" t="str">
        <f t="shared" si="5"/>
        <v>Almeida Alvarado Ariana Guisela</v>
      </c>
      <c r="AV12" s="120">
        <f>LEN!CR12</f>
        <v>0</v>
      </c>
      <c r="AW12" s="120">
        <f>MATE!CR12</f>
        <v>0</v>
      </c>
      <c r="AX12" s="120">
        <f>INGLES!CR12</f>
        <v>0</v>
      </c>
      <c r="AY12" s="120">
        <f>QUIMI!CR12</f>
        <v>0</v>
      </c>
      <c r="AZ12" s="120">
        <f>FISICA!CQ12</f>
        <v>7</v>
      </c>
      <c r="BA12" s="120">
        <f>'ED. FISICA'!CR12</f>
        <v>0</v>
      </c>
      <c r="BB12" s="120">
        <f>'CONTABILIDAD GENERAL '!CR12</f>
        <v>0</v>
      </c>
      <c r="BC12" s="120">
        <f>BIO!CR12</f>
        <v>0</v>
      </c>
      <c r="BD12" s="120">
        <f>HIST!CR12</f>
        <v>0</v>
      </c>
      <c r="BE12" s="120">
        <f>'E. C. A '!CR12</f>
        <v>0</v>
      </c>
      <c r="BF12" s="120">
        <f>FILOSOFIA!CR12</f>
        <v>0</v>
      </c>
      <c r="BG12" s="120">
        <f>EMP!CR12</f>
        <v>0</v>
      </c>
      <c r="BH12" s="120">
        <f>'EDUCACION PARA LA CIUDADANIA '!CR12</f>
        <v>0</v>
      </c>
      <c r="BI12" s="120">
        <f>'PAQUETES CONTABLES '!CR12</f>
        <v>0</v>
      </c>
      <c r="BJ12" s="120">
        <f>'TRIBUTACION '!CR12</f>
        <v>0</v>
      </c>
      <c r="BK12" s="122">
        <f t="shared" ref="BK12:BK61" si="11">AVERAGE(AV12:BI12)</f>
        <v>0.5</v>
      </c>
    </row>
    <row r="13" ht="15.0" customHeight="1">
      <c r="A13" s="56">
        <v>2.0</v>
      </c>
      <c r="B13" s="124" t="str">
        <f>LEN!B13</f>
        <v/>
      </c>
      <c r="C13" s="125" t="str">
        <f>LEN!C13</f>
        <v>Alvarado Vargas Dacmar Alejandra</v>
      </c>
      <c r="D13" s="120">
        <f>LEN!CP13</f>
        <v>9.3</v>
      </c>
      <c r="E13" s="120">
        <f>MATE!CP13</f>
        <v>8.53</v>
      </c>
      <c r="F13" s="120">
        <f>INGLES!CP13</f>
        <v>9.37</v>
      </c>
      <c r="G13" s="120">
        <f>QUIMI!CP13</f>
        <v>9.55</v>
      </c>
      <c r="H13" s="120">
        <f>FISICA!CO13</f>
        <v>9.76</v>
      </c>
      <c r="I13" s="120">
        <f>'ED. FISICA'!CP13</f>
        <v>9.53</v>
      </c>
      <c r="J13" s="120">
        <f>'CONTABILIDAD GENERAL '!CP13</f>
        <v>10</v>
      </c>
      <c r="K13" s="120">
        <f>BIO!CP13</f>
        <v>10</v>
      </c>
      <c r="L13" s="120">
        <f>HIST!CP13</f>
        <v>10</v>
      </c>
      <c r="M13" s="120">
        <f>'E. C. A '!CP13</f>
        <v>8.65</v>
      </c>
      <c r="N13" s="120">
        <f>FILOSOFIA!CP13</f>
        <v>9.35</v>
      </c>
      <c r="O13" s="120">
        <f>EMP!CP13</f>
        <v>9.85</v>
      </c>
      <c r="P13" s="120">
        <f>'EDUCACION PARA LA CIUDADANIA '!CP13</f>
        <v>9.41</v>
      </c>
      <c r="Q13" s="120">
        <f>'PAQUETES CONTABLES '!CP13</f>
        <v>9.79</v>
      </c>
      <c r="R13" s="120">
        <f>'TRIBUTACION '!CP13</f>
        <v>9.14</v>
      </c>
      <c r="S13" s="122">
        <f t="shared" si="6"/>
        <v>9.506428571</v>
      </c>
      <c r="T13" s="292"/>
      <c r="U13" s="2"/>
      <c r="W13" s="56">
        <v>2.0</v>
      </c>
      <c r="X13" s="124" t="str">
        <f t="shared" ref="X13:Y13" si="7">B13</f>
        <v/>
      </c>
      <c r="Y13" s="188" t="str">
        <f t="shared" si="7"/>
        <v>Alvarado Vargas Dacmar Alejandra</v>
      </c>
      <c r="Z13" s="120">
        <f>LEN!CQ13</f>
        <v>9.35</v>
      </c>
      <c r="AA13" s="120">
        <f>MATE!CQ13</f>
        <v>8.53</v>
      </c>
      <c r="AB13" s="120">
        <f>INGLES!CQ13</f>
        <v>8.3</v>
      </c>
      <c r="AC13" s="120">
        <f>QUIMI!CQ13</f>
        <v>9.55</v>
      </c>
      <c r="AD13" s="120">
        <f>FISICA!CP13</f>
        <v>8.85</v>
      </c>
      <c r="AE13" s="120">
        <f>'ED. FISICA'!CQ13</f>
        <v>9.5</v>
      </c>
      <c r="AF13" s="120">
        <f>'CONTABILIDAD GENERAL '!CQ13</f>
        <v>10</v>
      </c>
      <c r="AG13" s="120">
        <f>BIO!CQ13</f>
        <v>10</v>
      </c>
      <c r="AH13" s="120">
        <f>HIST!CQ13</f>
        <v>10</v>
      </c>
      <c r="AI13" s="120">
        <f>'E. C. A '!CQ13</f>
        <v>10</v>
      </c>
      <c r="AJ13" s="120">
        <f>FILOSOFIA!CQ13</f>
        <v>10</v>
      </c>
      <c r="AK13" s="120">
        <f>EMP!CQ13</f>
        <v>10</v>
      </c>
      <c r="AL13" s="120">
        <f>'EDUCACION PARA LA CIUDADANIA '!CQ13</f>
        <v>10</v>
      </c>
      <c r="AM13" s="120">
        <f>'PAQUETES CONTABLES '!CQ13</f>
        <v>10</v>
      </c>
      <c r="AN13" s="120">
        <f>'TRIBUTACION '!CQ13</f>
        <v>7.68</v>
      </c>
      <c r="AO13" s="122">
        <f t="shared" si="8"/>
        <v>9.577142857</v>
      </c>
      <c r="AQ13" s="2" t="str">
        <f t="shared" si="9"/>
        <v/>
      </c>
      <c r="AS13" s="56">
        <v>2.0</v>
      </c>
      <c r="AT13" s="124" t="str">
        <f t="shared" ref="AT13:AU13" si="10">B13</f>
        <v/>
      </c>
      <c r="AU13" s="125" t="str">
        <f t="shared" si="10"/>
        <v>Alvarado Vargas Dacmar Alejandra</v>
      </c>
      <c r="AV13" s="120">
        <f>LEN!CR13</f>
        <v>0</v>
      </c>
      <c r="AW13" s="120">
        <f>MATE!CR13</f>
        <v>0</v>
      </c>
      <c r="AX13" s="120">
        <f>INGLES!CR13</f>
        <v>0</v>
      </c>
      <c r="AY13" s="120">
        <f>QUIMI!CR13</f>
        <v>0</v>
      </c>
      <c r="AZ13" s="120">
        <f>FISICA!CQ13</f>
        <v>7</v>
      </c>
      <c r="BA13" s="120">
        <f>'ED. FISICA'!CR13</f>
        <v>0</v>
      </c>
      <c r="BB13" s="120">
        <f>'CONTABILIDAD GENERAL '!CR13</f>
        <v>0</v>
      </c>
      <c r="BC13" s="120">
        <f>BIO!CR13</f>
        <v>0</v>
      </c>
      <c r="BD13" s="120">
        <f>HIST!CR13</f>
        <v>0</v>
      </c>
      <c r="BE13" s="120">
        <f>'E. C. A '!CR13</f>
        <v>0</v>
      </c>
      <c r="BF13" s="120">
        <f>FILOSOFIA!CR13</f>
        <v>0</v>
      </c>
      <c r="BG13" s="120">
        <f>EMP!CR13</f>
        <v>0</v>
      </c>
      <c r="BH13" s="120">
        <f>'EDUCACION PARA LA CIUDADANIA '!CR13</f>
        <v>0</v>
      </c>
      <c r="BI13" s="120">
        <f>'PAQUETES CONTABLES '!CR13</f>
        <v>0</v>
      </c>
      <c r="BJ13" s="120">
        <f>'TRIBUTACION '!CR13</f>
        <v>0</v>
      </c>
      <c r="BK13" s="122">
        <f t="shared" si="11"/>
        <v>0.5</v>
      </c>
    </row>
    <row r="14" ht="15.0" customHeight="1">
      <c r="A14" s="56">
        <v>3.0</v>
      </c>
      <c r="B14" s="124" t="str">
        <f>LEN!B14</f>
        <v/>
      </c>
      <c r="C14" s="125" t="str">
        <f>LEN!C14</f>
        <v>Ampuero Cornejo Cesar Jeanpierre</v>
      </c>
      <c r="D14" s="120">
        <f>LEN!CP14</f>
        <v>8.33</v>
      </c>
      <c r="E14" s="120">
        <f>MATE!CP14</f>
        <v>7.18</v>
      </c>
      <c r="F14" s="120">
        <f>INGLES!CP14</f>
        <v>9.07</v>
      </c>
      <c r="G14" s="120">
        <f>QUIMI!CP14</f>
        <v>8.65</v>
      </c>
      <c r="H14" s="120">
        <f>FISICA!CO14</f>
        <v>8.68</v>
      </c>
      <c r="I14" s="120">
        <f>'ED. FISICA'!CP14</f>
        <v>9.26</v>
      </c>
      <c r="J14" s="120">
        <f>'CONTABILIDAD GENERAL '!CP14</f>
        <v>9.58</v>
      </c>
      <c r="K14" s="120">
        <f>BIO!CP14</f>
        <v>7.48</v>
      </c>
      <c r="L14" s="120">
        <f>HIST!CP14</f>
        <v>9.73</v>
      </c>
      <c r="M14" s="120">
        <f>'E. C. A '!CP14</f>
        <v>9.05</v>
      </c>
      <c r="N14" s="120">
        <f>FILOSOFIA!CP14</f>
        <v>8.21</v>
      </c>
      <c r="O14" s="120">
        <f>EMP!CP14</f>
        <v>8.9</v>
      </c>
      <c r="P14" s="120">
        <f>'EDUCACION PARA LA CIUDADANIA '!CP14</f>
        <v>8.21</v>
      </c>
      <c r="Q14" s="120">
        <f>'PAQUETES CONTABLES '!CP14</f>
        <v>7.42</v>
      </c>
      <c r="R14" s="120">
        <f>'TRIBUTACION '!CP14</f>
        <v>8.51</v>
      </c>
      <c r="S14" s="122">
        <f t="shared" si="6"/>
        <v>8.553571429</v>
      </c>
      <c r="T14" s="292"/>
      <c r="U14" s="2"/>
      <c r="W14" s="56">
        <v>3.0</v>
      </c>
      <c r="X14" s="124" t="str">
        <f t="shared" ref="X14:Y14" si="12">B14</f>
        <v/>
      </c>
      <c r="Y14" s="188" t="str">
        <f t="shared" si="12"/>
        <v>Ampuero Cornejo Cesar Jeanpierre</v>
      </c>
      <c r="Z14" s="120">
        <f>LEN!CQ14</f>
        <v>8.15</v>
      </c>
      <c r="AA14" s="120">
        <f>MATE!CQ14</f>
        <v>7.83</v>
      </c>
      <c r="AB14" s="120">
        <f>INGLES!CQ14</f>
        <v>9.15</v>
      </c>
      <c r="AC14" s="120">
        <f>QUIMI!CQ14</f>
        <v>8.37</v>
      </c>
      <c r="AD14" s="120">
        <f>FISICA!CP14</f>
        <v>8.61</v>
      </c>
      <c r="AE14" s="120">
        <f>'ED. FISICA'!CQ14</f>
        <v>9.5</v>
      </c>
      <c r="AF14" s="120">
        <f>'CONTABILIDAD GENERAL '!CQ14</f>
        <v>9.5</v>
      </c>
      <c r="AG14" s="120">
        <f>BIO!CQ14</f>
        <v>7.95</v>
      </c>
      <c r="AH14" s="120">
        <f>HIST!CQ14</f>
        <v>9.65</v>
      </c>
      <c r="AI14" s="120">
        <f>'E. C. A '!CQ14</f>
        <v>9.06</v>
      </c>
      <c r="AJ14" s="120">
        <f>FILOSOFIA!CQ14</f>
        <v>8.68</v>
      </c>
      <c r="AK14" s="120">
        <f>EMP!CQ14</f>
        <v>8.5</v>
      </c>
      <c r="AL14" s="120">
        <f>'EDUCACION PARA LA CIUDADANIA '!CQ14</f>
        <v>9.06</v>
      </c>
      <c r="AM14" s="120">
        <f>'PAQUETES CONTABLES '!CQ14</f>
        <v>9.2</v>
      </c>
      <c r="AN14" s="120">
        <f>'TRIBUTACION '!CQ14</f>
        <v>8.06</v>
      </c>
      <c r="AO14" s="122">
        <f t="shared" si="8"/>
        <v>8.800714286</v>
      </c>
      <c r="AQ14" s="2" t="str">
        <f t="shared" si="9"/>
        <v/>
      </c>
      <c r="AS14" s="56">
        <v>3.0</v>
      </c>
      <c r="AT14" s="124" t="str">
        <f t="shared" ref="AT14:AU14" si="13">B14</f>
        <v/>
      </c>
      <c r="AU14" s="125" t="str">
        <f t="shared" si="13"/>
        <v>Ampuero Cornejo Cesar Jeanpierre</v>
      </c>
      <c r="AV14" s="120">
        <f>LEN!CR14</f>
        <v>0</v>
      </c>
      <c r="AW14" s="120">
        <f>MATE!CR14</f>
        <v>0</v>
      </c>
      <c r="AX14" s="120">
        <f>INGLES!CR14</f>
        <v>0</v>
      </c>
      <c r="AY14" s="120">
        <f>QUIMI!CR14</f>
        <v>0</v>
      </c>
      <c r="AZ14" s="120">
        <f>FISICA!CQ14</f>
        <v>4.9</v>
      </c>
      <c r="BA14" s="120">
        <f>'ED. FISICA'!CR14</f>
        <v>0</v>
      </c>
      <c r="BB14" s="120">
        <f>'CONTABILIDAD GENERAL '!CR14</f>
        <v>0</v>
      </c>
      <c r="BC14" s="120">
        <f>BIO!CR14</f>
        <v>0</v>
      </c>
      <c r="BD14" s="120">
        <f>HIST!CR14</f>
        <v>0</v>
      </c>
      <c r="BE14" s="120">
        <f>'E. C. A '!CR14</f>
        <v>0</v>
      </c>
      <c r="BF14" s="120">
        <f>FILOSOFIA!CR14</f>
        <v>0</v>
      </c>
      <c r="BG14" s="120">
        <f>EMP!CR14</f>
        <v>0</v>
      </c>
      <c r="BH14" s="120">
        <f>'EDUCACION PARA LA CIUDADANIA '!CR14</f>
        <v>0</v>
      </c>
      <c r="BI14" s="120">
        <f>'PAQUETES CONTABLES '!CR14</f>
        <v>0</v>
      </c>
      <c r="BJ14" s="120">
        <f>'TRIBUTACION '!CR14</f>
        <v>0</v>
      </c>
      <c r="BK14" s="122">
        <f t="shared" si="11"/>
        <v>0.35</v>
      </c>
    </row>
    <row r="15" ht="15.0" customHeight="1">
      <c r="A15" s="56">
        <v>4.0</v>
      </c>
      <c r="B15" s="124" t="str">
        <f>LEN!B15</f>
        <v/>
      </c>
      <c r="C15" s="125" t="str">
        <f>LEN!C15</f>
        <v>Aylla Murillo Kerly Kristhel</v>
      </c>
      <c r="D15" s="120">
        <f>LEN!CP15</f>
        <v>7.4</v>
      </c>
      <c r="E15" s="120">
        <f>MATE!CP15</f>
        <v>6.1</v>
      </c>
      <c r="F15" s="120">
        <f>INGLES!CP15</f>
        <v>8.44</v>
      </c>
      <c r="G15" s="120">
        <f>QUIMI!CP15</f>
        <v>6.18</v>
      </c>
      <c r="H15" s="120">
        <f>FISICA!CO15</f>
        <v>7.17</v>
      </c>
      <c r="I15" s="120">
        <f>'ED. FISICA'!CP15</f>
        <v>8.57</v>
      </c>
      <c r="J15" s="120">
        <f>'CONTABILIDAD GENERAL '!CP15</f>
        <v>6.23</v>
      </c>
      <c r="K15" s="120">
        <f>BIO!CP15</f>
        <v>7</v>
      </c>
      <c r="L15" s="120">
        <f>HIST!CP15</f>
        <v>7.93</v>
      </c>
      <c r="M15" s="120">
        <f>'E. C. A '!CP15</f>
        <v>6.95</v>
      </c>
      <c r="N15" s="120">
        <f>FILOSOFIA!CP15</f>
        <v>7.6</v>
      </c>
      <c r="O15" s="120">
        <f>EMP!CP15</f>
        <v>6.4</v>
      </c>
      <c r="P15" s="120">
        <f>'EDUCACION PARA LA CIUDADANIA '!CP15</f>
        <v>7.25</v>
      </c>
      <c r="Q15" s="120">
        <f>'PAQUETES CONTABLES '!CP15</f>
        <v>7</v>
      </c>
      <c r="R15" s="120">
        <f>'TRIBUTACION '!CP15</f>
        <v>7.92</v>
      </c>
      <c r="S15" s="122">
        <f t="shared" si="6"/>
        <v>7.158571429</v>
      </c>
      <c r="T15" s="292"/>
      <c r="U15" s="2"/>
      <c r="W15" s="56">
        <v>4.0</v>
      </c>
      <c r="X15" s="124" t="str">
        <f t="shared" ref="X15:Y15" si="14">B15</f>
        <v/>
      </c>
      <c r="Y15" s="188" t="str">
        <f t="shared" si="14"/>
        <v>Aylla Murillo Kerly Kristhel</v>
      </c>
      <c r="Z15" s="120">
        <f>LEN!CQ15</f>
        <v>8.93</v>
      </c>
      <c r="AA15" s="120">
        <f>MATE!CQ15</f>
        <v>8.3</v>
      </c>
      <c r="AB15" s="120">
        <f>INGLES!CQ15</f>
        <v>7.91</v>
      </c>
      <c r="AC15" s="120">
        <f>QUIMI!CQ15</f>
        <v>7.8</v>
      </c>
      <c r="AD15" s="120">
        <f>FISICA!CP15</f>
        <v>8.26</v>
      </c>
      <c r="AE15" s="120">
        <f>'ED. FISICA'!CQ15</f>
        <v>9.5</v>
      </c>
      <c r="AF15" s="120">
        <f>'CONTABILIDAD GENERAL '!CQ15</f>
        <v>8.3</v>
      </c>
      <c r="AG15" s="120">
        <f>BIO!CQ15</f>
        <v>8.13</v>
      </c>
      <c r="AH15" s="120">
        <f>HIST!CQ15</f>
        <v>10</v>
      </c>
      <c r="AI15" s="120">
        <f>'E. C. A '!CQ15</f>
        <v>9.53</v>
      </c>
      <c r="AJ15" s="120">
        <f>FILOSOFIA!CQ15</f>
        <v>8.6</v>
      </c>
      <c r="AK15" s="120">
        <f>EMP!CQ15</f>
        <v>8.15</v>
      </c>
      <c r="AL15" s="120">
        <f>'EDUCACION PARA LA CIUDADANIA '!CQ15</f>
        <v>8.36</v>
      </c>
      <c r="AM15" s="120">
        <f>'PAQUETES CONTABLES '!CQ15</f>
        <v>8</v>
      </c>
      <c r="AN15" s="120">
        <f>'TRIBUTACION '!CQ15</f>
        <v>7.53</v>
      </c>
      <c r="AO15" s="122">
        <f t="shared" si="8"/>
        <v>8.555</v>
      </c>
      <c r="AQ15" s="2" t="str">
        <f t="shared" si="9"/>
        <v/>
      </c>
      <c r="AS15" s="56">
        <v>4.0</v>
      </c>
      <c r="AT15" s="124" t="str">
        <f t="shared" ref="AT15:AU15" si="15">B15</f>
        <v/>
      </c>
      <c r="AU15" s="125" t="str">
        <f t="shared" si="15"/>
        <v>Aylla Murillo Kerly Kristhel</v>
      </c>
      <c r="AV15" s="120">
        <f>LEN!CR15</f>
        <v>0</v>
      </c>
      <c r="AW15" s="120">
        <f>MATE!CR15</f>
        <v>0</v>
      </c>
      <c r="AX15" s="120">
        <f>INGLES!CR15</f>
        <v>0</v>
      </c>
      <c r="AY15" s="120">
        <f>QUIMI!CR15</f>
        <v>0</v>
      </c>
      <c r="AZ15" s="120">
        <f>FISICA!CQ15</f>
        <v>7</v>
      </c>
      <c r="BA15" s="120">
        <f>'ED. FISICA'!CR15</f>
        <v>0</v>
      </c>
      <c r="BB15" s="120">
        <f>'CONTABILIDAD GENERAL '!CR15</f>
        <v>0</v>
      </c>
      <c r="BC15" s="120">
        <f>BIO!CR15</f>
        <v>0</v>
      </c>
      <c r="BD15" s="120">
        <f>HIST!CR15</f>
        <v>0</v>
      </c>
      <c r="BE15" s="120">
        <f>'E. C. A '!CR15</f>
        <v>0</v>
      </c>
      <c r="BF15" s="120">
        <f>FILOSOFIA!CR15</f>
        <v>0</v>
      </c>
      <c r="BG15" s="120">
        <f>EMP!CR15</f>
        <v>0</v>
      </c>
      <c r="BH15" s="120">
        <f>'EDUCACION PARA LA CIUDADANIA '!CR15</f>
        <v>0</v>
      </c>
      <c r="BI15" s="120">
        <f>'PAQUETES CONTABLES '!CR15</f>
        <v>0</v>
      </c>
      <c r="BJ15" s="120">
        <f>'TRIBUTACION '!CR15</f>
        <v>0</v>
      </c>
      <c r="BK15" s="122">
        <f t="shared" si="11"/>
        <v>0.5</v>
      </c>
    </row>
    <row r="16" ht="15.0" customHeight="1">
      <c r="A16" s="56">
        <v>5.0</v>
      </c>
      <c r="B16" s="124" t="str">
        <f>LEN!B16</f>
        <v/>
      </c>
      <c r="C16" s="125" t="str">
        <f>LEN!C16</f>
        <v>Campuzano Meza Naydelyn Odeth</v>
      </c>
      <c r="D16" s="120">
        <f>LEN!CP16</f>
        <v>7.82</v>
      </c>
      <c r="E16" s="120">
        <f>MATE!CP16</f>
        <v>8</v>
      </c>
      <c r="F16" s="120">
        <f>INGLES!CP16</f>
        <v>6.98</v>
      </c>
      <c r="G16" s="120">
        <f>QUIMI!CP16</f>
        <v>8.93</v>
      </c>
      <c r="H16" s="120">
        <f>FISICA!CO16</f>
        <v>8</v>
      </c>
      <c r="I16" s="120">
        <f>'ED. FISICA'!CP16</f>
        <v>7.85</v>
      </c>
      <c r="J16" s="120">
        <f>'CONTABILIDAD GENERAL '!CP16</f>
        <v>9.05</v>
      </c>
      <c r="K16" s="120">
        <f>BIO!CP16</f>
        <v>5.72</v>
      </c>
      <c r="L16" s="120">
        <f>HIST!CP16</f>
        <v>1.8</v>
      </c>
      <c r="M16" s="120">
        <f>'E. C. A '!CP16</f>
        <v>7.7</v>
      </c>
      <c r="N16" s="120">
        <f>FILOSOFIA!CP16</f>
        <v>7.38</v>
      </c>
      <c r="O16" s="120">
        <f>EMP!CP16</f>
        <v>7.3</v>
      </c>
      <c r="P16" s="120">
        <f>'EDUCACION PARA LA CIUDADANIA '!CP16</f>
        <v>7.11</v>
      </c>
      <c r="Q16" s="120">
        <f>'PAQUETES CONTABLES '!CP16</f>
        <v>7.09</v>
      </c>
      <c r="R16" s="120">
        <f>'TRIBUTACION '!CP16</f>
        <v>7.68</v>
      </c>
      <c r="S16" s="122">
        <f t="shared" si="6"/>
        <v>7.195</v>
      </c>
      <c r="T16" s="292"/>
      <c r="U16" s="2"/>
      <c r="W16" s="56">
        <v>5.0</v>
      </c>
      <c r="X16" s="124" t="str">
        <f t="shared" ref="X16:Y16" si="16">B16</f>
        <v/>
      </c>
      <c r="Y16" s="188" t="str">
        <f t="shared" si="16"/>
        <v>Campuzano Meza Naydelyn Odeth</v>
      </c>
      <c r="Z16" s="120">
        <f>LEN!CQ16</f>
        <v>7</v>
      </c>
      <c r="AA16" s="120">
        <f>MATE!CQ16</f>
        <v>7.1</v>
      </c>
      <c r="AB16" s="120">
        <f>INGLES!CQ16</f>
        <v>6.86</v>
      </c>
      <c r="AC16" s="120">
        <f>QUIMI!CQ16</f>
        <v>6.25</v>
      </c>
      <c r="AD16" s="120">
        <f>FISICA!CP16</f>
        <v>7.06</v>
      </c>
      <c r="AE16" s="120">
        <f>'ED. FISICA'!CQ16</f>
        <v>7.6</v>
      </c>
      <c r="AF16" s="120">
        <f>'CONTABILIDAD GENERAL '!CQ16</f>
        <v>5.9</v>
      </c>
      <c r="AG16" s="120">
        <f>BIO!CQ16</f>
        <v>7</v>
      </c>
      <c r="AH16" s="120">
        <f>HIST!CQ16</f>
        <v>9.15</v>
      </c>
      <c r="AI16" s="120">
        <f>'E. C. A '!CQ16</f>
        <v>7.48</v>
      </c>
      <c r="AJ16" s="120">
        <f>FILOSOFIA!CQ16</f>
        <v>7.36</v>
      </c>
      <c r="AK16" s="120">
        <f>EMP!CQ16</f>
        <v>7.12</v>
      </c>
      <c r="AL16" s="120">
        <f>'EDUCACION PARA LA CIUDADANIA '!CQ16</f>
        <v>7.06</v>
      </c>
      <c r="AM16" s="120">
        <f>'PAQUETES CONTABLES '!CQ16</f>
        <v>7.32</v>
      </c>
      <c r="AN16" s="120">
        <f>'TRIBUTACION '!CQ16</f>
        <v>7.11</v>
      </c>
      <c r="AO16" s="122">
        <f t="shared" si="8"/>
        <v>7.161428571</v>
      </c>
      <c r="AQ16" s="2" t="str">
        <f t="shared" si="9"/>
        <v/>
      </c>
      <c r="AS16" s="56">
        <v>5.0</v>
      </c>
      <c r="AT16" s="124" t="str">
        <f t="shared" ref="AT16:AU16" si="17">B16</f>
        <v/>
      </c>
      <c r="AU16" s="125" t="str">
        <f t="shared" si="17"/>
        <v>Campuzano Meza Naydelyn Odeth</v>
      </c>
      <c r="AV16" s="120">
        <f>LEN!CR16</f>
        <v>0</v>
      </c>
      <c r="AW16" s="120">
        <f>MATE!CR16</f>
        <v>0</v>
      </c>
      <c r="AX16" s="120">
        <f>INGLES!CR16</f>
        <v>0</v>
      </c>
      <c r="AY16" s="120">
        <f>QUIMI!CR16</f>
        <v>0</v>
      </c>
      <c r="AZ16" s="120">
        <f>FISICA!CQ16</f>
        <v>0</v>
      </c>
      <c r="BA16" s="120">
        <f>'ED. FISICA'!CR16</f>
        <v>0</v>
      </c>
      <c r="BB16" s="120">
        <f>'CONTABILIDAD GENERAL '!CR16</f>
        <v>0</v>
      </c>
      <c r="BC16" s="120">
        <f>BIO!CR16</f>
        <v>0</v>
      </c>
      <c r="BD16" s="120">
        <f>HIST!CR16</f>
        <v>0</v>
      </c>
      <c r="BE16" s="120">
        <f>'E. C. A '!CR16</f>
        <v>0</v>
      </c>
      <c r="BF16" s="120">
        <f>FILOSOFIA!CR16</f>
        <v>0</v>
      </c>
      <c r="BG16" s="120">
        <f>EMP!CR16</f>
        <v>0</v>
      </c>
      <c r="BH16" s="120">
        <f>'EDUCACION PARA LA CIUDADANIA '!CR16</f>
        <v>0</v>
      </c>
      <c r="BI16" s="120">
        <f>'PAQUETES CONTABLES '!CR16</f>
        <v>0</v>
      </c>
      <c r="BJ16" s="120">
        <f>'TRIBUTACION '!CR16</f>
        <v>0</v>
      </c>
      <c r="BK16" s="122">
        <f t="shared" si="11"/>
        <v>0</v>
      </c>
    </row>
    <row r="17" ht="15.0" customHeight="1">
      <c r="A17" s="56">
        <v>6.0</v>
      </c>
      <c r="B17" s="124" t="str">
        <f>LEN!B17</f>
        <v/>
      </c>
      <c r="C17" s="125" t="str">
        <f>LEN!C17</f>
        <v>Cantos Zúñiga a Hernán Snayder</v>
      </c>
      <c r="D17" s="120">
        <f>LEN!CP17</f>
        <v>8.4</v>
      </c>
      <c r="E17" s="120">
        <f>MATE!CP17</f>
        <v>7.66</v>
      </c>
      <c r="F17" s="120">
        <f>INGLES!CP17</f>
        <v>9.03</v>
      </c>
      <c r="G17" s="120">
        <f>QUIMI!CP17</f>
        <v>9.53</v>
      </c>
      <c r="H17" s="120">
        <f>FISICA!CO17</f>
        <v>9.51</v>
      </c>
      <c r="I17" s="120">
        <f>'ED. FISICA'!CP17</f>
        <v>8.58</v>
      </c>
      <c r="J17" s="120">
        <f>'CONTABILIDAD GENERAL '!CP17</f>
        <v>9.53</v>
      </c>
      <c r="K17" s="120">
        <f>BIO!CP17</f>
        <v>7.6</v>
      </c>
      <c r="L17" s="120">
        <f>HIST!CP17</f>
        <v>9.98</v>
      </c>
      <c r="M17" s="120">
        <f>'E. C. A '!CP17</f>
        <v>9.5</v>
      </c>
      <c r="N17" s="120">
        <f>FILOSOFIA!CP17</f>
        <v>9.04</v>
      </c>
      <c r="O17" s="120">
        <f>EMP!CP17</f>
        <v>9.07</v>
      </c>
      <c r="P17" s="120">
        <f>'EDUCACION PARA LA CIUDADANIA '!CP17</f>
        <v>8.34</v>
      </c>
      <c r="Q17" s="120">
        <f>'PAQUETES CONTABLES '!CP17</f>
        <v>8.92</v>
      </c>
      <c r="R17" s="120">
        <f>'TRIBUTACION '!CP17</f>
        <v>8.11</v>
      </c>
      <c r="S17" s="122">
        <f t="shared" si="6"/>
        <v>8.906428571</v>
      </c>
      <c r="T17" s="292"/>
      <c r="U17" s="2"/>
      <c r="W17" s="56">
        <v>6.0</v>
      </c>
      <c r="X17" s="124" t="str">
        <f t="shared" ref="X17:Y17" si="18">B17</f>
        <v/>
      </c>
      <c r="Y17" s="188" t="str">
        <f t="shared" si="18"/>
        <v>Cantos Zúñiga a Hernán Snayder</v>
      </c>
      <c r="Z17" s="120">
        <f>LEN!CQ17</f>
        <v>8.62</v>
      </c>
      <c r="AA17" s="120">
        <f>MATE!CQ17</f>
        <v>8.06</v>
      </c>
      <c r="AB17" s="120">
        <f>INGLES!CQ17</f>
        <v>8.15</v>
      </c>
      <c r="AC17" s="120">
        <f>QUIMI!CQ17</f>
        <v>7.97</v>
      </c>
      <c r="AD17" s="120">
        <f>FISICA!CP17</f>
        <v>9.31</v>
      </c>
      <c r="AE17" s="120">
        <f>'ED. FISICA'!CQ17</f>
        <v>9.5</v>
      </c>
      <c r="AF17" s="120">
        <f>'CONTABILIDAD GENERAL '!CQ17</f>
        <v>8.85</v>
      </c>
      <c r="AG17" s="120">
        <f>BIO!CQ17</f>
        <v>8.5</v>
      </c>
      <c r="AH17" s="120">
        <f>HIST!CQ17</f>
        <v>9.15</v>
      </c>
      <c r="AI17" s="120">
        <f>'E. C. A '!CQ17</f>
        <v>9.3</v>
      </c>
      <c r="AJ17" s="120">
        <f>FILOSOFIA!CQ17</f>
        <v>8.95</v>
      </c>
      <c r="AK17" s="120">
        <f>EMP!CQ17</f>
        <v>9.35</v>
      </c>
      <c r="AL17" s="120">
        <f>'EDUCACION PARA LA CIUDADANIA '!CQ17</f>
        <v>8.76</v>
      </c>
      <c r="AM17" s="120">
        <f>'PAQUETES CONTABLES '!CQ17</f>
        <v>9.2</v>
      </c>
      <c r="AN17" s="120">
        <f>'TRIBUTACION '!CQ17</f>
        <v>8.61</v>
      </c>
      <c r="AO17" s="122">
        <f t="shared" si="8"/>
        <v>8.833571429</v>
      </c>
      <c r="AQ17" s="2" t="str">
        <f t="shared" si="9"/>
        <v/>
      </c>
      <c r="AS17" s="56">
        <v>6.0</v>
      </c>
      <c r="AT17" s="124" t="str">
        <f t="shared" ref="AT17:AU17" si="19">B17</f>
        <v/>
      </c>
      <c r="AU17" s="125" t="str">
        <f t="shared" si="19"/>
        <v>Cantos Zúñiga a Hernán Snayder</v>
      </c>
      <c r="AV17" s="120">
        <f>LEN!CR17</f>
        <v>0</v>
      </c>
      <c r="AW17" s="120">
        <f>MATE!CR17</f>
        <v>0</v>
      </c>
      <c r="AX17" s="120">
        <f>INGLES!CR17</f>
        <v>0</v>
      </c>
      <c r="AY17" s="120">
        <f>QUIMI!CR17</f>
        <v>0</v>
      </c>
      <c r="AZ17" s="120">
        <f>FISICA!CQ17</f>
        <v>7</v>
      </c>
      <c r="BA17" s="120">
        <f>'ED. FISICA'!CR17</f>
        <v>0</v>
      </c>
      <c r="BB17" s="120">
        <f>'CONTABILIDAD GENERAL '!CR17</f>
        <v>0</v>
      </c>
      <c r="BC17" s="120">
        <f>BIO!CR17</f>
        <v>0</v>
      </c>
      <c r="BD17" s="120">
        <f>HIST!CR17</f>
        <v>0</v>
      </c>
      <c r="BE17" s="120">
        <f>'E. C. A '!CR17</f>
        <v>0</v>
      </c>
      <c r="BF17" s="120">
        <f>FILOSOFIA!CR17</f>
        <v>0</v>
      </c>
      <c r="BG17" s="120">
        <f>EMP!CR17</f>
        <v>0</v>
      </c>
      <c r="BH17" s="120">
        <f>'EDUCACION PARA LA CIUDADANIA '!CR17</f>
        <v>0</v>
      </c>
      <c r="BI17" s="120">
        <f>'PAQUETES CONTABLES '!CR17</f>
        <v>0</v>
      </c>
      <c r="BJ17" s="120">
        <f>'TRIBUTACION '!CR17</f>
        <v>0</v>
      </c>
      <c r="BK17" s="122">
        <f t="shared" si="11"/>
        <v>0.5</v>
      </c>
    </row>
    <row r="18" ht="15.0" customHeight="1">
      <c r="A18" s="56">
        <v>7.0</v>
      </c>
      <c r="B18" s="124" t="str">
        <f>LEN!B18</f>
        <v/>
      </c>
      <c r="C18" s="125" t="str">
        <f>LEN!C18</f>
        <v>Carranza Dumes Genesis Daniela</v>
      </c>
      <c r="D18" s="120">
        <f>LEN!CP18</f>
        <v>9.15</v>
      </c>
      <c r="E18" s="120">
        <f>MATE!CP18</f>
        <v>9</v>
      </c>
      <c r="F18" s="120">
        <f>INGLES!CP18</f>
        <v>8.81</v>
      </c>
      <c r="G18" s="120">
        <f>QUIMI!CP18</f>
        <v>8.93</v>
      </c>
      <c r="H18" s="120">
        <f>FISICA!CO18</f>
        <v>8.91</v>
      </c>
      <c r="I18" s="120">
        <f>'ED. FISICA'!CP18</f>
        <v>9.38</v>
      </c>
      <c r="J18" s="120">
        <f>'CONTABILIDAD GENERAL '!CP18</f>
        <v>9.44</v>
      </c>
      <c r="K18" s="120">
        <f>BIO!CP18</f>
        <v>7.18</v>
      </c>
      <c r="L18" s="120">
        <f>HIST!CP18</f>
        <v>9.85</v>
      </c>
      <c r="M18" s="120">
        <f>'E. C. A '!CP18</f>
        <v>9.37</v>
      </c>
      <c r="N18" s="120">
        <f>FILOSOFIA!CP18</f>
        <v>9.73</v>
      </c>
      <c r="O18" s="120">
        <f>EMP!CP18</f>
        <v>7.84</v>
      </c>
      <c r="P18" s="120">
        <f>'EDUCACION PARA LA CIUDADANIA '!CP18</f>
        <v>8.91</v>
      </c>
      <c r="Q18" s="120">
        <f>'PAQUETES CONTABLES '!CP18</f>
        <v>8.59</v>
      </c>
      <c r="R18" s="120">
        <f>'TRIBUTACION '!CP18</f>
        <v>7.98</v>
      </c>
      <c r="S18" s="122">
        <f t="shared" si="6"/>
        <v>8.935</v>
      </c>
      <c r="T18" s="292"/>
      <c r="U18" s="2"/>
      <c r="W18" s="56">
        <v>7.0</v>
      </c>
      <c r="X18" s="124" t="str">
        <f t="shared" ref="X18:Y18" si="20">B18</f>
        <v/>
      </c>
      <c r="Y18" s="188" t="str">
        <f t="shared" si="20"/>
        <v>Carranza Dumes Genesis Daniela</v>
      </c>
      <c r="Z18" s="120">
        <f>LEN!CQ18</f>
        <v>7.27</v>
      </c>
      <c r="AA18" s="120">
        <f>MATE!CQ18</f>
        <v>7.1</v>
      </c>
      <c r="AB18" s="120">
        <f>INGLES!CQ18</f>
        <v>7.1</v>
      </c>
      <c r="AC18" s="120">
        <f>QUIMI!CQ18</f>
        <v>6.75</v>
      </c>
      <c r="AD18" s="120">
        <f>FISICA!CP18</f>
        <v>7.41</v>
      </c>
      <c r="AE18" s="120">
        <f>'ED. FISICA'!CQ18</f>
        <v>8.3</v>
      </c>
      <c r="AF18" s="120">
        <f>'CONTABILIDAD GENERAL '!CQ18</f>
        <v>7.45</v>
      </c>
      <c r="AG18" s="120">
        <f>BIO!CQ18</f>
        <v>7.22</v>
      </c>
      <c r="AH18" s="120">
        <f>HIST!CQ18</f>
        <v>7</v>
      </c>
      <c r="AI18" s="120">
        <f>'E. C. A '!CQ18</f>
        <v>8.33</v>
      </c>
      <c r="AJ18" s="120">
        <f>FILOSOFIA!CQ18</f>
        <v>7.4</v>
      </c>
      <c r="AK18" s="120">
        <f>EMP!CQ18</f>
        <v>7.62</v>
      </c>
      <c r="AL18" s="120">
        <f>'EDUCACION PARA LA CIUDADANIA '!CQ18</f>
        <v>7.86</v>
      </c>
      <c r="AM18" s="120">
        <f>'PAQUETES CONTABLES '!CQ18</f>
        <v>7.3</v>
      </c>
      <c r="AN18" s="120">
        <f>'TRIBUTACION '!CQ18</f>
        <v>7.1</v>
      </c>
      <c r="AO18" s="122">
        <f t="shared" si="8"/>
        <v>7.436428571</v>
      </c>
      <c r="AQ18" s="2" t="str">
        <f t="shared" si="9"/>
        <v/>
      </c>
      <c r="AS18" s="56">
        <v>7.0</v>
      </c>
      <c r="AT18" s="124" t="str">
        <f t="shared" ref="AT18:AU18" si="21">B18</f>
        <v/>
      </c>
      <c r="AU18" s="125" t="str">
        <f t="shared" si="21"/>
        <v>Carranza Dumes Genesis Daniela</v>
      </c>
      <c r="AV18" s="120">
        <f>LEN!CR18</f>
        <v>0</v>
      </c>
      <c r="AW18" s="120">
        <f>MATE!CR18</f>
        <v>0</v>
      </c>
      <c r="AX18" s="120">
        <f>INGLES!CR18</f>
        <v>0</v>
      </c>
      <c r="AY18" s="120">
        <f>QUIMI!CR18</f>
        <v>0</v>
      </c>
      <c r="AZ18" s="120">
        <f>FISICA!CQ18</f>
        <v>4.9</v>
      </c>
      <c r="BA18" s="120">
        <f>'ED. FISICA'!CR18</f>
        <v>0</v>
      </c>
      <c r="BB18" s="120">
        <f>'CONTABILIDAD GENERAL '!CR18</f>
        <v>0</v>
      </c>
      <c r="BC18" s="120">
        <f>BIO!CR18</f>
        <v>0</v>
      </c>
      <c r="BD18" s="120">
        <f>HIST!CR18</f>
        <v>0</v>
      </c>
      <c r="BE18" s="120">
        <f>'E. C. A '!CR18</f>
        <v>0</v>
      </c>
      <c r="BF18" s="120">
        <f>FILOSOFIA!CR18</f>
        <v>0</v>
      </c>
      <c r="BG18" s="120">
        <f>EMP!CR18</f>
        <v>0</v>
      </c>
      <c r="BH18" s="120">
        <f>'EDUCACION PARA LA CIUDADANIA '!CR18</f>
        <v>0</v>
      </c>
      <c r="BI18" s="120">
        <f>'PAQUETES CONTABLES '!CR18</f>
        <v>0</v>
      </c>
      <c r="BJ18" s="120">
        <f>'TRIBUTACION '!CR18</f>
        <v>0</v>
      </c>
      <c r="BK18" s="122">
        <f t="shared" si="11"/>
        <v>0.35</v>
      </c>
    </row>
    <row r="19" ht="15.0" customHeight="1">
      <c r="A19" s="56">
        <v>8.0</v>
      </c>
      <c r="B19" s="124" t="str">
        <f>LEN!B19</f>
        <v/>
      </c>
      <c r="C19" s="125" t="str">
        <f>LEN!C19</f>
        <v>Castro De La Rosa Cristopher Ruben</v>
      </c>
      <c r="D19" s="120">
        <f>LEN!CP19</f>
        <v>7</v>
      </c>
      <c r="E19" s="120">
        <f>MATE!CP19</f>
        <v>8</v>
      </c>
      <c r="F19" s="120">
        <f>INGLES!CP19</f>
        <v>7.2</v>
      </c>
      <c r="G19" s="120">
        <f>QUIMI!CP19</f>
        <v>4.96</v>
      </c>
      <c r="H19" s="120">
        <f>FISICA!CO19</f>
        <v>6.83</v>
      </c>
      <c r="I19" s="120">
        <f>'ED. FISICA'!CP19</f>
        <v>8.31</v>
      </c>
      <c r="J19" s="120">
        <f>'CONTABILIDAD GENERAL '!CP19</f>
        <v>5.2</v>
      </c>
      <c r="K19" s="120">
        <f>BIO!CP19</f>
        <v>6.77</v>
      </c>
      <c r="L19" s="120">
        <f>HIST!CP19</f>
        <v>7.17</v>
      </c>
      <c r="M19" s="120">
        <f>'E. C. A '!CP19</f>
        <v>7</v>
      </c>
      <c r="N19" s="120">
        <f>FILOSOFIA!CP19</f>
        <v>8.05</v>
      </c>
      <c r="O19" s="120">
        <f>EMP!CP19</f>
        <v>7.3</v>
      </c>
      <c r="P19" s="120">
        <f>'EDUCACION PARA LA CIUDADANIA '!CP19</f>
        <v>8.05</v>
      </c>
      <c r="Q19" s="120">
        <f>'PAQUETES CONTABLES '!CP19</f>
        <v>6.14</v>
      </c>
      <c r="R19" s="120">
        <f>'TRIBUTACION '!CP19</f>
        <v>4.14</v>
      </c>
      <c r="S19" s="122">
        <f t="shared" si="6"/>
        <v>6.998571429</v>
      </c>
      <c r="T19" s="292"/>
      <c r="U19" s="2"/>
      <c r="W19" s="56">
        <v>8.0</v>
      </c>
      <c r="X19" s="124" t="str">
        <f t="shared" ref="X19:Y19" si="22">B19</f>
        <v/>
      </c>
      <c r="Y19" s="188" t="str">
        <f t="shared" si="22"/>
        <v>Castro De La Rosa Cristopher Ruben</v>
      </c>
      <c r="Z19" s="120">
        <f>LEN!CQ19</f>
        <v>7</v>
      </c>
      <c r="AA19" s="120">
        <f>MATE!CQ19</f>
        <v>7.1</v>
      </c>
      <c r="AB19" s="120">
        <f>INGLES!CQ19</f>
        <v>5.63</v>
      </c>
      <c r="AC19" s="120">
        <f>QUIMI!CQ19</f>
        <v>4.55</v>
      </c>
      <c r="AD19" s="120">
        <f>FISICA!CP19</f>
        <v>6.25</v>
      </c>
      <c r="AE19" s="120">
        <f>'ED. FISICA'!CQ19</f>
        <v>8.3</v>
      </c>
      <c r="AF19" s="120">
        <f>'CONTABILIDAD GENERAL '!CQ19</f>
        <v>7.1</v>
      </c>
      <c r="AG19" s="120">
        <f>BIO!CQ19</f>
        <v>4.85</v>
      </c>
      <c r="AH19" s="120">
        <f>HIST!CQ19</f>
        <v>7</v>
      </c>
      <c r="AI19" s="120">
        <f>'E. C. A '!CQ19</f>
        <v>7.63</v>
      </c>
      <c r="AJ19" s="120">
        <f>FILOSOFIA!CQ19</f>
        <v>7.36</v>
      </c>
      <c r="AK19" s="120">
        <f>EMP!CQ19</f>
        <v>7.3</v>
      </c>
      <c r="AL19" s="120">
        <f>'EDUCACION PARA LA CIUDADANIA '!CQ19</f>
        <v>7.05</v>
      </c>
      <c r="AM19" s="120">
        <f>'PAQUETES CONTABLES '!CQ19</f>
        <v>7.3</v>
      </c>
      <c r="AN19" s="120">
        <f>'TRIBUTACION '!CQ19</f>
        <v>6.63</v>
      </c>
      <c r="AO19" s="122">
        <f t="shared" si="8"/>
        <v>6.744285714</v>
      </c>
      <c r="AQ19" s="2" t="str">
        <f t="shared" si="9"/>
        <v/>
      </c>
      <c r="AS19" s="56">
        <v>8.0</v>
      </c>
      <c r="AT19" s="124" t="str">
        <f t="shared" ref="AT19:AU19" si="23">B19</f>
        <v/>
      </c>
      <c r="AU19" s="125" t="str">
        <f t="shared" si="23"/>
        <v>Castro De La Rosa Cristopher Ruben</v>
      </c>
      <c r="AV19" s="120">
        <f>LEN!CR19</f>
        <v>0</v>
      </c>
      <c r="AW19" s="120">
        <f>MATE!CR19</f>
        <v>0</v>
      </c>
      <c r="AX19" s="120">
        <f>INGLES!CR19</f>
        <v>0</v>
      </c>
      <c r="AY19" s="120">
        <f>QUIMI!CR19</f>
        <v>0</v>
      </c>
      <c r="AZ19" s="120">
        <f>FISICA!CQ19</f>
        <v>4.9</v>
      </c>
      <c r="BA19" s="120">
        <f>'ED. FISICA'!CR19</f>
        <v>0</v>
      </c>
      <c r="BB19" s="120">
        <f>'CONTABILIDAD GENERAL '!CR19</f>
        <v>0</v>
      </c>
      <c r="BC19" s="120">
        <f>BIO!CR19</f>
        <v>0</v>
      </c>
      <c r="BD19" s="120">
        <f>HIST!CR19</f>
        <v>0</v>
      </c>
      <c r="BE19" s="120">
        <f>'E. C. A '!CR19</f>
        <v>0</v>
      </c>
      <c r="BF19" s="120">
        <f>FILOSOFIA!CR19</f>
        <v>0</v>
      </c>
      <c r="BG19" s="120">
        <f>EMP!CR19</f>
        <v>0</v>
      </c>
      <c r="BH19" s="120">
        <f>'EDUCACION PARA LA CIUDADANIA '!CR19</f>
        <v>0</v>
      </c>
      <c r="BI19" s="120">
        <f>'PAQUETES CONTABLES '!CR19</f>
        <v>0</v>
      </c>
      <c r="BJ19" s="120">
        <f>'TRIBUTACION '!CR19</f>
        <v>0</v>
      </c>
      <c r="BK19" s="122">
        <f t="shared" si="11"/>
        <v>0.35</v>
      </c>
    </row>
    <row r="20" ht="15.0" customHeight="1">
      <c r="A20" s="56">
        <v>9.0</v>
      </c>
      <c r="B20" s="124" t="str">
        <f>LEN!B20</f>
        <v/>
      </c>
      <c r="C20" s="125" t="str">
        <f>LEN!C20</f>
        <v>Chamba Maurad Joshelyn Juleixi</v>
      </c>
      <c r="D20" s="120">
        <f>LEN!CP20</f>
        <v>7.02</v>
      </c>
      <c r="E20" s="120">
        <f>MATE!CP20</f>
        <v>6.61</v>
      </c>
      <c r="F20" s="120">
        <f>INGLES!CP20</f>
        <v>7.31</v>
      </c>
      <c r="G20" s="120">
        <f>QUIMI!CP20</f>
        <v>4.06</v>
      </c>
      <c r="H20" s="120">
        <f>FISICA!CO20</f>
        <v>6.83</v>
      </c>
      <c r="I20" s="120">
        <f>'ED. FISICA'!CP20</f>
        <v>8.31</v>
      </c>
      <c r="J20" s="120">
        <f>'CONTABILIDAD GENERAL '!CP20</f>
        <v>6</v>
      </c>
      <c r="K20" s="120">
        <f>BIO!CP20</f>
        <v>6.1</v>
      </c>
      <c r="L20" s="120">
        <f>HIST!CP20</f>
        <v>1.8</v>
      </c>
      <c r="M20" s="120">
        <f>'E. C. A '!CP20</f>
        <v>7</v>
      </c>
      <c r="N20" s="120">
        <f>FILOSOFIA!CP20</f>
        <v>6.88</v>
      </c>
      <c r="O20" s="120">
        <f>EMP!CP20</f>
        <v>6.57</v>
      </c>
      <c r="P20" s="120">
        <f>'EDUCACION PARA LA CIUDADANIA '!CP20</f>
        <v>7.2</v>
      </c>
      <c r="Q20" s="120">
        <f>'PAQUETES CONTABLES '!CP20</f>
        <v>5.64</v>
      </c>
      <c r="R20" s="120">
        <f>'TRIBUTACION '!CP20</f>
        <v>6.98</v>
      </c>
      <c r="S20" s="122">
        <f t="shared" si="6"/>
        <v>6.237857143</v>
      </c>
      <c r="T20" s="292"/>
      <c r="U20" s="2"/>
      <c r="W20" s="56">
        <v>9.0</v>
      </c>
      <c r="X20" s="124" t="str">
        <f t="shared" ref="X20:Y20" si="24">B20</f>
        <v/>
      </c>
      <c r="Y20" s="188" t="str">
        <f t="shared" si="24"/>
        <v>Chamba Maurad Joshelyn Juleixi</v>
      </c>
      <c r="Z20" s="120">
        <f>LEN!CQ20</f>
        <v>7.45</v>
      </c>
      <c r="AA20" s="120">
        <f>MATE!CQ20</f>
        <v>7.83</v>
      </c>
      <c r="AB20" s="120">
        <f>INGLES!CQ20</f>
        <v>7.45</v>
      </c>
      <c r="AC20" s="120">
        <f>QUIMI!CQ20</f>
        <v>7.45</v>
      </c>
      <c r="AD20" s="120">
        <f>FISICA!CP20</f>
        <v>7.45</v>
      </c>
      <c r="AE20" s="120">
        <f>'ED. FISICA'!CQ20</f>
        <v>9.5</v>
      </c>
      <c r="AF20" s="120">
        <f>'CONTABILIDAD GENERAL '!CQ20</f>
        <v>8.61</v>
      </c>
      <c r="AG20" s="120">
        <f>BIO!CQ20</f>
        <v>7.45</v>
      </c>
      <c r="AH20" s="120">
        <f>HIST!CQ20</f>
        <v>7</v>
      </c>
      <c r="AI20" s="120">
        <f>'E. C. A '!CQ20</f>
        <v>8.53</v>
      </c>
      <c r="AJ20" s="120">
        <f>FILOSOFIA!CQ20</f>
        <v>8.68</v>
      </c>
      <c r="AK20" s="120">
        <f>EMP!CQ20</f>
        <v>7.97</v>
      </c>
      <c r="AL20" s="120">
        <f>'EDUCACION PARA LA CIUDADANIA '!CQ20</f>
        <v>7.68</v>
      </c>
      <c r="AM20" s="120">
        <f>'PAQUETES CONTABLES '!CQ20</f>
        <v>8</v>
      </c>
      <c r="AN20" s="120">
        <f>'TRIBUTACION '!CQ20</f>
        <v>7.23</v>
      </c>
      <c r="AO20" s="122">
        <f t="shared" si="8"/>
        <v>7.932142857</v>
      </c>
      <c r="AQ20" s="2" t="str">
        <f t="shared" si="9"/>
        <v/>
      </c>
      <c r="AS20" s="56">
        <v>9.0</v>
      </c>
      <c r="AT20" s="124" t="str">
        <f t="shared" ref="AT20:AU20" si="25">B20</f>
        <v/>
      </c>
      <c r="AU20" s="125" t="str">
        <f t="shared" si="25"/>
        <v>Chamba Maurad Joshelyn Juleixi</v>
      </c>
      <c r="AV20" s="120">
        <f>LEN!CR20</f>
        <v>0</v>
      </c>
      <c r="AW20" s="120">
        <f>MATE!CR20</f>
        <v>0</v>
      </c>
      <c r="AX20" s="120">
        <f>INGLES!CR20</f>
        <v>0</v>
      </c>
      <c r="AY20" s="120">
        <f>QUIMI!CR20</f>
        <v>0</v>
      </c>
      <c r="AZ20" s="120">
        <f>FISICA!CQ20</f>
        <v>4.9</v>
      </c>
      <c r="BA20" s="120">
        <f>'ED. FISICA'!CR20</f>
        <v>0</v>
      </c>
      <c r="BB20" s="120">
        <f>'CONTABILIDAD GENERAL '!CR20</f>
        <v>0</v>
      </c>
      <c r="BC20" s="120">
        <f>BIO!CR20</f>
        <v>0</v>
      </c>
      <c r="BD20" s="120">
        <f>HIST!CR20</f>
        <v>0</v>
      </c>
      <c r="BE20" s="120">
        <f>'E. C. A '!CR20</f>
        <v>0</v>
      </c>
      <c r="BF20" s="120">
        <f>FILOSOFIA!CR20</f>
        <v>0</v>
      </c>
      <c r="BG20" s="120">
        <f>EMP!CR20</f>
        <v>0</v>
      </c>
      <c r="BH20" s="120">
        <f>'EDUCACION PARA LA CIUDADANIA '!CR20</f>
        <v>0</v>
      </c>
      <c r="BI20" s="120">
        <f>'PAQUETES CONTABLES '!CR20</f>
        <v>0</v>
      </c>
      <c r="BJ20" s="120">
        <f>'TRIBUTACION '!CR20</f>
        <v>0</v>
      </c>
      <c r="BK20" s="122">
        <f t="shared" si="11"/>
        <v>0.35</v>
      </c>
    </row>
    <row r="21" ht="15.0" customHeight="1">
      <c r="A21" s="56">
        <v>10.0</v>
      </c>
      <c r="B21" s="124" t="str">
        <f>LEN!B21</f>
        <v/>
      </c>
      <c r="C21" s="125" t="str">
        <f>LEN!C21</f>
        <v>Cedeño Sanchez Josué</v>
      </c>
      <c r="D21" s="120">
        <f>LEN!CP21</f>
        <v>7.02</v>
      </c>
      <c r="E21" s="120">
        <f>MATE!CP21</f>
        <v>6</v>
      </c>
      <c r="F21" s="120">
        <f>INGLES!CP21</f>
        <v>6.95</v>
      </c>
      <c r="G21" s="120">
        <f>QUIMI!CP21</f>
        <v>4.03</v>
      </c>
      <c r="H21" s="120">
        <f>FISICA!CO21</f>
        <v>5.9</v>
      </c>
      <c r="I21" s="120">
        <f>'ED. FISICA'!CP21</f>
        <v>8.46</v>
      </c>
      <c r="J21" s="120">
        <f>'CONTABILIDAD GENERAL '!CP21</f>
        <v>5.13</v>
      </c>
      <c r="K21" s="120">
        <f>BIO!CP21</f>
        <v>6.29</v>
      </c>
      <c r="L21" s="120">
        <f>HIST!CP21</f>
        <v>7.17</v>
      </c>
      <c r="M21" s="120">
        <f>'E. C. A '!CP21</f>
        <v>7</v>
      </c>
      <c r="N21" s="120">
        <f>FILOSOFIA!CP21</f>
        <v>6.88</v>
      </c>
      <c r="O21" s="120">
        <f>EMP!CP21</f>
        <v>6.44</v>
      </c>
      <c r="P21" s="120">
        <f>'EDUCACION PARA LA CIUDADANIA '!CP21</f>
        <v>7</v>
      </c>
      <c r="Q21" s="120">
        <f>'PAQUETES CONTABLES '!CP21</f>
        <v>6.09</v>
      </c>
      <c r="R21" s="120">
        <f>'TRIBUTACION '!CP21</f>
        <v>6</v>
      </c>
      <c r="S21" s="122">
        <f t="shared" si="6"/>
        <v>6.454285714</v>
      </c>
      <c r="T21" s="292"/>
      <c r="U21" s="2"/>
      <c r="W21" s="56">
        <v>10.0</v>
      </c>
      <c r="X21" s="124" t="str">
        <f t="shared" ref="X21:Y21" si="26">B21</f>
        <v/>
      </c>
      <c r="Y21" s="188" t="str">
        <f t="shared" si="26"/>
        <v>Cedeño Sanchez Josué</v>
      </c>
      <c r="Z21" s="120">
        <f>LEN!CQ21</f>
        <v>7</v>
      </c>
      <c r="AA21" s="120">
        <f>MATE!CQ21</f>
        <v>7.1</v>
      </c>
      <c r="AB21" s="120">
        <f>INGLES!CQ21</f>
        <v>5.86</v>
      </c>
      <c r="AC21" s="120">
        <f>QUIMI!CQ21</f>
        <v>4.55</v>
      </c>
      <c r="AD21" s="120">
        <f>FISICA!CP21</f>
        <v>6.25</v>
      </c>
      <c r="AE21" s="120">
        <f>'ED. FISICA'!CQ21</f>
        <v>8.3</v>
      </c>
      <c r="AF21" s="120">
        <f>'CONTABILIDAD GENERAL '!CQ21</f>
        <v>4.1</v>
      </c>
      <c r="AG21" s="120">
        <f>BIO!CQ21</f>
        <v>4.55</v>
      </c>
      <c r="AH21" s="120">
        <f>HIST!CQ21</f>
        <v>7.85</v>
      </c>
      <c r="AI21" s="120">
        <f>'E. C. A '!CQ21</f>
        <v>7.4</v>
      </c>
      <c r="AJ21" s="120">
        <f>FILOSOFIA!CQ21</f>
        <v>0.6</v>
      </c>
      <c r="AK21" s="120">
        <f>EMP!CQ21</f>
        <v>7.47</v>
      </c>
      <c r="AL21" s="120">
        <f>'EDUCACION PARA LA CIUDADANIA '!CQ21</f>
        <v>0.6</v>
      </c>
      <c r="AM21" s="120">
        <f>'PAQUETES CONTABLES '!CQ21</f>
        <v>7.17</v>
      </c>
      <c r="AN21" s="120">
        <f>'TRIBUTACION '!CQ21</f>
        <v>6.48</v>
      </c>
      <c r="AO21" s="122">
        <f t="shared" si="8"/>
        <v>5.628571429</v>
      </c>
      <c r="AQ21" s="2" t="str">
        <f t="shared" si="9"/>
        <v/>
      </c>
      <c r="AS21" s="56">
        <v>10.0</v>
      </c>
      <c r="AT21" s="124" t="str">
        <f t="shared" ref="AT21:AU21" si="27">B21</f>
        <v/>
      </c>
      <c r="AU21" s="125" t="str">
        <f t="shared" si="27"/>
        <v>Cedeño Sanchez Josué</v>
      </c>
      <c r="AV21" s="120">
        <f>LEN!CR21</f>
        <v>0</v>
      </c>
      <c r="AW21" s="120">
        <f>MATE!CR21</f>
        <v>0</v>
      </c>
      <c r="AX21" s="120">
        <f>INGLES!CR21</f>
        <v>0</v>
      </c>
      <c r="AY21" s="120">
        <f>QUIMI!CR21</f>
        <v>0</v>
      </c>
      <c r="AZ21" s="120">
        <f>FISICA!CQ21</f>
        <v>4.9</v>
      </c>
      <c r="BA21" s="120">
        <f>'ED. FISICA'!CR21</f>
        <v>0</v>
      </c>
      <c r="BB21" s="120">
        <f>'CONTABILIDAD GENERAL '!CR21</f>
        <v>0</v>
      </c>
      <c r="BC21" s="120">
        <f>BIO!CR21</f>
        <v>0</v>
      </c>
      <c r="BD21" s="120">
        <f>HIST!CR21</f>
        <v>0</v>
      </c>
      <c r="BE21" s="120">
        <f>'E. C. A '!CR21</f>
        <v>0</v>
      </c>
      <c r="BF21" s="120">
        <f>FILOSOFIA!CR21</f>
        <v>0</v>
      </c>
      <c r="BG21" s="120">
        <f>EMP!CR21</f>
        <v>0</v>
      </c>
      <c r="BH21" s="120">
        <f>'EDUCACION PARA LA CIUDADANIA '!CR21</f>
        <v>0</v>
      </c>
      <c r="BI21" s="120">
        <f>'PAQUETES CONTABLES '!CR21</f>
        <v>0</v>
      </c>
      <c r="BJ21" s="120">
        <f>'TRIBUTACION '!CR21</f>
        <v>0</v>
      </c>
      <c r="BK21" s="122">
        <f t="shared" si="11"/>
        <v>0.35</v>
      </c>
    </row>
    <row r="22" ht="15.0" customHeight="1">
      <c r="A22" s="56">
        <v>11.0</v>
      </c>
      <c r="B22" s="124" t="str">
        <f>LEN!B22</f>
        <v/>
      </c>
      <c r="C22" s="125" t="str">
        <f>LEN!C22</f>
        <v>Espinoza Martinez Stefano Juliano</v>
      </c>
      <c r="D22" s="120">
        <f>LEN!CP22</f>
        <v>10</v>
      </c>
      <c r="E22" s="120">
        <f>MATE!CP22</f>
        <v>9.15</v>
      </c>
      <c r="F22" s="120">
        <f>INGLES!CP22</f>
        <v>9.55</v>
      </c>
      <c r="G22" s="120">
        <f>QUIMI!CP22</f>
        <v>9.46</v>
      </c>
      <c r="H22" s="120">
        <f>FISICA!CO22</f>
        <v>10</v>
      </c>
      <c r="I22" s="120">
        <f>'ED. FISICA'!CP22</f>
        <v>9.53</v>
      </c>
      <c r="J22" s="120">
        <f>'CONTABILIDAD GENERAL '!CP22</f>
        <v>9.7</v>
      </c>
      <c r="K22" s="120">
        <f>BIO!CP22</f>
        <v>8.97</v>
      </c>
      <c r="L22" s="120">
        <f>HIST!CP22</f>
        <v>7.95</v>
      </c>
      <c r="M22" s="120">
        <f>'E. C. A '!CP22</f>
        <v>9.52</v>
      </c>
      <c r="N22" s="120">
        <f>FILOSOFIA!CP22</f>
        <v>10</v>
      </c>
      <c r="O22" s="120">
        <f>EMP!CP22</f>
        <v>9.89</v>
      </c>
      <c r="P22" s="120">
        <f>'EDUCACION PARA LA CIUDADANIA '!CP22</f>
        <v>10</v>
      </c>
      <c r="Q22" s="120">
        <f>'PAQUETES CONTABLES '!CP22</f>
        <v>9.54</v>
      </c>
      <c r="R22" s="120">
        <f>'TRIBUTACION '!CP22</f>
        <v>9.72</v>
      </c>
      <c r="S22" s="122">
        <f t="shared" si="6"/>
        <v>9.518571429</v>
      </c>
      <c r="T22" s="292"/>
      <c r="U22" s="2"/>
      <c r="W22" s="56">
        <v>11.0</v>
      </c>
      <c r="X22" s="124" t="str">
        <f t="shared" ref="X22:Y22" si="28">B22</f>
        <v/>
      </c>
      <c r="Y22" s="188" t="str">
        <f t="shared" si="28"/>
        <v>Espinoza Martinez Stefano Juliano</v>
      </c>
      <c r="Z22" s="120">
        <f>LEN!CQ22</f>
        <v>10</v>
      </c>
      <c r="AA22" s="120">
        <f>MATE!CQ22</f>
        <v>9.76</v>
      </c>
      <c r="AB22" s="120">
        <f>INGLES!CQ22</f>
        <v>8.91</v>
      </c>
      <c r="AC22" s="120">
        <f>QUIMI!CQ22</f>
        <v>9.55</v>
      </c>
      <c r="AD22" s="120">
        <f>FISICA!CP22</f>
        <v>9.31</v>
      </c>
      <c r="AE22" s="120">
        <f>'ED. FISICA'!CQ22</f>
        <v>9.5</v>
      </c>
      <c r="AF22" s="120">
        <f>'CONTABILIDAD GENERAL '!CQ22</f>
        <v>10</v>
      </c>
      <c r="AG22" s="120">
        <f>BIO!CQ22</f>
        <v>9.15</v>
      </c>
      <c r="AH22" s="120">
        <f>HIST!CQ22</f>
        <v>10</v>
      </c>
      <c r="AI22" s="120">
        <f>'E. C. A '!CQ22</f>
        <v>9.76</v>
      </c>
      <c r="AJ22" s="120">
        <f>FILOSOFIA!CQ22</f>
        <v>10</v>
      </c>
      <c r="AK22" s="120">
        <f>EMP!CQ22</f>
        <v>10</v>
      </c>
      <c r="AL22" s="120">
        <f>'EDUCACION PARA LA CIUDADANIA '!CQ22</f>
        <v>10</v>
      </c>
      <c r="AM22" s="120">
        <f>'PAQUETES CONTABLES '!CQ22</f>
        <v>10</v>
      </c>
      <c r="AN22" s="120">
        <f>'TRIBUTACION '!CQ22</f>
        <v>9.85</v>
      </c>
      <c r="AO22" s="122">
        <f t="shared" si="8"/>
        <v>9.71</v>
      </c>
      <c r="AQ22" s="2" t="str">
        <f t="shared" si="9"/>
        <v/>
      </c>
      <c r="AS22" s="56">
        <v>11.0</v>
      </c>
      <c r="AT22" s="124" t="str">
        <f t="shared" ref="AT22:AU22" si="29">B22</f>
        <v/>
      </c>
      <c r="AU22" s="125" t="str">
        <f t="shared" si="29"/>
        <v>Espinoza Martinez Stefano Juliano</v>
      </c>
      <c r="AV22" s="120">
        <f>LEN!CR22</f>
        <v>0</v>
      </c>
      <c r="AW22" s="120">
        <f>MATE!CR22</f>
        <v>0</v>
      </c>
      <c r="AX22" s="120">
        <f>INGLES!CR22</f>
        <v>0</v>
      </c>
      <c r="AY22" s="120">
        <f>QUIMI!CR22</f>
        <v>0</v>
      </c>
      <c r="AZ22" s="120">
        <f>FISICA!CQ22</f>
        <v>7</v>
      </c>
      <c r="BA22" s="120">
        <f>'ED. FISICA'!CR22</f>
        <v>0</v>
      </c>
      <c r="BB22" s="120">
        <f>'CONTABILIDAD GENERAL '!CR22</f>
        <v>0</v>
      </c>
      <c r="BC22" s="120">
        <f>BIO!CR22</f>
        <v>0</v>
      </c>
      <c r="BD22" s="120">
        <f>HIST!CR22</f>
        <v>0</v>
      </c>
      <c r="BE22" s="120">
        <f>'E. C. A '!CR22</f>
        <v>0</v>
      </c>
      <c r="BF22" s="120">
        <f>FILOSOFIA!CR22</f>
        <v>0</v>
      </c>
      <c r="BG22" s="120">
        <f>EMP!CR22</f>
        <v>0</v>
      </c>
      <c r="BH22" s="120">
        <f>'EDUCACION PARA LA CIUDADANIA '!CR22</f>
        <v>0</v>
      </c>
      <c r="BI22" s="120">
        <f>'PAQUETES CONTABLES '!CR22</f>
        <v>0</v>
      </c>
      <c r="BJ22" s="120">
        <f>'TRIBUTACION '!CR22</f>
        <v>0</v>
      </c>
      <c r="BK22" s="122">
        <f t="shared" si="11"/>
        <v>0.5</v>
      </c>
    </row>
    <row r="23" ht="15.0" customHeight="1">
      <c r="A23" s="56">
        <v>12.0</v>
      </c>
      <c r="B23" s="124" t="str">
        <f>LEN!B23</f>
        <v/>
      </c>
      <c r="C23" s="125" t="str">
        <f>LEN!C23</f>
        <v>Espinoza Morante Melany Ginger</v>
      </c>
      <c r="D23" s="120">
        <f>LEN!CP23</f>
        <v>9.23</v>
      </c>
      <c r="E23" s="120">
        <f>MATE!CP23</f>
        <v>8.26</v>
      </c>
      <c r="F23" s="120">
        <f>INGLES!CP23</f>
        <v>8.78</v>
      </c>
      <c r="G23" s="120">
        <f>QUIMI!CP23</f>
        <v>9.34</v>
      </c>
      <c r="H23" s="120">
        <f>FISICA!CO23</f>
        <v>8.88</v>
      </c>
      <c r="I23" s="120">
        <f>'ED. FISICA'!CP23</f>
        <v>9.11</v>
      </c>
      <c r="J23" s="120">
        <f>'CONTABILIDAD GENERAL '!CP23</f>
        <v>9.4</v>
      </c>
      <c r="K23" s="120">
        <f>BIO!CP23</f>
        <v>9.23</v>
      </c>
      <c r="L23" s="120">
        <f>HIST!CP23</f>
        <v>9.58</v>
      </c>
      <c r="M23" s="120">
        <f>'E. C. A '!CP23</f>
        <v>9.08</v>
      </c>
      <c r="N23" s="120">
        <f>FILOSOFIA!CP23</f>
        <v>9.34</v>
      </c>
      <c r="O23" s="120">
        <f>EMP!CP23</f>
        <v>8.97</v>
      </c>
      <c r="P23" s="120">
        <f>'EDUCACION PARA LA CIUDADANIA '!CP23</f>
        <v>8.18</v>
      </c>
      <c r="Q23" s="120">
        <f>'PAQUETES CONTABLES '!CP23</f>
        <v>9.27</v>
      </c>
      <c r="R23" s="120">
        <f>'TRIBUTACION '!CP23</f>
        <v>8.01</v>
      </c>
      <c r="S23" s="122">
        <f t="shared" si="6"/>
        <v>9.046428571</v>
      </c>
      <c r="T23" s="292"/>
      <c r="U23" s="2"/>
      <c r="W23" s="56">
        <v>12.0</v>
      </c>
      <c r="X23" s="124" t="str">
        <f t="shared" ref="X23:Y23" si="30">B23</f>
        <v/>
      </c>
      <c r="Y23" s="188" t="str">
        <f t="shared" si="30"/>
        <v>Espinoza Morante Melany Ginger</v>
      </c>
      <c r="Z23" s="120">
        <f>LEN!CQ23</f>
        <v>9.65</v>
      </c>
      <c r="AA23" s="120">
        <f>MATE!CQ23</f>
        <v>7.68</v>
      </c>
      <c r="AB23" s="120">
        <f>INGLES!CQ23</f>
        <v>8.06</v>
      </c>
      <c r="AC23" s="120">
        <f>QUIMI!CQ23</f>
        <v>7.85</v>
      </c>
      <c r="AD23" s="120">
        <f>FISICA!CP23</f>
        <v>7.45</v>
      </c>
      <c r="AE23" s="120">
        <f>'ED. FISICA'!CQ23</f>
        <v>9.5</v>
      </c>
      <c r="AF23" s="120">
        <f>'CONTABILIDAD GENERAL '!CQ23</f>
        <v>9.52</v>
      </c>
      <c r="AG23" s="120">
        <f>BIO!CQ23</f>
        <v>10</v>
      </c>
      <c r="AH23" s="120">
        <f>HIST!CQ23</f>
        <v>10</v>
      </c>
      <c r="AI23" s="120">
        <f>'E. C. A '!CQ23</f>
        <v>9.38</v>
      </c>
      <c r="AJ23" s="120">
        <f>FILOSOFIA!CQ23</f>
        <v>9.53</v>
      </c>
      <c r="AK23" s="120">
        <f>EMP!CQ23</f>
        <v>9.3</v>
      </c>
      <c r="AL23" s="120">
        <f>'EDUCACION PARA LA CIUDADANIA '!CQ23</f>
        <v>8.91</v>
      </c>
      <c r="AM23" s="120">
        <f>'PAQUETES CONTABLES '!CQ23</f>
        <v>8.82</v>
      </c>
      <c r="AN23" s="120">
        <f>'TRIBUTACION '!CQ23</f>
        <v>9.23</v>
      </c>
      <c r="AO23" s="122">
        <f t="shared" si="8"/>
        <v>8.975</v>
      </c>
      <c r="AQ23" s="2" t="str">
        <f t="shared" si="9"/>
        <v/>
      </c>
      <c r="AS23" s="56">
        <v>12.0</v>
      </c>
      <c r="AT23" s="124" t="str">
        <f t="shared" ref="AT23:AU23" si="31">B23</f>
        <v/>
      </c>
      <c r="AU23" s="125" t="str">
        <f t="shared" si="31"/>
        <v>Espinoza Morante Melany Ginger</v>
      </c>
      <c r="AV23" s="120">
        <f>LEN!CR23</f>
        <v>0</v>
      </c>
      <c r="AW23" s="120">
        <f>MATE!CR23</f>
        <v>0</v>
      </c>
      <c r="AX23" s="120">
        <f>INGLES!CR23</f>
        <v>0</v>
      </c>
      <c r="AY23" s="120">
        <f>QUIMI!CR23</f>
        <v>0</v>
      </c>
      <c r="AZ23" s="120">
        <f>FISICA!CQ23</f>
        <v>6.53</v>
      </c>
      <c r="BA23" s="120">
        <f>'ED. FISICA'!CR23</f>
        <v>0</v>
      </c>
      <c r="BB23" s="120">
        <f>'CONTABILIDAD GENERAL '!CR23</f>
        <v>0</v>
      </c>
      <c r="BC23" s="120">
        <f>BIO!CR23</f>
        <v>0</v>
      </c>
      <c r="BD23" s="120">
        <f>HIST!CR23</f>
        <v>0</v>
      </c>
      <c r="BE23" s="120">
        <f>'E. C. A '!CR23</f>
        <v>0</v>
      </c>
      <c r="BF23" s="120">
        <f>FILOSOFIA!CR23</f>
        <v>0</v>
      </c>
      <c r="BG23" s="120">
        <f>EMP!CR23</f>
        <v>0</v>
      </c>
      <c r="BH23" s="120">
        <f>'EDUCACION PARA LA CIUDADANIA '!CR23</f>
        <v>0</v>
      </c>
      <c r="BI23" s="120">
        <f>'PAQUETES CONTABLES '!CR23</f>
        <v>0</v>
      </c>
      <c r="BJ23" s="120">
        <f>'TRIBUTACION '!CR23</f>
        <v>0</v>
      </c>
      <c r="BK23" s="122">
        <f t="shared" si="11"/>
        <v>0.4664285714</v>
      </c>
    </row>
    <row r="24" ht="15.0" customHeight="1">
      <c r="A24" s="56">
        <v>13.0</v>
      </c>
      <c r="B24" s="124" t="str">
        <f>LEN!B24</f>
        <v/>
      </c>
      <c r="C24" s="125" t="str">
        <f>LEN!C24</f>
        <v>Garrido franco Génesis Lissette</v>
      </c>
      <c r="D24" s="120">
        <f>LEN!CP24</f>
        <v>8.8</v>
      </c>
      <c r="E24" s="120">
        <f>MATE!CP24</f>
        <v>9</v>
      </c>
      <c r="F24" s="120">
        <f>INGLES!CP24</f>
        <v>9.07</v>
      </c>
      <c r="G24" s="120">
        <f>QUIMI!CP24</f>
        <v>8.33</v>
      </c>
      <c r="H24" s="120">
        <f>FISICA!CO24</f>
        <v>9.38</v>
      </c>
      <c r="I24" s="120">
        <f>'ED. FISICA'!CP24</f>
        <v>9.38</v>
      </c>
      <c r="J24" s="120">
        <f>'CONTABILIDAD GENERAL '!CP24</f>
        <v>9.42</v>
      </c>
      <c r="K24" s="120">
        <f>BIO!CP24</f>
        <v>8.15</v>
      </c>
      <c r="L24" s="120">
        <f>HIST!CP24</f>
        <v>9.85</v>
      </c>
      <c r="M24" s="120">
        <f>'E. C. A '!CP24</f>
        <v>8.85</v>
      </c>
      <c r="N24" s="120">
        <f>FILOSOFIA!CP24</f>
        <v>8.38</v>
      </c>
      <c r="O24" s="120">
        <f>EMP!CP24</f>
        <v>9.85</v>
      </c>
      <c r="P24" s="120">
        <f>'EDUCACION PARA LA CIUDADANIA '!CP24</f>
        <v>8.33</v>
      </c>
      <c r="Q24" s="120">
        <f>'PAQUETES CONTABLES '!CP24</f>
        <v>9.15</v>
      </c>
      <c r="R24" s="120">
        <f>'TRIBUTACION '!CP24</f>
        <v>8.56</v>
      </c>
      <c r="S24" s="122">
        <f t="shared" si="6"/>
        <v>8.995714286</v>
      </c>
      <c r="T24" s="292"/>
      <c r="U24" s="2"/>
      <c r="W24" s="56">
        <v>13.0</v>
      </c>
      <c r="X24" s="124" t="str">
        <f t="shared" ref="X24:Y24" si="32">B24</f>
        <v/>
      </c>
      <c r="Y24" s="188" t="str">
        <f t="shared" si="32"/>
        <v>Garrido franco Génesis Lissette</v>
      </c>
      <c r="Z24" s="120">
        <f>LEN!CQ24</f>
        <v>9.52</v>
      </c>
      <c r="AA24" s="120">
        <f>MATE!CQ24</f>
        <v>8.76</v>
      </c>
      <c r="AB24" s="120">
        <f>INGLES!CQ24</f>
        <v>7.45</v>
      </c>
      <c r="AC24" s="120">
        <f>QUIMI!CQ24</f>
        <v>8.05</v>
      </c>
      <c r="AD24" s="120">
        <f>FISICA!CP24</f>
        <v>8.15</v>
      </c>
      <c r="AE24" s="120">
        <f>'ED. FISICA'!CQ24</f>
        <v>9.5</v>
      </c>
      <c r="AF24" s="120">
        <f>'CONTABILIDAD GENERAL '!CQ24</f>
        <v>8.85</v>
      </c>
      <c r="AG24" s="120">
        <f>BIO!CQ24</f>
        <v>8.5</v>
      </c>
      <c r="AH24" s="120">
        <f>HIST!CQ24</f>
        <v>10</v>
      </c>
      <c r="AI24" s="120">
        <f>'E. C. A '!CQ24</f>
        <v>9.15</v>
      </c>
      <c r="AJ24" s="120">
        <f>FILOSOFIA!CQ24</f>
        <v>8.6</v>
      </c>
      <c r="AK24" s="120">
        <f>EMP!CQ24</f>
        <v>10</v>
      </c>
      <c r="AL24" s="120">
        <f>'EDUCACION PARA LA CIUDADANIA '!CQ24</f>
        <v>8.41</v>
      </c>
      <c r="AM24" s="120">
        <f>'PAQUETES CONTABLES '!CQ24</f>
        <v>9.85</v>
      </c>
      <c r="AN24" s="120">
        <f>'TRIBUTACION '!CQ24</f>
        <v>7.83</v>
      </c>
      <c r="AO24" s="122">
        <f t="shared" si="8"/>
        <v>8.913571429</v>
      </c>
      <c r="AQ24" s="2" t="str">
        <f t="shared" si="9"/>
        <v/>
      </c>
      <c r="AS24" s="56">
        <v>13.0</v>
      </c>
      <c r="AT24" s="124" t="str">
        <f t="shared" ref="AT24:AU24" si="33">B24</f>
        <v/>
      </c>
      <c r="AU24" s="125" t="str">
        <f t="shared" si="33"/>
        <v>Garrido franco Génesis Lissette</v>
      </c>
      <c r="AV24" s="120">
        <f>LEN!CR24</f>
        <v>0</v>
      </c>
      <c r="AW24" s="120">
        <f>MATE!CR24</f>
        <v>0</v>
      </c>
      <c r="AX24" s="120">
        <f>INGLES!CR24</f>
        <v>0</v>
      </c>
      <c r="AY24" s="120">
        <f>QUIMI!CR24</f>
        <v>0</v>
      </c>
      <c r="AZ24" s="120">
        <f>FISICA!CQ24</f>
        <v>7</v>
      </c>
      <c r="BA24" s="120">
        <f>'ED. FISICA'!CR24</f>
        <v>0</v>
      </c>
      <c r="BB24" s="120">
        <f>'CONTABILIDAD GENERAL '!CR24</f>
        <v>0</v>
      </c>
      <c r="BC24" s="120">
        <f>BIO!CR24</f>
        <v>0</v>
      </c>
      <c r="BD24" s="120">
        <f>HIST!CR24</f>
        <v>0</v>
      </c>
      <c r="BE24" s="120">
        <f>'E. C. A '!CR24</f>
        <v>0</v>
      </c>
      <c r="BF24" s="120">
        <f>FILOSOFIA!CR24</f>
        <v>0</v>
      </c>
      <c r="BG24" s="120">
        <f>EMP!CR24</f>
        <v>0</v>
      </c>
      <c r="BH24" s="120">
        <f>'EDUCACION PARA LA CIUDADANIA '!CR24</f>
        <v>0</v>
      </c>
      <c r="BI24" s="120">
        <f>'PAQUETES CONTABLES '!CR24</f>
        <v>0</v>
      </c>
      <c r="BJ24" s="120">
        <f>'TRIBUTACION '!CR24</f>
        <v>0</v>
      </c>
      <c r="BK24" s="122">
        <f t="shared" si="11"/>
        <v>0.5</v>
      </c>
    </row>
    <row r="25" ht="15.0" customHeight="1">
      <c r="A25" s="56">
        <v>14.0</v>
      </c>
      <c r="B25" s="124" t="str">
        <f>LEN!B25</f>
        <v/>
      </c>
      <c r="C25" s="125" t="str">
        <f>LEN!C25</f>
        <v>Gonzalez Gonzalez Jean Carlos</v>
      </c>
      <c r="D25" s="120">
        <f>LEN!CP25</f>
        <v>7</v>
      </c>
      <c r="E25" s="120">
        <f>MATE!CP25</f>
        <v>6.15</v>
      </c>
      <c r="F25" s="120">
        <f>INGLES!CP25</f>
        <v>7.31</v>
      </c>
      <c r="G25" s="120">
        <f>QUIMI!CP25</f>
        <v>6.71</v>
      </c>
      <c r="H25" s="120">
        <f>FISICA!CO25</f>
        <v>5.9</v>
      </c>
      <c r="I25" s="120">
        <f>'ED. FISICA'!CP25</f>
        <v>8.93</v>
      </c>
      <c r="J25" s="120">
        <f>'CONTABILIDAD GENERAL '!CP25</f>
        <v>8.24</v>
      </c>
      <c r="K25" s="120">
        <f>BIO!CP25</f>
        <v>5.61</v>
      </c>
      <c r="L25" s="120">
        <f>HIST!CP25</f>
        <v>8.72</v>
      </c>
      <c r="M25" s="120">
        <f>'E. C. A '!CP25</f>
        <v>7</v>
      </c>
      <c r="N25" s="120">
        <f>FILOSOFIA!CP25</f>
        <v>7.2</v>
      </c>
      <c r="O25" s="120">
        <f>EMP!CP25</f>
        <v>6.24</v>
      </c>
      <c r="P25" s="120">
        <f>'EDUCACION PARA LA CIUDADANIA '!CP25</f>
        <v>7.38</v>
      </c>
      <c r="Q25" s="120">
        <f>'PAQUETES CONTABLES '!CP25</f>
        <v>6.14</v>
      </c>
      <c r="R25" s="120">
        <f>'TRIBUTACION '!CP25</f>
        <v>6.42</v>
      </c>
      <c r="S25" s="122">
        <f t="shared" si="6"/>
        <v>7.037857143</v>
      </c>
      <c r="T25" s="292"/>
      <c r="U25" s="2"/>
      <c r="W25" s="56">
        <v>14.0</v>
      </c>
      <c r="X25" s="124" t="str">
        <f t="shared" ref="X25:Y25" si="34">B25</f>
        <v/>
      </c>
      <c r="Y25" s="188" t="str">
        <f t="shared" si="34"/>
        <v>Gonzalez Gonzalez Jean Carlos</v>
      </c>
      <c r="Z25" s="120">
        <f>LEN!CQ25</f>
        <v>8.2</v>
      </c>
      <c r="AA25" s="120">
        <f>MATE!CQ25</f>
        <v>8.3</v>
      </c>
      <c r="AB25" s="120">
        <f>INGLES!CQ25</f>
        <v>7.06</v>
      </c>
      <c r="AC25" s="120">
        <f>QUIMI!CQ25</f>
        <v>7.45</v>
      </c>
      <c r="AD25" s="120">
        <f>FISICA!CP25</f>
        <v>7.45</v>
      </c>
      <c r="AE25" s="120">
        <f>'ED. FISICA'!CQ25</f>
        <v>9.5</v>
      </c>
      <c r="AF25" s="120">
        <f>'CONTABILIDAD GENERAL '!CQ25</f>
        <v>8.3</v>
      </c>
      <c r="AG25" s="120">
        <f>BIO!CQ25</f>
        <v>7.45</v>
      </c>
      <c r="AH25" s="120">
        <f>HIST!CQ25</f>
        <v>8.15</v>
      </c>
      <c r="AI25" s="120">
        <f>'E. C. A '!CQ25</f>
        <v>8.91</v>
      </c>
      <c r="AJ25" s="120">
        <f>FILOSOFIA!CQ25</f>
        <v>8.56</v>
      </c>
      <c r="AK25" s="120">
        <f>EMP!CQ25</f>
        <v>8.35</v>
      </c>
      <c r="AL25" s="120">
        <f>'EDUCACION PARA LA CIUDADANIA '!CQ25</f>
        <v>8.33</v>
      </c>
      <c r="AM25" s="120">
        <f>'PAQUETES CONTABLES '!CQ25</f>
        <v>8.37</v>
      </c>
      <c r="AN25" s="120">
        <f>'TRIBUTACION '!CQ25</f>
        <v>8.53</v>
      </c>
      <c r="AO25" s="122">
        <f t="shared" si="8"/>
        <v>8.17</v>
      </c>
      <c r="AQ25" s="2" t="str">
        <f t="shared" si="9"/>
        <v/>
      </c>
      <c r="AS25" s="56">
        <v>14.0</v>
      </c>
      <c r="AT25" s="124" t="str">
        <f t="shared" ref="AT25:AU25" si="35">B25</f>
        <v/>
      </c>
      <c r="AU25" s="125" t="str">
        <f t="shared" si="35"/>
        <v>Gonzalez Gonzalez Jean Carlos</v>
      </c>
      <c r="AV25" s="120">
        <f>LEN!CR25</f>
        <v>0</v>
      </c>
      <c r="AW25" s="120">
        <f>MATE!CR25</f>
        <v>0</v>
      </c>
      <c r="AX25" s="120">
        <f>INGLES!CR25</f>
        <v>0</v>
      </c>
      <c r="AY25" s="120">
        <f>QUIMI!CR25</f>
        <v>0</v>
      </c>
      <c r="AZ25" s="120">
        <f>FISICA!CQ25</f>
        <v>0</v>
      </c>
      <c r="BA25" s="120">
        <f>'ED. FISICA'!CR25</f>
        <v>0</v>
      </c>
      <c r="BB25" s="120">
        <f>'CONTABILIDAD GENERAL '!CR25</f>
        <v>0</v>
      </c>
      <c r="BC25" s="120">
        <f>BIO!CR25</f>
        <v>0</v>
      </c>
      <c r="BD25" s="120">
        <f>HIST!CR25</f>
        <v>0</v>
      </c>
      <c r="BE25" s="120">
        <f>'E. C. A '!CR25</f>
        <v>0</v>
      </c>
      <c r="BF25" s="120">
        <f>FILOSOFIA!CR25</f>
        <v>0</v>
      </c>
      <c r="BG25" s="120">
        <f>EMP!CR25</f>
        <v>0</v>
      </c>
      <c r="BH25" s="120">
        <f>'EDUCACION PARA LA CIUDADANIA '!CR25</f>
        <v>0</v>
      </c>
      <c r="BI25" s="120">
        <f>'PAQUETES CONTABLES '!CR25</f>
        <v>0</v>
      </c>
      <c r="BJ25" s="120">
        <f>'TRIBUTACION '!CR25</f>
        <v>0</v>
      </c>
      <c r="BK25" s="122">
        <f t="shared" si="11"/>
        <v>0</v>
      </c>
    </row>
    <row r="26" ht="15.0" customHeight="1">
      <c r="A26" s="56">
        <v>15.0</v>
      </c>
      <c r="B26" s="124" t="str">
        <f>LEN!B26</f>
        <v/>
      </c>
      <c r="C26" s="125" t="str">
        <f>LEN!C26</f>
        <v>Guevara Benites Jean Pierre</v>
      </c>
      <c r="D26" s="120">
        <f>LEN!CP26</f>
        <v>9.48</v>
      </c>
      <c r="E26" s="120">
        <f>MATE!CP26</f>
        <v>7.69</v>
      </c>
      <c r="F26" s="120">
        <f>INGLES!CP26</f>
        <v>8.79</v>
      </c>
      <c r="G26" s="120">
        <f>QUIMI!CP26</f>
        <v>8.5</v>
      </c>
      <c r="H26" s="120">
        <f>FISICA!CO26</f>
        <v>8.72</v>
      </c>
      <c r="I26" s="120">
        <f>'ED. FISICA'!CP26</f>
        <v>9.19</v>
      </c>
      <c r="J26" s="120">
        <f>'CONTABILIDAD GENERAL '!CP26</f>
        <v>8.89</v>
      </c>
      <c r="K26" s="120">
        <f>BIO!CP26</f>
        <v>7.95</v>
      </c>
      <c r="L26" s="120">
        <f>HIST!CP26</f>
        <v>8.8</v>
      </c>
      <c r="M26" s="120">
        <f>'E. C. A '!CP26</f>
        <v>8.28</v>
      </c>
      <c r="N26" s="120">
        <f>FILOSOFIA!CP26</f>
        <v>7.99</v>
      </c>
      <c r="O26" s="120">
        <f>EMP!CP26</f>
        <v>9.1</v>
      </c>
      <c r="P26" s="120">
        <f>'EDUCACION PARA LA CIUDADANIA '!CP26</f>
        <v>8.37</v>
      </c>
      <c r="Q26" s="120">
        <f>'PAQUETES CONTABLES '!CP26</f>
        <v>8.45</v>
      </c>
      <c r="R26" s="120">
        <f>'TRIBUTACION '!CP26</f>
        <v>7.94</v>
      </c>
      <c r="S26" s="122">
        <f t="shared" si="6"/>
        <v>8.585714286</v>
      </c>
      <c r="T26" s="292"/>
      <c r="U26" s="2"/>
      <c r="W26" s="56">
        <v>15.0</v>
      </c>
      <c r="X26" s="124" t="str">
        <f t="shared" ref="X26:Y26" si="36">B26</f>
        <v/>
      </c>
      <c r="Y26" s="188" t="str">
        <f t="shared" si="36"/>
        <v>Guevara Benites Jean Pierre</v>
      </c>
      <c r="Z26" s="120">
        <f>LEN!CQ26</f>
        <v>8.5</v>
      </c>
      <c r="AA26" s="120">
        <f>MATE!CQ26</f>
        <v>8.53</v>
      </c>
      <c r="AB26" s="120">
        <f>INGLES!CQ26</f>
        <v>8.91</v>
      </c>
      <c r="AC26" s="120">
        <f>QUIMI!CQ26</f>
        <v>7</v>
      </c>
      <c r="AD26" s="120">
        <f>FISICA!CP26</f>
        <v>8.5</v>
      </c>
      <c r="AE26" s="120">
        <f>'ED. FISICA'!CQ26</f>
        <v>9.5</v>
      </c>
      <c r="AF26" s="120">
        <f>'CONTABILIDAD GENERAL '!CQ26</f>
        <v>9.15</v>
      </c>
      <c r="AG26" s="120">
        <f>BIO!CQ26</f>
        <v>6.54</v>
      </c>
      <c r="AH26" s="120">
        <f>HIST!CQ26</f>
        <v>8.6</v>
      </c>
      <c r="AI26" s="120">
        <f>'E. C. A '!CQ26</f>
        <v>8.91</v>
      </c>
      <c r="AJ26" s="120">
        <f>FILOSOFIA!CQ26</f>
        <v>9.15</v>
      </c>
      <c r="AK26" s="120">
        <f>EMP!CQ26</f>
        <v>9.17</v>
      </c>
      <c r="AL26" s="120">
        <f>'EDUCACION PARA LA CIUDADANIA '!CQ26</f>
        <v>9.3</v>
      </c>
      <c r="AM26" s="120">
        <f>'PAQUETES CONTABLES '!CQ26</f>
        <v>9.5</v>
      </c>
      <c r="AN26" s="120">
        <f>'TRIBUTACION '!CQ26</f>
        <v>9.35</v>
      </c>
      <c r="AO26" s="122">
        <f t="shared" si="8"/>
        <v>8.661428571</v>
      </c>
      <c r="AQ26" s="2" t="str">
        <f t="shared" si="9"/>
        <v/>
      </c>
      <c r="AS26" s="56">
        <v>15.0</v>
      </c>
      <c r="AT26" s="124" t="str">
        <f t="shared" ref="AT26:AU26" si="37">B26</f>
        <v/>
      </c>
      <c r="AU26" s="125" t="str">
        <f t="shared" si="37"/>
        <v>Guevara Benites Jean Pierre</v>
      </c>
      <c r="AV26" s="120">
        <f>LEN!CR26</f>
        <v>0</v>
      </c>
      <c r="AW26" s="120">
        <f>MATE!CR26</f>
        <v>0</v>
      </c>
      <c r="AX26" s="120">
        <f>INGLES!CR26</f>
        <v>0</v>
      </c>
      <c r="AY26" s="120">
        <f>QUIMI!CR26</f>
        <v>0</v>
      </c>
      <c r="AZ26" s="120">
        <f>FISICA!CQ26</f>
        <v>7</v>
      </c>
      <c r="BA26" s="120">
        <f>'ED. FISICA'!CR26</f>
        <v>0</v>
      </c>
      <c r="BB26" s="120">
        <f>'CONTABILIDAD GENERAL '!CR26</f>
        <v>0</v>
      </c>
      <c r="BC26" s="120">
        <f>BIO!CR26</f>
        <v>0</v>
      </c>
      <c r="BD26" s="120">
        <f>HIST!CR26</f>
        <v>0</v>
      </c>
      <c r="BE26" s="120">
        <f>'E. C. A '!CR26</f>
        <v>0</v>
      </c>
      <c r="BF26" s="120">
        <f>FILOSOFIA!CR26</f>
        <v>0</v>
      </c>
      <c r="BG26" s="120">
        <f>EMP!CR26</f>
        <v>0</v>
      </c>
      <c r="BH26" s="120">
        <f>'EDUCACION PARA LA CIUDADANIA '!CR26</f>
        <v>0</v>
      </c>
      <c r="BI26" s="120">
        <f>'PAQUETES CONTABLES '!CR26</f>
        <v>0</v>
      </c>
      <c r="BJ26" s="120">
        <f>'TRIBUTACION '!CR26</f>
        <v>0</v>
      </c>
      <c r="BK26" s="122">
        <f t="shared" si="11"/>
        <v>0.5</v>
      </c>
    </row>
    <row r="27" ht="15.0" customHeight="1">
      <c r="A27" s="56">
        <v>16.0</v>
      </c>
      <c r="B27" s="124" t="str">
        <f>LEN!B27</f>
        <v/>
      </c>
      <c r="C27" s="125" t="str">
        <f>LEN!C27</f>
        <v>Mero Carcamo Adriana Carolina</v>
      </c>
      <c r="D27" s="120">
        <f>LEN!CP27</f>
        <v>7.9</v>
      </c>
      <c r="E27" s="120">
        <f>MATE!CP27</f>
        <v>7.08</v>
      </c>
      <c r="F27" s="120">
        <f>INGLES!CP27</f>
        <v>8.69</v>
      </c>
      <c r="G27" s="120">
        <f>QUIMI!CP27</f>
        <v>7.91</v>
      </c>
      <c r="H27" s="120">
        <f>FISICA!CO27</f>
        <v>7.06</v>
      </c>
      <c r="I27" s="120">
        <f>'ED. FISICA'!CP27</f>
        <v>8.93</v>
      </c>
      <c r="J27" s="120">
        <f>'CONTABILIDAD GENERAL '!CP27</f>
        <v>9.12</v>
      </c>
      <c r="K27" s="120">
        <f>BIO!CP27</f>
        <v>8.17</v>
      </c>
      <c r="L27" s="120">
        <f>HIST!CP27</f>
        <v>9.4</v>
      </c>
      <c r="M27" s="120">
        <f>'E. C. A '!CP27</f>
        <v>7.02</v>
      </c>
      <c r="N27" s="120">
        <f>FILOSOFIA!CP27</f>
        <v>7.58</v>
      </c>
      <c r="O27" s="120">
        <f>EMP!CP27</f>
        <v>6.94</v>
      </c>
      <c r="P27" s="120">
        <f>'EDUCACION PARA LA CIUDADANIA '!CP27</f>
        <v>7.5</v>
      </c>
      <c r="Q27" s="120">
        <f>'PAQUETES CONTABLES '!CP27</f>
        <v>7.04</v>
      </c>
      <c r="R27" s="120">
        <f>'TRIBUTACION '!CP27</f>
        <v>8.11</v>
      </c>
      <c r="S27" s="122">
        <f t="shared" si="6"/>
        <v>7.881428571</v>
      </c>
      <c r="T27" s="292"/>
      <c r="U27" s="2"/>
      <c r="W27" s="56">
        <v>16.0</v>
      </c>
      <c r="X27" s="124" t="str">
        <f t="shared" ref="X27:Y27" si="38">B27</f>
        <v/>
      </c>
      <c r="Y27" s="188" t="str">
        <f t="shared" si="38"/>
        <v>Mero Carcamo Adriana Carolina</v>
      </c>
      <c r="Z27" s="120">
        <f>LEN!CQ27</f>
        <v>7</v>
      </c>
      <c r="AA27" s="120">
        <f>MATE!CQ27</f>
        <v>7.1</v>
      </c>
      <c r="AB27" s="120">
        <f>INGLES!CQ27</f>
        <v>7.1</v>
      </c>
      <c r="AC27" s="120">
        <f>QUIMI!CQ27</f>
        <v>6.42</v>
      </c>
      <c r="AD27" s="120">
        <f>FISICA!CP27</f>
        <v>7.06</v>
      </c>
      <c r="AE27" s="120">
        <f>'ED. FISICA'!CQ27</f>
        <v>8.3</v>
      </c>
      <c r="AF27" s="120">
        <f>'CONTABILIDAD GENERAL '!CQ27</f>
        <v>8.1</v>
      </c>
      <c r="AG27" s="120">
        <f>BIO!CQ27</f>
        <v>7.59</v>
      </c>
      <c r="AH27" s="120">
        <f>HIST!CQ27</f>
        <v>10</v>
      </c>
      <c r="AI27" s="120">
        <f>'E. C. A '!CQ27</f>
        <v>7.71</v>
      </c>
      <c r="AJ27" s="120">
        <f>FILOSOFIA!CQ27</f>
        <v>7.33</v>
      </c>
      <c r="AK27" s="120">
        <f>EMP!CQ27</f>
        <v>7.3</v>
      </c>
      <c r="AL27" s="120">
        <f>'EDUCACION PARA LA CIUDADANIA '!CQ27</f>
        <v>7.51</v>
      </c>
      <c r="AM27" s="120">
        <f>'PAQUETES CONTABLES '!CQ27</f>
        <v>7.32</v>
      </c>
      <c r="AN27" s="120">
        <f>'TRIBUTACION '!CQ27</f>
        <v>7.1</v>
      </c>
      <c r="AO27" s="122">
        <f t="shared" si="8"/>
        <v>7.56</v>
      </c>
      <c r="AQ27" s="2" t="str">
        <f t="shared" si="9"/>
        <v/>
      </c>
      <c r="AS27" s="56">
        <v>16.0</v>
      </c>
      <c r="AT27" s="124" t="str">
        <f t="shared" ref="AT27:AU27" si="39">B27</f>
        <v/>
      </c>
      <c r="AU27" s="125" t="str">
        <f t="shared" si="39"/>
        <v>Mero Carcamo Adriana Carolina</v>
      </c>
      <c r="AV27" s="120">
        <f>LEN!CR27</f>
        <v>0</v>
      </c>
      <c r="AW27" s="120">
        <f>MATE!CR27</f>
        <v>0</v>
      </c>
      <c r="AX27" s="120">
        <f>INGLES!CR27</f>
        <v>0</v>
      </c>
      <c r="AY27" s="120">
        <f>QUIMI!CR27</f>
        <v>0</v>
      </c>
      <c r="AZ27" s="120">
        <f>FISICA!CQ27</f>
        <v>7</v>
      </c>
      <c r="BA27" s="120">
        <f>'ED. FISICA'!CR27</f>
        <v>0</v>
      </c>
      <c r="BB27" s="120">
        <f>'CONTABILIDAD GENERAL '!CR27</f>
        <v>0</v>
      </c>
      <c r="BC27" s="120">
        <f>BIO!CR27</f>
        <v>0</v>
      </c>
      <c r="BD27" s="120">
        <f>HIST!CR27</f>
        <v>0</v>
      </c>
      <c r="BE27" s="120">
        <f>'E. C. A '!CR27</f>
        <v>0</v>
      </c>
      <c r="BF27" s="120">
        <f>FILOSOFIA!CR27</f>
        <v>0</v>
      </c>
      <c r="BG27" s="120">
        <f>EMP!CR27</f>
        <v>0</v>
      </c>
      <c r="BH27" s="120">
        <f>'EDUCACION PARA LA CIUDADANIA '!CR27</f>
        <v>0</v>
      </c>
      <c r="BI27" s="120">
        <f>'PAQUETES CONTABLES '!CR27</f>
        <v>0</v>
      </c>
      <c r="BJ27" s="120">
        <f>'TRIBUTACION '!CR27</f>
        <v>0</v>
      </c>
      <c r="BK27" s="122">
        <f t="shared" si="11"/>
        <v>0.5</v>
      </c>
    </row>
    <row r="28" ht="15.0" customHeight="1">
      <c r="A28" s="56">
        <v>17.0</v>
      </c>
      <c r="B28" s="124" t="str">
        <f>LEN!B28</f>
        <v/>
      </c>
      <c r="C28" s="125" t="str">
        <f>LEN!C28</f>
        <v>Moreira Villamar Darwin Matias</v>
      </c>
      <c r="D28" s="120">
        <f>LEN!CP28</f>
        <v>9.43</v>
      </c>
      <c r="E28" s="120">
        <f>MATE!CP28</f>
        <v>7.64</v>
      </c>
      <c r="F28" s="120">
        <f>INGLES!CP28</f>
        <v>9.42</v>
      </c>
      <c r="G28" s="120">
        <f>QUIMI!CP28</f>
        <v>9.19</v>
      </c>
      <c r="H28" s="120">
        <f>FISICA!CO28</f>
        <v>9.72</v>
      </c>
      <c r="I28" s="120">
        <f>'ED. FISICA'!CP28</f>
        <v>9.49</v>
      </c>
      <c r="J28" s="120">
        <f>'CONTABILIDAD GENERAL '!CP28</f>
        <v>7.82</v>
      </c>
      <c r="K28" s="120">
        <f>BIO!CP28</f>
        <v>9.8</v>
      </c>
      <c r="L28" s="120">
        <f>HIST!CP28</f>
        <v>9.95</v>
      </c>
      <c r="M28" s="120">
        <f>'E. C. A '!CP28</f>
        <v>9.63</v>
      </c>
      <c r="N28" s="120">
        <f>FILOSOFIA!CP28</f>
        <v>9.25</v>
      </c>
      <c r="O28" s="120">
        <f>EMP!CP28</f>
        <v>9.65</v>
      </c>
      <c r="P28" s="120">
        <f>'EDUCACION PARA LA CIUDADANIA '!CP28</f>
        <v>9.02</v>
      </c>
      <c r="Q28" s="120">
        <f>'PAQUETES CONTABLES '!CP28</f>
        <v>9.65</v>
      </c>
      <c r="R28" s="120">
        <f>'TRIBUTACION '!CP28</f>
        <v>8.66</v>
      </c>
      <c r="S28" s="122">
        <f t="shared" si="6"/>
        <v>9.261428571</v>
      </c>
      <c r="T28" s="292"/>
      <c r="U28" s="2"/>
      <c r="W28" s="56">
        <v>17.0</v>
      </c>
      <c r="X28" s="124" t="str">
        <f t="shared" ref="X28:Y28" si="40">B28</f>
        <v/>
      </c>
      <c r="Y28" s="188" t="str">
        <f t="shared" si="40"/>
        <v>Moreira Villamar Darwin Matias</v>
      </c>
      <c r="Z28" s="120">
        <f>LEN!CQ28</f>
        <v>9.3</v>
      </c>
      <c r="AA28" s="120">
        <f>MATE!CQ28</f>
        <v>7.83</v>
      </c>
      <c r="AB28" s="120">
        <f>INGLES!CQ28</f>
        <v>9</v>
      </c>
      <c r="AC28" s="120">
        <f>QUIMI!CQ28</f>
        <v>9.67</v>
      </c>
      <c r="AD28" s="120">
        <f>FISICA!CP28</f>
        <v>9.2</v>
      </c>
      <c r="AE28" s="120">
        <f>'ED. FISICA'!CQ28</f>
        <v>9.5</v>
      </c>
      <c r="AF28" s="120">
        <f>'CONTABILIDAD GENERAL '!CQ28</f>
        <v>9</v>
      </c>
      <c r="AG28" s="120">
        <f>BIO!CQ28</f>
        <v>9.12</v>
      </c>
      <c r="AH28" s="120">
        <f>HIST!CQ28</f>
        <v>10</v>
      </c>
      <c r="AI28" s="120">
        <f>'E. C. A '!CQ28</f>
        <v>10</v>
      </c>
      <c r="AJ28" s="120">
        <f>FILOSOFIA!CQ28</f>
        <v>9.85</v>
      </c>
      <c r="AK28" s="120">
        <f>EMP!CQ28</f>
        <v>10</v>
      </c>
      <c r="AL28" s="120">
        <f>'EDUCACION PARA LA CIUDADANIA '!CQ28</f>
        <v>10</v>
      </c>
      <c r="AM28" s="120">
        <f>'PAQUETES CONTABLES '!CQ28</f>
        <v>10</v>
      </c>
      <c r="AN28" s="120">
        <f>'TRIBUTACION '!CQ28</f>
        <v>9.23</v>
      </c>
      <c r="AO28" s="122">
        <f t="shared" si="8"/>
        <v>9.462142857</v>
      </c>
      <c r="AQ28" s="2" t="str">
        <f t="shared" si="9"/>
        <v/>
      </c>
      <c r="AS28" s="56">
        <v>17.0</v>
      </c>
      <c r="AT28" s="124" t="str">
        <f t="shared" ref="AT28:AU28" si="41">B28</f>
        <v/>
      </c>
      <c r="AU28" s="125" t="str">
        <f t="shared" si="41"/>
        <v>Moreira Villamar Darwin Matias</v>
      </c>
      <c r="AV28" s="120">
        <f>LEN!CR28</f>
        <v>0</v>
      </c>
      <c r="AW28" s="120">
        <f>MATE!CR28</f>
        <v>0</v>
      </c>
      <c r="AX28" s="120">
        <f>INGLES!CR28</f>
        <v>0</v>
      </c>
      <c r="AY28" s="120">
        <f>QUIMI!CR28</f>
        <v>0</v>
      </c>
      <c r="AZ28" s="120">
        <f>FISICA!CQ28</f>
        <v>7</v>
      </c>
      <c r="BA28" s="120">
        <f>'ED. FISICA'!CR28</f>
        <v>0</v>
      </c>
      <c r="BB28" s="120">
        <f>'CONTABILIDAD GENERAL '!CR28</f>
        <v>0</v>
      </c>
      <c r="BC28" s="120">
        <f>BIO!CR28</f>
        <v>0</v>
      </c>
      <c r="BD28" s="120">
        <f>HIST!CR28</f>
        <v>0</v>
      </c>
      <c r="BE28" s="120">
        <f>'E. C. A '!CR28</f>
        <v>0</v>
      </c>
      <c r="BF28" s="120">
        <f>FILOSOFIA!CR28</f>
        <v>0</v>
      </c>
      <c r="BG28" s="120">
        <f>EMP!CR28</f>
        <v>0</v>
      </c>
      <c r="BH28" s="120">
        <f>'EDUCACION PARA LA CIUDADANIA '!CR28</f>
        <v>0</v>
      </c>
      <c r="BI28" s="120">
        <f>'PAQUETES CONTABLES '!CR28</f>
        <v>0</v>
      </c>
      <c r="BJ28" s="120">
        <f>'TRIBUTACION '!CR28</f>
        <v>0</v>
      </c>
      <c r="BK28" s="122">
        <f t="shared" si="11"/>
        <v>0.5</v>
      </c>
    </row>
    <row r="29" ht="15.0" customHeight="1">
      <c r="A29" s="56">
        <v>18.0</v>
      </c>
      <c r="B29" s="124" t="str">
        <f>LEN!B29</f>
        <v/>
      </c>
      <c r="C29" s="125" t="str">
        <f>LEN!C29</f>
        <v>Peña Macias Enrique Alexander</v>
      </c>
      <c r="D29" s="120">
        <f>LEN!CP29</f>
        <v>9.7</v>
      </c>
      <c r="E29" s="120">
        <f>MATE!CP29</f>
        <v>7.71</v>
      </c>
      <c r="F29" s="120">
        <f>INGLES!CP29</f>
        <v>8.74</v>
      </c>
      <c r="G29" s="120">
        <f>QUIMI!CP29</f>
        <v>8.61</v>
      </c>
      <c r="H29" s="120">
        <f>FISICA!CO29</f>
        <v>9.41</v>
      </c>
      <c r="I29" s="120">
        <f>'ED. FISICA'!CP29</f>
        <v>8.94</v>
      </c>
      <c r="J29" s="120">
        <f>'CONTABILIDAD GENERAL '!CP29</f>
        <v>9.43</v>
      </c>
      <c r="K29" s="120">
        <f>BIO!CP29</f>
        <v>8.3</v>
      </c>
      <c r="L29" s="120">
        <f>HIST!CP29</f>
        <v>9.88</v>
      </c>
      <c r="M29" s="120">
        <f>'E. C. A '!CP29</f>
        <v>9.88</v>
      </c>
      <c r="N29" s="120">
        <f>FILOSOFIA!CP29</f>
        <v>9.29</v>
      </c>
      <c r="O29" s="120">
        <f>EMP!CP29</f>
        <v>8.88</v>
      </c>
      <c r="P29" s="120">
        <f>'EDUCACION PARA LA CIUDADANIA '!CP29</f>
        <v>9.88</v>
      </c>
      <c r="Q29" s="120">
        <f>'PAQUETES CONTABLES '!CP29</f>
        <v>8.62</v>
      </c>
      <c r="R29" s="120">
        <f>'TRIBUTACION '!CP29</f>
        <v>9.3</v>
      </c>
      <c r="S29" s="122">
        <f t="shared" si="6"/>
        <v>9.090714286</v>
      </c>
      <c r="T29" s="292"/>
      <c r="U29" s="2"/>
      <c r="W29" s="56">
        <v>18.0</v>
      </c>
      <c r="X29" s="124" t="str">
        <f t="shared" ref="X29:Y29" si="42">B29</f>
        <v/>
      </c>
      <c r="Y29" s="188" t="str">
        <f t="shared" si="42"/>
        <v>Peña Macias Enrique Alexander</v>
      </c>
      <c r="Z29" s="120">
        <f>LEN!CQ29</f>
        <v>9</v>
      </c>
      <c r="AA29" s="120">
        <f>MATE!CQ29</f>
        <v>9.38</v>
      </c>
      <c r="AB29" s="120">
        <f>INGLES!CQ29</f>
        <v>8.76</v>
      </c>
      <c r="AC29" s="120">
        <f>QUIMI!CQ29</f>
        <v>8.45</v>
      </c>
      <c r="AD29" s="120">
        <f>FISICA!CP29</f>
        <v>9.31</v>
      </c>
      <c r="AE29" s="120">
        <f>'ED. FISICA'!CQ29</f>
        <v>9.5</v>
      </c>
      <c r="AF29" s="120">
        <f>'CONTABILIDAD GENERAL '!CQ29</f>
        <v>8.25</v>
      </c>
      <c r="AG29" s="120">
        <f>BIO!CQ29</f>
        <v>8.33</v>
      </c>
      <c r="AH29" s="120">
        <f>HIST!CQ29</f>
        <v>10</v>
      </c>
      <c r="AI29" s="120">
        <f>'E. C. A '!CQ29</f>
        <v>9.53</v>
      </c>
      <c r="AJ29" s="120">
        <f>FILOSOFIA!CQ29</f>
        <v>10</v>
      </c>
      <c r="AK29" s="120">
        <f>EMP!CQ29</f>
        <v>9</v>
      </c>
      <c r="AL29" s="120">
        <f>'EDUCACION PARA LA CIUDADANIA '!CQ29</f>
        <v>9.53</v>
      </c>
      <c r="AM29" s="120">
        <f>'PAQUETES CONTABLES '!CQ29</f>
        <v>9.35</v>
      </c>
      <c r="AN29" s="120">
        <f>'TRIBUTACION '!CQ29</f>
        <v>9.85</v>
      </c>
      <c r="AO29" s="122">
        <f t="shared" si="8"/>
        <v>9.170714286</v>
      </c>
      <c r="AQ29" s="2" t="str">
        <f t="shared" si="9"/>
        <v/>
      </c>
      <c r="AS29" s="56">
        <v>18.0</v>
      </c>
      <c r="AT29" s="124" t="str">
        <f t="shared" ref="AT29:AU29" si="43">B29</f>
        <v/>
      </c>
      <c r="AU29" s="125" t="str">
        <f t="shared" si="43"/>
        <v>Peña Macias Enrique Alexander</v>
      </c>
      <c r="AV29" s="120">
        <f>LEN!CR29</f>
        <v>0</v>
      </c>
      <c r="AW29" s="120">
        <f>MATE!CR29</f>
        <v>0</v>
      </c>
      <c r="AX29" s="120">
        <f>INGLES!CR29</f>
        <v>0</v>
      </c>
      <c r="AY29" s="120">
        <f>QUIMI!CR29</f>
        <v>0</v>
      </c>
      <c r="AZ29" s="120">
        <f>FISICA!CQ29</f>
        <v>7</v>
      </c>
      <c r="BA29" s="120">
        <f>'ED. FISICA'!CR29</f>
        <v>0</v>
      </c>
      <c r="BB29" s="120">
        <f>'CONTABILIDAD GENERAL '!CR29</f>
        <v>0</v>
      </c>
      <c r="BC29" s="120">
        <f>BIO!CR29</f>
        <v>0</v>
      </c>
      <c r="BD29" s="120">
        <f>HIST!CR29</f>
        <v>0</v>
      </c>
      <c r="BE29" s="120">
        <f>'E. C. A '!CR29</f>
        <v>0</v>
      </c>
      <c r="BF29" s="120">
        <f>FILOSOFIA!CR29</f>
        <v>0</v>
      </c>
      <c r="BG29" s="120">
        <f>EMP!CR29</f>
        <v>0</v>
      </c>
      <c r="BH29" s="120">
        <f>'EDUCACION PARA LA CIUDADANIA '!CR29</f>
        <v>0</v>
      </c>
      <c r="BI29" s="120">
        <f>'PAQUETES CONTABLES '!CR29</f>
        <v>0</v>
      </c>
      <c r="BJ29" s="120">
        <f>'TRIBUTACION '!CR29</f>
        <v>0</v>
      </c>
      <c r="BK29" s="122">
        <f t="shared" si="11"/>
        <v>0.5</v>
      </c>
    </row>
    <row r="30" ht="15.0" customHeight="1">
      <c r="A30" s="56">
        <v>19.0</v>
      </c>
      <c r="B30" s="124" t="str">
        <f>LEN!B30</f>
        <v/>
      </c>
      <c r="C30" s="125" t="str">
        <f>LEN!C30</f>
        <v>Roman Arreaga Stefani Asley</v>
      </c>
      <c r="D30" s="120">
        <f>LEN!CP30</f>
        <v>9.39</v>
      </c>
      <c r="E30" s="120">
        <f>MATE!CP30</f>
        <v>7.37</v>
      </c>
      <c r="F30" s="120">
        <f>INGLES!CP30</f>
        <v>9.12</v>
      </c>
      <c r="G30" s="120">
        <f>QUIMI!CP30</f>
        <v>8.68</v>
      </c>
      <c r="H30" s="120">
        <f>FISICA!CO30</f>
        <v>9.45</v>
      </c>
      <c r="I30" s="120">
        <f>'ED. FISICA'!CP30</f>
        <v>8.98</v>
      </c>
      <c r="J30" s="120">
        <f>'CONTABILIDAD GENERAL '!CP30</f>
        <v>9.73</v>
      </c>
      <c r="K30" s="120">
        <f>BIO!CP30</f>
        <v>8.74</v>
      </c>
      <c r="L30" s="120">
        <f>HIST!CP30</f>
        <v>9.92</v>
      </c>
      <c r="M30" s="120">
        <f>'E. C. A '!CP30</f>
        <v>9.27</v>
      </c>
      <c r="N30" s="120">
        <f>FILOSOFIA!CP30</f>
        <v>8.75</v>
      </c>
      <c r="O30" s="120">
        <f>EMP!CP30</f>
        <v>8.71</v>
      </c>
      <c r="P30" s="120">
        <f>'EDUCACION PARA LA CIUDADANIA '!CP30</f>
        <v>8.87</v>
      </c>
      <c r="Q30" s="120">
        <f>'PAQUETES CONTABLES '!CP30</f>
        <v>8.07</v>
      </c>
      <c r="R30" s="120">
        <f>'TRIBUTACION '!CP30</f>
        <v>8.92</v>
      </c>
      <c r="S30" s="122">
        <f t="shared" si="6"/>
        <v>8.932142857</v>
      </c>
      <c r="T30" s="292"/>
      <c r="U30" s="2"/>
      <c r="W30" s="56">
        <v>19.0</v>
      </c>
      <c r="X30" s="124" t="str">
        <f t="shared" ref="X30:Y30" si="44">B30</f>
        <v/>
      </c>
      <c r="Y30" s="188" t="str">
        <f t="shared" si="44"/>
        <v>Roman Arreaga Stefani Asley</v>
      </c>
      <c r="Z30" s="120">
        <f>LEN!CQ30</f>
        <v>9.38</v>
      </c>
      <c r="AA30" s="120">
        <f>MATE!CQ30</f>
        <v>8.06</v>
      </c>
      <c r="AB30" s="120">
        <f>INGLES!CQ30</f>
        <v>9.61</v>
      </c>
      <c r="AC30" s="120">
        <f>QUIMI!CQ30</f>
        <v>7.8</v>
      </c>
      <c r="AD30" s="120">
        <f>FISICA!CP30</f>
        <v>9</v>
      </c>
      <c r="AE30" s="120">
        <f>'ED. FISICA'!CQ30</f>
        <v>9.5</v>
      </c>
      <c r="AF30" s="120">
        <f>'CONTABILIDAD GENERAL '!CQ30</f>
        <v>9.17</v>
      </c>
      <c r="AG30" s="120">
        <f>BIO!CQ30</f>
        <v>8.88</v>
      </c>
      <c r="AH30" s="120">
        <f>HIST!CQ30</f>
        <v>10</v>
      </c>
      <c r="AI30" s="120">
        <f>'E. C. A '!CQ30</f>
        <v>9.53</v>
      </c>
      <c r="AJ30" s="120">
        <f>FILOSOFIA!CQ30</f>
        <v>10</v>
      </c>
      <c r="AK30" s="120">
        <f>EMP!CQ30</f>
        <v>9.17</v>
      </c>
      <c r="AL30" s="120">
        <f>'EDUCACION PARA LA CIUDADANIA '!CQ30</f>
        <v>9.3</v>
      </c>
      <c r="AM30" s="120">
        <f>'PAQUETES CONTABLES '!CQ30</f>
        <v>9.05</v>
      </c>
      <c r="AN30" s="120">
        <f>'TRIBUTACION '!CQ30</f>
        <v>7.6</v>
      </c>
      <c r="AO30" s="122">
        <f t="shared" si="8"/>
        <v>9.175</v>
      </c>
      <c r="AQ30" s="2" t="str">
        <f t="shared" si="9"/>
        <v/>
      </c>
      <c r="AS30" s="56">
        <v>19.0</v>
      </c>
      <c r="AT30" s="124" t="str">
        <f t="shared" ref="AT30:AU30" si="45">B30</f>
        <v/>
      </c>
      <c r="AU30" s="125" t="str">
        <f t="shared" si="45"/>
        <v>Roman Arreaga Stefani Asley</v>
      </c>
      <c r="AV30" s="120">
        <f>LEN!CR30</f>
        <v>0</v>
      </c>
      <c r="AW30" s="120">
        <f>MATE!CR30</f>
        <v>0</v>
      </c>
      <c r="AX30" s="120">
        <f>INGLES!CR30</f>
        <v>0</v>
      </c>
      <c r="AY30" s="120">
        <f>QUIMI!CR30</f>
        <v>0</v>
      </c>
      <c r="AZ30" s="120">
        <f>FISICA!CQ30</f>
        <v>4.9</v>
      </c>
      <c r="BA30" s="120">
        <f>'ED. FISICA'!CR30</f>
        <v>0</v>
      </c>
      <c r="BB30" s="120">
        <f>'CONTABILIDAD GENERAL '!CR30</f>
        <v>0</v>
      </c>
      <c r="BC30" s="120">
        <f>BIO!CR30</f>
        <v>0</v>
      </c>
      <c r="BD30" s="120">
        <f>HIST!CR30</f>
        <v>0</v>
      </c>
      <c r="BE30" s="120">
        <f>'E. C. A '!CR30</f>
        <v>0</v>
      </c>
      <c r="BF30" s="120">
        <f>FILOSOFIA!CR30</f>
        <v>0</v>
      </c>
      <c r="BG30" s="120">
        <f>EMP!CR30</f>
        <v>0</v>
      </c>
      <c r="BH30" s="120">
        <f>'EDUCACION PARA LA CIUDADANIA '!CR30</f>
        <v>0</v>
      </c>
      <c r="BI30" s="120">
        <f>'PAQUETES CONTABLES '!CR30</f>
        <v>0</v>
      </c>
      <c r="BJ30" s="120">
        <f>'TRIBUTACION '!CR30</f>
        <v>0</v>
      </c>
      <c r="BK30" s="122">
        <f t="shared" si="11"/>
        <v>0.35</v>
      </c>
    </row>
    <row r="31" ht="15.0" customHeight="1">
      <c r="A31" s="56">
        <v>20.0</v>
      </c>
      <c r="B31" s="124" t="str">
        <f>LEN!B31</f>
        <v/>
      </c>
      <c r="C31" s="125" t="str">
        <f>LEN!C31</f>
        <v>Sánchez Ponce Sandra Stefania</v>
      </c>
      <c r="D31" s="120">
        <f>LEN!CP31</f>
        <v>9.55</v>
      </c>
      <c r="E31" s="120">
        <f>MATE!CP31</f>
        <v>10</v>
      </c>
      <c r="F31" s="120">
        <f>INGLES!CP31</f>
        <v>9.43</v>
      </c>
      <c r="G31" s="120">
        <f>QUIMI!CP31</f>
        <v>10</v>
      </c>
      <c r="H31" s="120">
        <f>FISICA!CO31</f>
        <v>9.53</v>
      </c>
      <c r="I31" s="120">
        <f>'ED. FISICA'!CP31</f>
        <v>10</v>
      </c>
      <c r="J31" s="120">
        <f>'CONTABILIDAD GENERAL '!CP31</f>
        <v>10</v>
      </c>
      <c r="K31" s="120">
        <f>BIO!CP31</f>
        <v>10</v>
      </c>
      <c r="L31" s="120">
        <f>HIST!CP31</f>
        <v>10</v>
      </c>
      <c r="M31" s="120">
        <f>'E. C. A '!CP31</f>
        <v>10</v>
      </c>
      <c r="N31" s="120">
        <f>FILOSOFIA!CP31</f>
        <v>9.76</v>
      </c>
      <c r="O31" s="120">
        <f>EMP!CP31</f>
        <v>10</v>
      </c>
      <c r="P31" s="120">
        <f>'EDUCACION PARA LA CIUDADANIA '!CP31</f>
        <v>9.76</v>
      </c>
      <c r="Q31" s="120">
        <f>'PAQUETES CONTABLES '!CP31</f>
        <v>10</v>
      </c>
      <c r="R31" s="120">
        <f>'TRIBUTACION '!CP31</f>
        <v>8.86</v>
      </c>
      <c r="S31" s="122">
        <f t="shared" si="6"/>
        <v>9.859285714</v>
      </c>
      <c r="T31" s="292"/>
      <c r="U31" s="2"/>
      <c r="W31" s="56">
        <v>20.0</v>
      </c>
      <c r="X31" s="124" t="str">
        <f t="shared" ref="X31:Y31" si="46">B31</f>
        <v/>
      </c>
      <c r="Y31" s="188" t="str">
        <f t="shared" si="46"/>
        <v>Sánchez Ponce Sandra Stefania</v>
      </c>
      <c r="Z31" s="120">
        <f>LEN!CQ31</f>
        <v>10</v>
      </c>
      <c r="AA31" s="120">
        <f>MATE!CQ31</f>
        <v>10</v>
      </c>
      <c r="AB31" s="120">
        <f>INGLES!CQ31</f>
        <v>9.76</v>
      </c>
      <c r="AC31" s="120">
        <f>QUIMI!CQ31</f>
        <v>10</v>
      </c>
      <c r="AD31" s="120">
        <f>FISICA!CP31</f>
        <v>9.85</v>
      </c>
      <c r="AE31" s="120">
        <f>'ED. FISICA'!CQ31</f>
        <v>9.5</v>
      </c>
      <c r="AF31" s="120">
        <f>'CONTABILIDAD GENERAL '!CQ31</f>
        <v>10</v>
      </c>
      <c r="AG31" s="120">
        <f>BIO!CQ31</f>
        <v>10</v>
      </c>
      <c r="AH31" s="120">
        <f>HIST!CQ31</f>
        <v>10</v>
      </c>
      <c r="AI31" s="120">
        <f>'E. C. A '!CQ31</f>
        <v>9.7</v>
      </c>
      <c r="AJ31" s="120">
        <f>FILOSOFIA!CQ31</f>
        <v>10</v>
      </c>
      <c r="AK31" s="120">
        <f>EMP!CQ31</f>
        <v>10</v>
      </c>
      <c r="AL31" s="120">
        <f>'EDUCACION PARA LA CIUDADANIA '!CQ31</f>
        <v>10</v>
      </c>
      <c r="AM31" s="120">
        <f>'PAQUETES CONTABLES '!CQ31</f>
        <v>10</v>
      </c>
      <c r="AN31" s="120">
        <f>'TRIBUTACION '!CQ31</f>
        <v>9.85</v>
      </c>
      <c r="AO31" s="122">
        <f t="shared" si="8"/>
        <v>9.915</v>
      </c>
      <c r="AQ31" s="2" t="str">
        <f t="shared" si="9"/>
        <v/>
      </c>
      <c r="AS31" s="56">
        <v>20.0</v>
      </c>
      <c r="AT31" s="124" t="str">
        <f t="shared" ref="AT31:AU31" si="47">B31</f>
        <v/>
      </c>
      <c r="AU31" s="125" t="str">
        <f t="shared" si="47"/>
        <v>Sánchez Ponce Sandra Stefania</v>
      </c>
      <c r="AV31" s="120">
        <f>LEN!CR31</f>
        <v>0</v>
      </c>
      <c r="AW31" s="120">
        <f>MATE!CR31</f>
        <v>0</v>
      </c>
      <c r="AX31" s="120">
        <f>INGLES!CR31</f>
        <v>0</v>
      </c>
      <c r="AY31" s="120">
        <f>QUIMI!CR31</f>
        <v>0</v>
      </c>
      <c r="AZ31" s="120">
        <f>FISICA!CQ31</f>
        <v>7</v>
      </c>
      <c r="BA31" s="120">
        <f>'ED. FISICA'!CR31</f>
        <v>0</v>
      </c>
      <c r="BB31" s="120">
        <f>'CONTABILIDAD GENERAL '!CR31</f>
        <v>0</v>
      </c>
      <c r="BC31" s="120">
        <f>BIO!CR31</f>
        <v>0</v>
      </c>
      <c r="BD31" s="120">
        <f>HIST!CR31</f>
        <v>0</v>
      </c>
      <c r="BE31" s="120">
        <f>'E. C. A '!CR31</f>
        <v>0</v>
      </c>
      <c r="BF31" s="120">
        <f>FILOSOFIA!CR31</f>
        <v>0</v>
      </c>
      <c r="BG31" s="120">
        <f>EMP!CR31</f>
        <v>0</v>
      </c>
      <c r="BH31" s="120">
        <f>'EDUCACION PARA LA CIUDADANIA '!CR31</f>
        <v>0</v>
      </c>
      <c r="BI31" s="120">
        <f>'PAQUETES CONTABLES '!CR31</f>
        <v>0</v>
      </c>
      <c r="BJ31" s="120">
        <f>'TRIBUTACION '!CR31</f>
        <v>0</v>
      </c>
      <c r="BK31" s="122">
        <f t="shared" si="11"/>
        <v>0.5</v>
      </c>
    </row>
    <row r="32" ht="15.0" customHeight="1">
      <c r="A32" s="56">
        <v>21.0</v>
      </c>
      <c r="B32" s="124" t="str">
        <f>LEN!B32</f>
        <v/>
      </c>
      <c r="C32" s="125" t="str">
        <f>LEN!C32</f>
        <v>Torres Vera Anderson</v>
      </c>
      <c r="D32" s="120">
        <f>LEN!CP32</f>
        <v>8.07</v>
      </c>
      <c r="E32" s="120">
        <f>MATE!CP32</f>
        <v>6.92</v>
      </c>
      <c r="F32" s="120">
        <f>INGLES!CP32</f>
        <v>8.25</v>
      </c>
      <c r="G32" s="120">
        <f>QUIMI!CP32</f>
        <v>7.55</v>
      </c>
      <c r="H32" s="120">
        <f>FISICA!CO32</f>
        <v>6.67</v>
      </c>
      <c r="I32" s="120">
        <f>'ED. FISICA'!CP32</f>
        <v>9</v>
      </c>
      <c r="J32" s="120">
        <f>'CONTABILIDAD GENERAL '!CP32</f>
        <v>6.66</v>
      </c>
      <c r="K32" s="120">
        <f>BIO!CP32</f>
        <v>7.38</v>
      </c>
      <c r="L32" s="120">
        <f>HIST!CP32</f>
        <v>7.42</v>
      </c>
      <c r="M32" s="120">
        <f>'E. C. A '!CP32</f>
        <v>8.24</v>
      </c>
      <c r="N32" s="120">
        <f>FILOSOFIA!CP32</f>
        <v>7.25</v>
      </c>
      <c r="O32" s="120">
        <f>EMP!CP32</f>
        <v>7.16</v>
      </c>
      <c r="P32" s="120">
        <f>'EDUCACION PARA LA CIUDADANIA '!CP32</f>
        <v>7.33</v>
      </c>
      <c r="Q32" s="120">
        <f>'PAQUETES CONTABLES '!CP32</f>
        <v>7.06</v>
      </c>
      <c r="R32" s="120">
        <f>'TRIBUTACION '!CP32</f>
        <v>8.74</v>
      </c>
      <c r="S32" s="122">
        <f t="shared" si="6"/>
        <v>7.497142857</v>
      </c>
      <c r="T32" s="292"/>
      <c r="U32" s="2"/>
      <c r="W32" s="56">
        <v>21.0</v>
      </c>
      <c r="X32" s="124" t="str">
        <f t="shared" ref="X32:Y32" si="48">B32</f>
        <v/>
      </c>
      <c r="Y32" s="188" t="str">
        <f t="shared" si="48"/>
        <v>Torres Vera Anderson</v>
      </c>
      <c r="Z32" s="120">
        <f>LEN!CQ32</f>
        <v>8.32</v>
      </c>
      <c r="AA32" s="120">
        <f>MATE!CQ32</f>
        <v>7.68</v>
      </c>
      <c r="AB32" s="120">
        <f>INGLES!CQ32</f>
        <v>7.83</v>
      </c>
      <c r="AC32" s="120">
        <f>QUIMI!CQ32</f>
        <v>8.12</v>
      </c>
      <c r="AD32" s="120">
        <f>FISICA!CP32</f>
        <v>7.45</v>
      </c>
      <c r="AE32" s="120">
        <f>'ED. FISICA'!CQ32</f>
        <v>9.5</v>
      </c>
      <c r="AF32" s="120">
        <f>'CONTABILIDAD GENERAL '!CQ32</f>
        <v>8.85</v>
      </c>
      <c r="AG32" s="120">
        <f>BIO!CQ32</f>
        <v>7</v>
      </c>
      <c r="AH32" s="120">
        <f>HIST!CQ32</f>
        <v>7</v>
      </c>
      <c r="AI32" s="120">
        <f>'E. C. A '!CQ32</f>
        <v>9.06</v>
      </c>
      <c r="AJ32" s="120">
        <f>FILOSOFIA!CQ32</f>
        <v>8.71</v>
      </c>
      <c r="AK32" s="120">
        <f>EMP!CQ32</f>
        <v>8.82</v>
      </c>
      <c r="AL32" s="120">
        <f>'EDUCACION PARA LA CIUDADANIA '!CQ32</f>
        <v>8.36</v>
      </c>
      <c r="AM32" s="120">
        <f>'PAQUETES CONTABLES '!CQ32</f>
        <v>9.02</v>
      </c>
      <c r="AN32" s="120">
        <f>'TRIBUTACION '!CQ32</f>
        <v>8.53</v>
      </c>
      <c r="AO32" s="122">
        <f t="shared" si="8"/>
        <v>8.265714286</v>
      </c>
      <c r="AQ32" s="2" t="str">
        <f t="shared" si="9"/>
        <v/>
      </c>
      <c r="AS32" s="56">
        <v>21.0</v>
      </c>
      <c r="AT32" s="124" t="str">
        <f t="shared" ref="AT32:AU32" si="49">B32</f>
        <v/>
      </c>
      <c r="AU32" s="125" t="str">
        <f t="shared" si="49"/>
        <v>Torres Vera Anderson</v>
      </c>
      <c r="AV32" s="120">
        <f>LEN!CR32</f>
        <v>0</v>
      </c>
      <c r="AW32" s="120">
        <f>MATE!CR32</f>
        <v>0</v>
      </c>
      <c r="AX32" s="120">
        <f>INGLES!CR32</f>
        <v>0</v>
      </c>
      <c r="AY32" s="120">
        <f>QUIMI!CR32</f>
        <v>0</v>
      </c>
      <c r="AZ32" s="120">
        <f>FISICA!CQ32</f>
        <v>0</v>
      </c>
      <c r="BA32" s="120">
        <f>'ED. FISICA'!CR32</f>
        <v>0</v>
      </c>
      <c r="BB32" s="120">
        <f>'CONTABILIDAD GENERAL '!CR32</f>
        <v>0</v>
      </c>
      <c r="BC32" s="120">
        <f>BIO!CR32</f>
        <v>0</v>
      </c>
      <c r="BD32" s="120">
        <f>HIST!CR32</f>
        <v>0</v>
      </c>
      <c r="BE32" s="120">
        <f>'E. C. A '!CR32</f>
        <v>0</v>
      </c>
      <c r="BF32" s="120">
        <f>FILOSOFIA!CR32</f>
        <v>0</v>
      </c>
      <c r="BG32" s="120">
        <f>EMP!CR32</f>
        <v>0</v>
      </c>
      <c r="BH32" s="120">
        <f>'EDUCACION PARA LA CIUDADANIA '!CR32</f>
        <v>0</v>
      </c>
      <c r="BI32" s="120">
        <f>'PAQUETES CONTABLES '!CR32</f>
        <v>0</v>
      </c>
      <c r="BJ32" s="120">
        <f>'TRIBUTACION '!CR32</f>
        <v>0</v>
      </c>
      <c r="BK32" s="122">
        <f t="shared" si="11"/>
        <v>0</v>
      </c>
    </row>
    <row r="33" ht="15.0" customHeight="1">
      <c r="A33" s="56">
        <v>22.0</v>
      </c>
      <c r="B33" s="124" t="str">
        <f>LEN!B33</f>
        <v/>
      </c>
      <c r="C33" s="125" t="str">
        <f>LEN!C33</f>
        <v>Valero Pefiafiel Carlos José</v>
      </c>
      <c r="D33" s="120">
        <f>LEN!CP33</f>
        <v>9.08</v>
      </c>
      <c r="E33" s="120">
        <f>MATE!CP33</f>
        <v>7.56</v>
      </c>
      <c r="F33" s="120">
        <f>INGLES!CP33</f>
        <v>8.93</v>
      </c>
      <c r="G33" s="120">
        <f>QUIMI!CP33</f>
        <v>9.19</v>
      </c>
      <c r="H33" s="120">
        <f>FISICA!CO33</f>
        <v>8.48</v>
      </c>
      <c r="I33" s="120">
        <f>'ED. FISICA'!CP33</f>
        <v>9.41</v>
      </c>
      <c r="J33" s="120">
        <f>'CONTABILIDAD GENERAL '!CP33</f>
        <v>9.22</v>
      </c>
      <c r="K33" s="120">
        <f>BIO!CP33</f>
        <v>8.2</v>
      </c>
      <c r="L33" s="120">
        <f>HIST!CP33</f>
        <v>9.2</v>
      </c>
      <c r="M33" s="120">
        <f>'E. C. A '!CP33</f>
        <v>7.55</v>
      </c>
      <c r="N33" s="120">
        <f>FILOSOFIA!CP33</f>
        <v>8.68</v>
      </c>
      <c r="O33" s="120">
        <f>EMP!CP33</f>
        <v>8.67</v>
      </c>
      <c r="P33" s="120">
        <f>'EDUCACION PARA LA CIUDADANIA '!CP33</f>
        <v>8.48</v>
      </c>
      <c r="Q33" s="120">
        <f>'PAQUETES CONTABLES '!CP33</f>
        <v>8.22</v>
      </c>
      <c r="R33" s="120">
        <f>'TRIBUTACION '!CP33</f>
        <v>8.74</v>
      </c>
      <c r="S33" s="122">
        <f t="shared" si="6"/>
        <v>8.633571429</v>
      </c>
      <c r="T33" s="292"/>
      <c r="U33" s="2"/>
      <c r="W33" s="56">
        <v>22.0</v>
      </c>
      <c r="X33" s="124" t="str">
        <f t="shared" ref="X33:Y33" si="50">B33</f>
        <v/>
      </c>
      <c r="Y33" s="188" t="str">
        <f t="shared" si="50"/>
        <v>Valero Pefiafiel Carlos José</v>
      </c>
      <c r="Z33" s="120">
        <f>LEN!CQ33</f>
        <v>8.47</v>
      </c>
      <c r="AA33" s="120">
        <f>MATE!CQ33</f>
        <v>7.68</v>
      </c>
      <c r="AB33" s="120">
        <f>INGLES!CQ33</f>
        <v>7.21</v>
      </c>
      <c r="AC33" s="120">
        <f>QUIMI!CQ33</f>
        <v>7.45</v>
      </c>
      <c r="AD33" s="120">
        <f>FISICA!CP33</f>
        <v>7.45</v>
      </c>
      <c r="AE33" s="120">
        <f>'ED. FISICA'!CQ33</f>
        <v>9.5</v>
      </c>
      <c r="AF33" s="120">
        <f>'CONTABILIDAD GENERAL '!CQ33</f>
        <v>7.95</v>
      </c>
      <c r="AG33" s="120">
        <f>BIO!CQ33</f>
        <v>7.04</v>
      </c>
      <c r="AH33" s="120">
        <f>HIST!CQ33</f>
        <v>8</v>
      </c>
      <c r="AI33" s="120">
        <f>'E. C. A '!CQ33</f>
        <v>9.3</v>
      </c>
      <c r="AJ33" s="120">
        <f>FILOSOFIA!CQ33</f>
        <v>9.06</v>
      </c>
      <c r="AK33" s="120">
        <f>EMP!CQ33</f>
        <v>8.67</v>
      </c>
      <c r="AL33" s="120">
        <f>'EDUCACION PARA LA CIUDADANIA '!CQ33</f>
        <v>8.25</v>
      </c>
      <c r="AM33" s="120">
        <f>'PAQUETES CONTABLES '!CQ33</f>
        <v>8.87</v>
      </c>
      <c r="AN33" s="120">
        <f>'TRIBUTACION '!CQ33</f>
        <v>7.83</v>
      </c>
      <c r="AO33" s="122">
        <f t="shared" si="8"/>
        <v>8.207142857</v>
      </c>
      <c r="AQ33" s="2" t="str">
        <f t="shared" si="9"/>
        <v/>
      </c>
      <c r="AS33" s="56">
        <v>22.0</v>
      </c>
      <c r="AT33" s="124" t="str">
        <f t="shared" ref="AT33:AU33" si="51">B33</f>
        <v/>
      </c>
      <c r="AU33" s="125" t="str">
        <f t="shared" si="51"/>
        <v>Valero Pefiafiel Carlos José</v>
      </c>
      <c r="AV33" s="120">
        <f>LEN!CR33</f>
        <v>0</v>
      </c>
      <c r="AW33" s="120">
        <f>MATE!CR33</f>
        <v>0</v>
      </c>
      <c r="AX33" s="120">
        <f>INGLES!CR33</f>
        <v>0</v>
      </c>
      <c r="AY33" s="120">
        <f>QUIMI!CR33</f>
        <v>0</v>
      </c>
      <c r="AZ33" s="120">
        <f>FISICA!CQ33</f>
        <v>4.9</v>
      </c>
      <c r="BA33" s="120">
        <f>'ED. FISICA'!CR33</f>
        <v>0</v>
      </c>
      <c r="BB33" s="120">
        <f>'CONTABILIDAD GENERAL '!CR33</f>
        <v>0</v>
      </c>
      <c r="BC33" s="120">
        <f>BIO!CR33</f>
        <v>0</v>
      </c>
      <c r="BD33" s="120">
        <f>HIST!CR33</f>
        <v>0</v>
      </c>
      <c r="BE33" s="120">
        <f>'E. C. A '!CR33</f>
        <v>0</v>
      </c>
      <c r="BF33" s="120">
        <f>FILOSOFIA!CR33</f>
        <v>0</v>
      </c>
      <c r="BG33" s="120">
        <f>EMP!CR33</f>
        <v>0</v>
      </c>
      <c r="BH33" s="120">
        <f>'EDUCACION PARA LA CIUDADANIA '!CR33</f>
        <v>0</v>
      </c>
      <c r="BI33" s="120">
        <f>'PAQUETES CONTABLES '!CR33</f>
        <v>0</v>
      </c>
      <c r="BJ33" s="120">
        <f>'TRIBUTACION '!CR33</f>
        <v>0</v>
      </c>
      <c r="BK33" s="122">
        <f t="shared" si="11"/>
        <v>0.35</v>
      </c>
    </row>
    <row r="34" ht="15.0" customHeight="1">
      <c r="A34" s="56">
        <v>23.0</v>
      </c>
      <c r="B34" s="124" t="str">
        <f>LEN!B34</f>
        <v/>
      </c>
      <c r="C34" s="125" t="str">
        <f>LEN!C34</f>
        <v>Veliz chicaiza Alex isaac</v>
      </c>
      <c r="D34" s="120">
        <f>LEN!CP34</f>
        <v>7.57</v>
      </c>
      <c r="E34" s="120">
        <f>MATE!CP34</f>
        <v>7.04</v>
      </c>
      <c r="F34" s="120">
        <f>INGLES!CP34</f>
        <v>8.38</v>
      </c>
      <c r="G34" s="120">
        <f>QUIMI!CP34</f>
        <v>7.94</v>
      </c>
      <c r="H34" s="120">
        <f>FISICA!CO34</f>
        <v>8.19</v>
      </c>
      <c r="I34" s="120">
        <f>'ED. FISICA'!CP34</f>
        <v>8.66</v>
      </c>
      <c r="J34" s="120">
        <f>'CONTABILIDAD GENERAL '!CP34</f>
        <v>9.21</v>
      </c>
      <c r="K34" s="120">
        <f>BIO!CP34</f>
        <v>7.67</v>
      </c>
      <c r="L34" s="120">
        <f>HIST!CP34</f>
        <v>8.74</v>
      </c>
      <c r="M34" s="120">
        <f>'E. C. A '!CP34</f>
        <v>7.34</v>
      </c>
      <c r="N34" s="120">
        <f>FILOSOFIA!CP34</f>
        <v>8.39</v>
      </c>
      <c r="O34" s="120">
        <f>EMP!CP34</f>
        <v>8.14</v>
      </c>
      <c r="P34" s="120">
        <f>'EDUCACION PARA LA CIUDADANIA '!CP34</f>
        <v>8.19</v>
      </c>
      <c r="Q34" s="120">
        <f>'PAQUETES CONTABLES '!CP34</f>
        <v>7.99</v>
      </c>
      <c r="R34" s="120">
        <f>'TRIBUTACION '!CP34</f>
        <v>8.02</v>
      </c>
      <c r="S34" s="122">
        <f t="shared" si="6"/>
        <v>8.103571429</v>
      </c>
      <c r="T34" s="292"/>
      <c r="U34" s="2"/>
      <c r="W34" s="56">
        <v>23.0</v>
      </c>
      <c r="X34" s="124" t="str">
        <f t="shared" ref="X34:Y34" si="52">B34</f>
        <v/>
      </c>
      <c r="Y34" s="188" t="str">
        <f t="shared" si="52"/>
        <v>Veliz chicaiza Alex isaac</v>
      </c>
      <c r="Z34" s="120">
        <f>LEN!CQ34</f>
        <v>8.05</v>
      </c>
      <c r="AA34" s="120">
        <f>MATE!CQ34</f>
        <v>7.91</v>
      </c>
      <c r="AB34" s="120">
        <f>INGLES!CQ34</f>
        <v>8.3</v>
      </c>
      <c r="AC34" s="120">
        <f>QUIMI!CQ34</f>
        <v>7.62</v>
      </c>
      <c r="AD34" s="120">
        <f>FISICA!CP34</f>
        <v>7.45</v>
      </c>
      <c r="AE34" s="120">
        <f>'ED. FISICA'!CQ34</f>
        <v>9.5</v>
      </c>
      <c r="AF34" s="120">
        <f>'CONTABILIDAD GENERAL '!CQ34</f>
        <v>9.15</v>
      </c>
      <c r="AG34" s="120">
        <f>BIO!CQ34</f>
        <v>7.13</v>
      </c>
      <c r="AH34" s="120">
        <f>HIST!CQ34</f>
        <v>8.3</v>
      </c>
      <c r="AI34" s="120">
        <f>'E. C. A '!CQ34</f>
        <v>8.68</v>
      </c>
      <c r="AJ34" s="120">
        <f>FILOSOFIA!CQ34</f>
        <v>8.6</v>
      </c>
      <c r="AK34" s="120">
        <f>EMP!CQ34</f>
        <v>8.67</v>
      </c>
      <c r="AL34" s="120">
        <f>'EDUCACION PARA LA CIUDADANIA '!CQ34</f>
        <v>8.36</v>
      </c>
      <c r="AM34" s="120">
        <f>'PAQUETES CONTABLES '!CQ34</f>
        <v>8.32</v>
      </c>
      <c r="AN34" s="120">
        <f>'TRIBUTACION '!CQ34</f>
        <v>8.06</v>
      </c>
      <c r="AO34" s="122">
        <f t="shared" si="8"/>
        <v>8.288571429</v>
      </c>
      <c r="AQ34" s="2" t="str">
        <f t="shared" si="9"/>
        <v/>
      </c>
      <c r="AS34" s="56">
        <v>23.0</v>
      </c>
      <c r="AT34" s="124" t="str">
        <f t="shared" ref="AT34:AU34" si="53">B34</f>
        <v/>
      </c>
      <c r="AU34" s="125" t="str">
        <f t="shared" si="53"/>
        <v>Veliz chicaiza Alex isaac</v>
      </c>
      <c r="AV34" s="120">
        <f>LEN!CR34</f>
        <v>0</v>
      </c>
      <c r="AW34" s="120">
        <f>MATE!CR34</f>
        <v>0</v>
      </c>
      <c r="AX34" s="120">
        <f>INGLES!CR34</f>
        <v>0</v>
      </c>
      <c r="AY34" s="120">
        <f>QUIMI!CR34</f>
        <v>0</v>
      </c>
      <c r="AZ34" s="120">
        <f>FISICA!CQ34</f>
        <v>4.9</v>
      </c>
      <c r="BA34" s="120">
        <f>'ED. FISICA'!CR34</f>
        <v>0</v>
      </c>
      <c r="BB34" s="120">
        <f>'CONTABILIDAD GENERAL '!CR34</f>
        <v>0</v>
      </c>
      <c r="BC34" s="120">
        <f>BIO!CR34</f>
        <v>0</v>
      </c>
      <c r="BD34" s="120">
        <f>HIST!CR34</f>
        <v>0</v>
      </c>
      <c r="BE34" s="120">
        <f>'E. C. A '!CR34</f>
        <v>0</v>
      </c>
      <c r="BF34" s="120">
        <f>FILOSOFIA!CR34</f>
        <v>0</v>
      </c>
      <c r="BG34" s="120">
        <f>EMP!CR34</f>
        <v>0</v>
      </c>
      <c r="BH34" s="120">
        <f>'EDUCACION PARA LA CIUDADANIA '!CR34</f>
        <v>0</v>
      </c>
      <c r="BI34" s="120">
        <f>'PAQUETES CONTABLES '!CR34</f>
        <v>0</v>
      </c>
      <c r="BJ34" s="120">
        <f>'TRIBUTACION '!CR34</f>
        <v>0</v>
      </c>
      <c r="BK34" s="122">
        <f t="shared" si="11"/>
        <v>0.35</v>
      </c>
    </row>
    <row r="35" ht="15.0" customHeight="1">
      <c r="A35" s="56">
        <v>24.0</v>
      </c>
      <c r="B35" s="124" t="str">
        <f>LEN!B35</f>
        <v/>
      </c>
      <c r="C35" s="125" t="str">
        <f>LEN!C35</f>
        <v>Zambrano Zhicay Victor Humberto</v>
      </c>
      <c r="D35" s="120">
        <f>LEN!CP35</f>
        <v>9.69</v>
      </c>
      <c r="E35" s="120">
        <f>MATE!CP35</f>
        <v>7.52</v>
      </c>
      <c r="F35" s="120">
        <f>INGLES!CP35</f>
        <v>9.06</v>
      </c>
      <c r="G35" s="120">
        <f>QUIMI!CP35</f>
        <v>8.8</v>
      </c>
      <c r="H35" s="120">
        <f>FISICA!CO35</f>
        <v>9.25</v>
      </c>
      <c r="I35" s="120">
        <f>'ED. FISICA'!CP35</f>
        <v>9.02</v>
      </c>
      <c r="J35" s="120">
        <f>'CONTABILIDAD GENERAL '!CP35</f>
        <v>9.2</v>
      </c>
      <c r="K35" s="120">
        <f>BIO!CP35</f>
        <v>8.3</v>
      </c>
      <c r="L35" s="120">
        <f>HIST!CP35</f>
        <v>9.95</v>
      </c>
      <c r="M35" s="120">
        <f>'E. C. A '!CP35</f>
        <v>9.78</v>
      </c>
      <c r="N35" s="120">
        <f>FILOSOFIA!CP35</f>
        <v>8.79</v>
      </c>
      <c r="O35" s="120">
        <f>EMP!CP35</f>
        <v>9.91</v>
      </c>
      <c r="P35" s="120">
        <f>'EDUCACION PARA LA CIUDADANIA '!CP35</f>
        <v>8.55</v>
      </c>
      <c r="Q35" s="120">
        <f>'PAQUETES CONTABLES '!CP35</f>
        <v>9.85</v>
      </c>
      <c r="R35" s="120">
        <f>'TRIBUTACION '!CP35</f>
        <v>8.66</v>
      </c>
      <c r="S35" s="122">
        <f t="shared" si="6"/>
        <v>9.119285714</v>
      </c>
      <c r="T35" s="292"/>
      <c r="U35" s="2"/>
      <c r="W35" s="56">
        <v>24.0</v>
      </c>
      <c r="X35" s="124" t="str">
        <f t="shared" ref="X35:Y35" si="54">B35</f>
        <v/>
      </c>
      <c r="Y35" s="188" t="str">
        <f t="shared" si="54"/>
        <v>Zambrano Zhicay Victor Humberto</v>
      </c>
      <c r="Z35" s="120">
        <f>LEN!CQ35</f>
        <v>8.55</v>
      </c>
      <c r="AA35" s="120">
        <f>MATE!CQ35</f>
        <v>7.68</v>
      </c>
      <c r="AB35" s="120">
        <f>INGLES!CQ35</f>
        <v>8.68</v>
      </c>
      <c r="AC35" s="120">
        <f>QUIMI!CQ35</f>
        <v>9.05</v>
      </c>
      <c r="AD35" s="120">
        <f>FISICA!CP35</f>
        <v>8.85</v>
      </c>
      <c r="AE35" s="120">
        <f>'ED. FISICA'!CQ35</f>
        <v>9.85</v>
      </c>
      <c r="AF35" s="120">
        <f>'CONTABILIDAD GENERAL '!CQ35</f>
        <v>9</v>
      </c>
      <c r="AG35" s="120">
        <f>BIO!CQ35</f>
        <v>7.82</v>
      </c>
      <c r="AH35" s="120">
        <f>HIST!CQ35</f>
        <v>10</v>
      </c>
      <c r="AI35" s="120">
        <f>'E. C. A '!CQ35</f>
        <v>9.76</v>
      </c>
      <c r="AJ35" s="120">
        <f>FILOSOFIA!CQ35</f>
        <v>8.83</v>
      </c>
      <c r="AK35" s="120">
        <f>EMP!CQ35</f>
        <v>10</v>
      </c>
      <c r="AL35" s="120">
        <f>'EDUCACION PARA LA CIUDADANIA '!CQ35</f>
        <v>8.91</v>
      </c>
      <c r="AM35" s="120">
        <f>'PAQUETES CONTABLES '!CQ35</f>
        <v>10</v>
      </c>
      <c r="AN35" s="120">
        <f>'TRIBUTACION '!CQ35</f>
        <v>9.7</v>
      </c>
      <c r="AO35" s="122">
        <f t="shared" si="8"/>
        <v>9.07</v>
      </c>
      <c r="AQ35" s="2" t="str">
        <f t="shared" si="9"/>
        <v/>
      </c>
      <c r="AS35" s="56">
        <v>24.0</v>
      </c>
      <c r="AT35" s="124" t="str">
        <f t="shared" ref="AT35:AU35" si="55">B35</f>
        <v/>
      </c>
      <c r="AU35" s="125" t="str">
        <f t="shared" si="55"/>
        <v>Zambrano Zhicay Victor Humberto</v>
      </c>
      <c r="AV35" s="120">
        <f>LEN!CR35</f>
        <v>0</v>
      </c>
      <c r="AW35" s="120">
        <f>MATE!CR35</f>
        <v>0</v>
      </c>
      <c r="AX35" s="120">
        <f>INGLES!CR35</f>
        <v>0</v>
      </c>
      <c r="AY35" s="120">
        <f>QUIMI!CR35</f>
        <v>0</v>
      </c>
      <c r="AZ35" s="120">
        <f>FISICA!CQ35</f>
        <v>7</v>
      </c>
      <c r="BA35" s="120">
        <f>'ED. FISICA'!CR35</f>
        <v>0</v>
      </c>
      <c r="BB35" s="120">
        <f>'CONTABILIDAD GENERAL '!CR35</f>
        <v>0</v>
      </c>
      <c r="BC35" s="120">
        <f>BIO!CR35</f>
        <v>0</v>
      </c>
      <c r="BD35" s="120">
        <f>HIST!CR35</f>
        <v>0</v>
      </c>
      <c r="BE35" s="120">
        <f>'E. C. A '!CR35</f>
        <v>0</v>
      </c>
      <c r="BF35" s="120">
        <f>FILOSOFIA!CR35</f>
        <v>0</v>
      </c>
      <c r="BG35" s="120">
        <f>EMP!CR35</f>
        <v>0</v>
      </c>
      <c r="BH35" s="120">
        <f>'EDUCACION PARA LA CIUDADANIA '!CR35</f>
        <v>0</v>
      </c>
      <c r="BI35" s="120">
        <f>'PAQUETES CONTABLES '!CR35</f>
        <v>0</v>
      </c>
      <c r="BJ35" s="120">
        <f>'TRIBUTACION '!CR35</f>
        <v>0</v>
      </c>
      <c r="BK35" s="122">
        <f t="shared" si="11"/>
        <v>0.5</v>
      </c>
    </row>
    <row r="36" ht="15.0" customHeight="1">
      <c r="A36" s="56">
        <v>25.0</v>
      </c>
      <c r="B36" s="124" t="str">
        <f>LEN!B36</f>
        <v/>
      </c>
      <c r="C36" s="125" t="str">
        <f>LEN!C36</f>
        <v/>
      </c>
      <c r="D36" s="120">
        <f>LEN!CP36</f>
        <v>0</v>
      </c>
      <c r="E36" s="120">
        <f>MATE!CP36</f>
        <v>0</v>
      </c>
      <c r="F36" s="120">
        <f>INGLES!CP36</f>
        <v>0</v>
      </c>
      <c r="G36" s="120">
        <f>QUIMI!CP36</f>
        <v>0</v>
      </c>
      <c r="H36" s="120">
        <f>FISICA!CO36</f>
        <v>0</v>
      </c>
      <c r="I36" s="120">
        <f>'ED. FISICA'!CP36</f>
        <v>0</v>
      </c>
      <c r="J36" s="120">
        <f>'CONTABILIDAD GENERAL '!CP36</f>
        <v>0</v>
      </c>
      <c r="K36" s="120">
        <f>BIO!CP36</f>
        <v>0</v>
      </c>
      <c r="L36" s="120">
        <f>HIST!CP36</f>
        <v>0</v>
      </c>
      <c r="M36" s="120">
        <f>'E. C. A '!CP36</f>
        <v>0</v>
      </c>
      <c r="N36" s="120">
        <f>FILOSOFIA!CP36</f>
        <v>0</v>
      </c>
      <c r="O36" s="120">
        <f>EMP!CP36</f>
        <v>0</v>
      </c>
      <c r="P36" s="120">
        <f>'EDUCACION PARA LA CIUDADANIA '!CP36</f>
        <v>0</v>
      </c>
      <c r="Q36" s="120">
        <f>'PAQUETES CONTABLES '!CP36</f>
        <v>0</v>
      </c>
      <c r="R36" s="120">
        <f>'TRIBUTACION '!CP36</f>
        <v>0</v>
      </c>
      <c r="S36" s="122">
        <f t="shared" si="6"/>
        <v>0</v>
      </c>
      <c r="T36" s="292"/>
      <c r="U36" s="2"/>
      <c r="W36" s="56">
        <v>25.0</v>
      </c>
      <c r="X36" s="124" t="str">
        <f t="shared" ref="X36:Y36" si="56">B36</f>
        <v/>
      </c>
      <c r="Y36" s="188" t="str">
        <f t="shared" si="56"/>
        <v/>
      </c>
      <c r="Z36" s="120">
        <f>LEN!CQ36</f>
        <v>0</v>
      </c>
      <c r="AA36" s="120">
        <f>MATE!CQ36</f>
        <v>0</v>
      </c>
      <c r="AB36" s="120">
        <f>INGLES!CQ36</f>
        <v>0</v>
      </c>
      <c r="AC36" s="120">
        <f>QUIMI!CQ36</f>
        <v>0</v>
      </c>
      <c r="AD36" s="120">
        <f>FISICA!CP36</f>
        <v>0</v>
      </c>
      <c r="AE36" s="120">
        <f>'ED. FISICA'!CQ36</f>
        <v>0</v>
      </c>
      <c r="AF36" s="120">
        <f>'CONTABILIDAD GENERAL '!CQ36</f>
        <v>0</v>
      </c>
      <c r="AG36" s="120">
        <f>BIO!CQ36</f>
        <v>0</v>
      </c>
      <c r="AH36" s="120">
        <f>HIST!CQ36</f>
        <v>0</v>
      </c>
      <c r="AI36" s="120">
        <f>'E. C. A '!CQ36</f>
        <v>0</v>
      </c>
      <c r="AJ36" s="120">
        <f>FILOSOFIA!CQ36</f>
        <v>0</v>
      </c>
      <c r="AK36" s="120">
        <f>EMP!CQ36</f>
        <v>0</v>
      </c>
      <c r="AL36" s="120">
        <f>'EDUCACION PARA LA CIUDADANIA '!CQ36</f>
        <v>0</v>
      </c>
      <c r="AM36" s="120">
        <f>'PAQUETES CONTABLES '!CQ36</f>
        <v>0</v>
      </c>
      <c r="AN36" s="120">
        <f>'TRIBUTACION '!CQ36</f>
        <v>0</v>
      </c>
      <c r="AO36" s="122">
        <f t="shared" si="8"/>
        <v>0</v>
      </c>
      <c r="AQ36" s="2" t="str">
        <f t="shared" si="9"/>
        <v/>
      </c>
      <c r="AS36" s="56">
        <v>25.0</v>
      </c>
      <c r="AT36" s="124" t="str">
        <f t="shared" ref="AT36:AU36" si="57">B36</f>
        <v/>
      </c>
      <c r="AU36" s="125" t="str">
        <f t="shared" si="57"/>
        <v/>
      </c>
      <c r="AV36" s="120">
        <f>LEN!CR36</f>
        <v>0</v>
      </c>
      <c r="AW36" s="120">
        <f>MATE!CR36</f>
        <v>0</v>
      </c>
      <c r="AX36" s="120">
        <f>INGLES!CR36</f>
        <v>0</v>
      </c>
      <c r="AY36" s="120">
        <f>QUIMI!CR36</f>
        <v>0</v>
      </c>
      <c r="AZ36" s="120">
        <f>FISICA!CQ36</f>
        <v>0</v>
      </c>
      <c r="BA36" s="120">
        <f>'ED. FISICA'!CR36</f>
        <v>0</v>
      </c>
      <c r="BB36" s="120">
        <f>'CONTABILIDAD GENERAL '!CR36</f>
        <v>0</v>
      </c>
      <c r="BC36" s="120">
        <f>BIO!CR36</f>
        <v>0</v>
      </c>
      <c r="BD36" s="120">
        <f>HIST!CR36</f>
        <v>0</v>
      </c>
      <c r="BE36" s="120">
        <f>'E. C. A '!CR36</f>
        <v>0</v>
      </c>
      <c r="BF36" s="120">
        <f>FILOSOFIA!CR36</f>
        <v>0</v>
      </c>
      <c r="BG36" s="120">
        <f>EMP!CR36</f>
        <v>0</v>
      </c>
      <c r="BH36" s="120">
        <f>'EDUCACION PARA LA CIUDADANIA '!CR36</f>
        <v>0</v>
      </c>
      <c r="BI36" s="120">
        <f>'PAQUETES CONTABLES '!CR36</f>
        <v>0</v>
      </c>
      <c r="BJ36" s="120">
        <f>'TRIBUTACION '!CR36</f>
        <v>0</v>
      </c>
      <c r="BK36" s="122">
        <f t="shared" si="11"/>
        <v>0</v>
      </c>
    </row>
    <row r="37" ht="15.0" customHeight="1">
      <c r="A37" s="56">
        <v>26.0</v>
      </c>
      <c r="B37" s="124" t="str">
        <f>LEN!B37</f>
        <v/>
      </c>
      <c r="C37" s="125" t="str">
        <f>LEN!C37</f>
        <v/>
      </c>
      <c r="D37" s="120">
        <f>LEN!CP37</f>
        <v>0</v>
      </c>
      <c r="E37" s="120">
        <f>MATE!CP37</f>
        <v>0</v>
      </c>
      <c r="F37" s="120">
        <f>INGLES!CP37</f>
        <v>0</v>
      </c>
      <c r="G37" s="120">
        <f>QUIMI!CP37</f>
        <v>0</v>
      </c>
      <c r="H37" s="120">
        <f>FISICA!CO37</f>
        <v>0</v>
      </c>
      <c r="I37" s="120">
        <f>'ED. FISICA'!CP37</f>
        <v>0</v>
      </c>
      <c r="J37" s="120">
        <f>'CONTABILIDAD GENERAL '!CP37</f>
        <v>0</v>
      </c>
      <c r="K37" s="120">
        <f>BIO!CP37</f>
        <v>0</v>
      </c>
      <c r="L37" s="120">
        <f>HIST!CP37</f>
        <v>0</v>
      </c>
      <c r="M37" s="120">
        <f>'E. C. A '!CP37</f>
        <v>0</v>
      </c>
      <c r="N37" s="120">
        <f>FILOSOFIA!CP37</f>
        <v>0</v>
      </c>
      <c r="O37" s="120">
        <f>EMP!CP37</f>
        <v>0</v>
      </c>
      <c r="P37" s="120">
        <f>'EDUCACION PARA LA CIUDADANIA '!CP37</f>
        <v>0</v>
      </c>
      <c r="Q37" s="120">
        <f>'PAQUETES CONTABLES '!CP37</f>
        <v>0</v>
      </c>
      <c r="R37" s="120">
        <f>'TRIBUTACION '!CP37</f>
        <v>0</v>
      </c>
      <c r="S37" s="122">
        <f t="shared" si="6"/>
        <v>0</v>
      </c>
      <c r="T37" s="292"/>
      <c r="U37" s="2"/>
      <c r="W37" s="56">
        <v>26.0</v>
      </c>
      <c r="X37" s="124" t="str">
        <f t="shared" ref="X37:Y37" si="58">B37</f>
        <v/>
      </c>
      <c r="Y37" s="188" t="str">
        <f t="shared" si="58"/>
        <v/>
      </c>
      <c r="Z37" s="120">
        <f>LEN!CQ37</f>
        <v>0</v>
      </c>
      <c r="AA37" s="120">
        <f>MATE!CQ37</f>
        <v>0</v>
      </c>
      <c r="AB37" s="120">
        <f>INGLES!CQ37</f>
        <v>0</v>
      </c>
      <c r="AC37" s="120">
        <f>QUIMI!CQ37</f>
        <v>0</v>
      </c>
      <c r="AD37" s="120">
        <f>FISICA!CP37</f>
        <v>0</v>
      </c>
      <c r="AE37" s="120">
        <f>'ED. FISICA'!CQ37</f>
        <v>0</v>
      </c>
      <c r="AF37" s="120">
        <f>'CONTABILIDAD GENERAL '!CQ37</f>
        <v>0</v>
      </c>
      <c r="AG37" s="120">
        <f>BIO!CQ37</f>
        <v>0</v>
      </c>
      <c r="AH37" s="120">
        <f>HIST!CQ37</f>
        <v>0</v>
      </c>
      <c r="AI37" s="120">
        <f>'E. C. A '!CQ37</f>
        <v>0</v>
      </c>
      <c r="AJ37" s="120">
        <f>FILOSOFIA!CQ37</f>
        <v>0</v>
      </c>
      <c r="AK37" s="120">
        <f>EMP!CQ37</f>
        <v>0</v>
      </c>
      <c r="AL37" s="120">
        <f>'EDUCACION PARA LA CIUDADANIA '!CQ37</f>
        <v>0</v>
      </c>
      <c r="AM37" s="120">
        <f>'PAQUETES CONTABLES '!CQ37</f>
        <v>0</v>
      </c>
      <c r="AN37" s="120">
        <f>'TRIBUTACION '!CQ37</f>
        <v>0</v>
      </c>
      <c r="AO37" s="122">
        <f t="shared" si="8"/>
        <v>0</v>
      </c>
      <c r="AQ37" s="2" t="str">
        <f t="shared" si="9"/>
        <v/>
      </c>
      <c r="AS37" s="56">
        <v>26.0</v>
      </c>
      <c r="AT37" s="124" t="str">
        <f t="shared" ref="AT37:AU37" si="59">B37</f>
        <v/>
      </c>
      <c r="AU37" s="125" t="str">
        <f t="shared" si="59"/>
        <v/>
      </c>
      <c r="AV37" s="120">
        <f>LEN!CR37</f>
        <v>0</v>
      </c>
      <c r="AW37" s="120">
        <f>MATE!CR37</f>
        <v>0</v>
      </c>
      <c r="AX37" s="120">
        <f>INGLES!CR37</f>
        <v>0</v>
      </c>
      <c r="AY37" s="120">
        <f>QUIMI!CR37</f>
        <v>0</v>
      </c>
      <c r="AZ37" s="120">
        <f>FISICA!CQ37</f>
        <v>0</v>
      </c>
      <c r="BA37" s="120">
        <f>'ED. FISICA'!CR37</f>
        <v>0</v>
      </c>
      <c r="BB37" s="120">
        <f>'CONTABILIDAD GENERAL '!CR37</f>
        <v>0</v>
      </c>
      <c r="BC37" s="120">
        <f>BIO!CR37</f>
        <v>0</v>
      </c>
      <c r="BD37" s="120">
        <f>HIST!CR37</f>
        <v>0</v>
      </c>
      <c r="BE37" s="120">
        <f>'E. C. A '!CR37</f>
        <v>0</v>
      </c>
      <c r="BF37" s="120">
        <f>FILOSOFIA!CR37</f>
        <v>0</v>
      </c>
      <c r="BG37" s="120">
        <f>EMP!CR37</f>
        <v>0</v>
      </c>
      <c r="BH37" s="120">
        <f>'EDUCACION PARA LA CIUDADANIA '!CR37</f>
        <v>0</v>
      </c>
      <c r="BI37" s="120">
        <f>'PAQUETES CONTABLES '!CR37</f>
        <v>0</v>
      </c>
      <c r="BJ37" s="120">
        <f>'TRIBUTACION '!CR37</f>
        <v>0</v>
      </c>
      <c r="BK37" s="122">
        <f t="shared" si="11"/>
        <v>0</v>
      </c>
    </row>
    <row r="38" ht="15.0" customHeight="1">
      <c r="A38" s="56">
        <v>27.0</v>
      </c>
      <c r="B38" s="124" t="str">
        <f>LEN!B38</f>
        <v/>
      </c>
      <c r="C38" s="125" t="str">
        <f>LEN!C38</f>
        <v/>
      </c>
      <c r="D38" s="120">
        <f>LEN!CP38</f>
        <v>0</v>
      </c>
      <c r="E38" s="120">
        <f>MATE!CP38</f>
        <v>0</v>
      </c>
      <c r="F38" s="120">
        <f>INGLES!CP38</f>
        <v>0</v>
      </c>
      <c r="G38" s="120">
        <f>QUIMI!CP38</f>
        <v>0</v>
      </c>
      <c r="H38" s="120">
        <f>FISICA!CO38</f>
        <v>0</v>
      </c>
      <c r="I38" s="120">
        <f>'ED. FISICA'!CP38</f>
        <v>0</v>
      </c>
      <c r="J38" s="120">
        <f>'CONTABILIDAD GENERAL '!CP38</f>
        <v>0</v>
      </c>
      <c r="K38" s="120">
        <f>BIO!CP38</f>
        <v>0</v>
      </c>
      <c r="L38" s="120">
        <f>HIST!CP38</f>
        <v>0</v>
      </c>
      <c r="M38" s="120">
        <f>'E. C. A '!CP38</f>
        <v>0</v>
      </c>
      <c r="N38" s="120">
        <f>FILOSOFIA!CP38</f>
        <v>0</v>
      </c>
      <c r="O38" s="120">
        <f>EMP!CP38</f>
        <v>0</v>
      </c>
      <c r="P38" s="120">
        <f>'EDUCACION PARA LA CIUDADANIA '!CP38</f>
        <v>0</v>
      </c>
      <c r="Q38" s="120">
        <f>'PAQUETES CONTABLES '!CP38</f>
        <v>0</v>
      </c>
      <c r="R38" s="120">
        <f>'TRIBUTACION '!CP38</f>
        <v>0</v>
      </c>
      <c r="S38" s="122">
        <f t="shared" si="6"/>
        <v>0</v>
      </c>
      <c r="T38" s="292"/>
      <c r="U38" s="2"/>
      <c r="W38" s="56">
        <v>27.0</v>
      </c>
      <c r="X38" s="124" t="str">
        <f t="shared" ref="X38:Y38" si="60">B38</f>
        <v/>
      </c>
      <c r="Y38" s="188" t="str">
        <f t="shared" si="60"/>
        <v/>
      </c>
      <c r="Z38" s="120">
        <f>LEN!CQ38</f>
        <v>0</v>
      </c>
      <c r="AA38" s="120">
        <f>MATE!CQ38</f>
        <v>0</v>
      </c>
      <c r="AB38" s="120">
        <f>INGLES!CQ38</f>
        <v>0</v>
      </c>
      <c r="AC38" s="120">
        <f>QUIMI!CQ38</f>
        <v>0</v>
      </c>
      <c r="AD38" s="120">
        <f>FISICA!CP38</f>
        <v>0</v>
      </c>
      <c r="AE38" s="120">
        <f>'ED. FISICA'!CQ38</f>
        <v>0</v>
      </c>
      <c r="AF38" s="120">
        <f>'CONTABILIDAD GENERAL '!CQ38</f>
        <v>0</v>
      </c>
      <c r="AG38" s="120">
        <f>BIO!CQ38</f>
        <v>0</v>
      </c>
      <c r="AH38" s="120">
        <f>HIST!CQ38</f>
        <v>0</v>
      </c>
      <c r="AI38" s="120">
        <f>'E. C. A '!CQ38</f>
        <v>0</v>
      </c>
      <c r="AJ38" s="120">
        <f>FILOSOFIA!CQ38</f>
        <v>0</v>
      </c>
      <c r="AK38" s="120">
        <f>EMP!CQ38</f>
        <v>0</v>
      </c>
      <c r="AL38" s="120">
        <f>'EDUCACION PARA LA CIUDADANIA '!CQ38</f>
        <v>0</v>
      </c>
      <c r="AM38" s="120">
        <f>'PAQUETES CONTABLES '!CQ38</f>
        <v>0</v>
      </c>
      <c r="AN38" s="120">
        <f>'TRIBUTACION '!CQ38</f>
        <v>0</v>
      </c>
      <c r="AO38" s="122">
        <f t="shared" si="8"/>
        <v>0</v>
      </c>
      <c r="AQ38" s="2" t="str">
        <f t="shared" si="9"/>
        <v/>
      </c>
      <c r="AS38" s="56">
        <v>27.0</v>
      </c>
      <c r="AT38" s="124" t="str">
        <f t="shared" ref="AT38:AU38" si="61">B38</f>
        <v/>
      </c>
      <c r="AU38" s="125" t="str">
        <f t="shared" si="61"/>
        <v/>
      </c>
      <c r="AV38" s="120">
        <f>LEN!CR38</f>
        <v>0</v>
      </c>
      <c r="AW38" s="120">
        <f>MATE!CR38</f>
        <v>0</v>
      </c>
      <c r="AX38" s="120">
        <f>INGLES!CR38</f>
        <v>0</v>
      </c>
      <c r="AY38" s="120">
        <f>QUIMI!CR38</f>
        <v>0</v>
      </c>
      <c r="AZ38" s="120">
        <f>FISICA!CQ38</f>
        <v>0</v>
      </c>
      <c r="BA38" s="120">
        <f>'ED. FISICA'!CR38</f>
        <v>0</v>
      </c>
      <c r="BB38" s="120">
        <f>'CONTABILIDAD GENERAL '!CR38</f>
        <v>0</v>
      </c>
      <c r="BC38" s="120">
        <f>BIO!CR38</f>
        <v>0</v>
      </c>
      <c r="BD38" s="120">
        <f>HIST!CR38</f>
        <v>0</v>
      </c>
      <c r="BE38" s="120">
        <f>'E. C. A '!CR38</f>
        <v>0</v>
      </c>
      <c r="BF38" s="120">
        <f>FILOSOFIA!CR38</f>
        <v>0</v>
      </c>
      <c r="BG38" s="120">
        <f>EMP!CR38</f>
        <v>0</v>
      </c>
      <c r="BH38" s="120">
        <f>'EDUCACION PARA LA CIUDADANIA '!CR38</f>
        <v>0</v>
      </c>
      <c r="BI38" s="120">
        <f>'PAQUETES CONTABLES '!CR38</f>
        <v>0</v>
      </c>
      <c r="BJ38" s="120">
        <f>'TRIBUTACION '!CR38</f>
        <v>0</v>
      </c>
      <c r="BK38" s="122">
        <f t="shared" si="11"/>
        <v>0</v>
      </c>
    </row>
    <row r="39" ht="15.0" customHeight="1">
      <c r="A39" s="56">
        <v>28.0</v>
      </c>
      <c r="B39" s="124" t="str">
        <f>LEN!B39</f>
        <v/>
      </c>
      <c r="C39" s="125" t="str">
        <f>LEN!C39</f>
        <v/>
      </c>
      <c r="D39" s="120">
        <f>LEN!CP39</f>
        <v>0</v>
      </c>
      <c r="E39" s="120">
        <f>MATE!CP39</f>
        <v>0</v>
      </c>
      <c r="F39" s="120">
        <f>INGLES!CP39</f>
        <v>0</v>
      </c>
      <c r="G39" s="120">
        <f>QUIMI!CP39</f>
        <v>0</v>
      </c>
      <c r="H39" s="120">
        <f>FISICA!CO39</f>
        <v>0</v>
      </c>
      <c r="I39" s="120">
        <f>'ED. FISICA'!CP39</f>
        <v>0</v>
      </c>
      <c r="J39" s="120">
        <f>'CONTABILIDAD GENERAL '!CP39</f>
        <v>0</v>
      </c>
      <c r="K39" s="120">
        <f>BIO!CP39</f>
        <v>0</v>
      </c>
      <c r="L39" s="120">
        <f>HIST!CP39</f>
        <v>0</v>
      </c>
      <c r="M39" s="120">
        <f>'E. C. A '!CP39</f>
        <v>0</v>
      </c>
      <c r="N39" s="120">
        <f>FILOSOFIA!CP39</f>
        <v>0</v>
      </c>
      <c r="O39" s="120">
        <f>EMP!CP39</f>
        <v>0</v>
      </c>
      <c r="P39" s="120">
        <f>'EDUCACION PARA LA CIUDADANIA '!CP39</f>
        <v>0</v>
      </c>
      <c r="Q39" s="120">
        <f>'PAQUETES CONTABLES '!CP39</f>
        <v>0</v>
      </c>
      <c r="R39" s="120">
        <f>'TRIBUTACION '!CP39</f>
        <v>0</v>
      </c>
      <c r="S39" s="122">
        <f t="shared" si="6"/>
        <v>0</v>
      </c>
      <c r="T39" s="292"/>
      <c r="U39" s="2"/>
      <c r="W39" s="56">
        <v>28.0</v>
      </c>
      <c r="X39" s="124" t="str">
        <f t="shared" ref="X39:Y39" si="62">B39</f>
        <v/>
      </c>
      <c r="Y39" s="188" t="str">
        <f t="shared" si="62"/>
        <v/>
      </c>
      <c r="Z39" s="120">
        <f>LEN!CQ39</f>
        <v>0</v>
      </c>
      <c r="AA39" s="120">
        <f>MATE!CQ39</f>
        <v>0</v>
      </c>
      <c r="AB39" s="120">
        <f>INGLES!CQ39</f>
        <v>0</v>
      </c>
      <c r="AC39" s="120">
        <f>QUIMI!CQ39</f>
        <v>0</v>
      </c>
      <c r="AD39" s="120">
        <f>FISICA!CP39</f>
        <v>0</v>
      </c>
      <c r="AE39" s="120">
        <f>'ED. FISICA'!CQ39</f>
        <v>0</v>
      </c>
      <c r="AF39" s="120">
        <f>'CONTABILIDAD GENERAL '!CQ39</f>
        <v>0</v>
      </c>
      <c r="AG39" s="120">
        <f>BIO!CQ39</f>
        <v>0</v>
      </c>
      <c r="AH39" s="120">
        <f>HIST!CQ39</f>
        <v>0</v>
      </c>
      <c r="AI39" s="120">
        <f>'E. C. A '!CQ39</f>
        <v>0</v>
      </c>
      <c r="AJ39" s="120">
        <f>FILOSOFIA!CQ39</f>
        <v>0</v>
      </c>
      <c r="AK39" s="120">
        <f>EMP!CQ39</f>
        <v>0</v>
      </c>
      <c r="AL39" s="120">
        <f>'EDUCACION PARA LA CIUDADANIA '!CQ39</f>
        <v>0</v>
      </c>
      <c r="AM39" s="120">
        <f>'PAQUETES CONTABLES '!CQ39</f>
        <v>0</v>
      </c>
      <c r="AN39" s="120">
        <f>'TRIBUTACION '!CQ39</f>
        <v>0</v>
      </c>
      <c r="AO39" s="122">
        <f t="shared" si="8"/>
        <v>0</v>
      </c>
      <c r="AQ39" s="2" t="str">
        <f t="shared" si="9"/>
        <v/>
      </c>
      <c r="AS39" s="56">
        <v>28.0</v>
      </c>
      <c r="AT39" s="124" t="str">
        <f t="shared" ref="AT39:AU39" si="63">B39</f>
        <v/>
      </c>
      <c r="AU39" s="125" t="str">
        <f t="shared" si="63"/>
        <v/>
      </c>
      <c r="AV39" s="120">
        <f>LEN!CR39</f>
        <v>0</v>
      </c>
      <c r="AW39" s="120">
        <f>MATE!CR39</f>
        <v>0</v>
      </c>
      <c r="AX39" s="120">
        <f>INGLES!CR39</f>
        <v>0</v>
      </c>
      <c r="AY39" s="120">
        <f>QUIMI!CR39</f>
        <v>0</v>
      </c>
      <c r="AZ39" s="120">
        <f>FISICA!CQ39</f>
        <v>0</v>
      </c>
      <c r="BA39" s="120">
        <f>'ED. FISICA'!CR39</f>
        <v>0</v>
      </c>
      <c r="BB39" s="120">
        <f>'CONTABILIDAD GENERAL '!CR39</f>
        <v>0</v>
      </c>
      <c r="BC39" s="120">
        <f>BIO!CR39</f>
        <v>0</v>
      </c>
      <c r="BD39" s="120">
        <f>HIST!CR39</f>
        <v>0</v>
      </c>
      <c r="BE39" s="120">
        <f>'E. C. A '!CR39</f>
        <v>0</v>
      </c>
      <c r="BF39" s="120">
        <f>FILOSOFIA!CR39</f>
        <v>0</v>
      </c>
      <c r="BG39" s="120">
        <f>EMP!CR39</f>
        <v>0</v>
      </c>
      <c r="BH39" s="120">
        <f>'EDUCACION PARA LA CIUDADANIA '!CR39</f>
        <v>0</v>
      </c>
      <c r="BI39" s="120">
        <f>'PAQUETES CONTABLES '!CR39</f>
        <v>0</v>
      </c>
      <c r="BJ39" s="120">
        <f>'TRIBUTACION '!CR39</f>
        <v>0</v>
      </c>
      <c r="BK39" s="122">
        <f t="shared" si="11"/>
        <v>0</v>
      </c>
    </row>
    <row r="40" ht="15.0" customHeight="1">
      <c r="A40" s="56">
        <v>29.0</v>
      </c>
      <c r="B40" s="124" t="str">
        <f>LEN!B40</f>
        <v/>
      </c>
      <c r="C40" s="125" t="str">
        <f>LEN!C40</f>
        <v/>
      </c>
      <c r="D40" s="120">
        <f>LEN!CP40</f>
        <v>0</v>
      </c>
      <c r="E40" s="120">
        <f>MATE!CP40</f>
        <v>0</v>
      </c>
      <c r="F40" s="120">
        <f>INGLES!CP40</f>
        <v>0</v>
      </c>
      <c r="G40" s="120">
        <f>QUIMI!CP40</f>
        <v>0</v>
      </c>
      <c r="H40" s="120">
        <f>FISICA!CO40</f>
        <v>0</v>
      </c>
      <c r="I40" s="120">
        <f>'ED. FISICA'!CP40</f>
        <v>0</v>
      </c>
      <c r="J40" s="120">
        <f>'CONTABILIDAD GENERAL '!CP40</f>
        <v>0</v>
      </c>
      <c r="K40" s="120">
        <f>BIO!CP40</f>
        <v>0</v>
      </c>
      <c r="L40" s="120">
        <f>HIST!CP40</f>
        <v>0</v>
      </c>
      <c r="M40" s="120">
        <f>'E. C. A '!CP40</f>
        <v>0</v>
      </c>
      <c r="N40" s="120">
        <f>FILOSOFIA!CP40</f>
        <v>0</v>
      </c>
      <c r="O40" s="120">
        <f>EMP!CP40</f>
        <v>0</v>
      </c>
      <c r="P40" s="120">
        <f>'EDUCACION PARA LA CIUDADANIA '!CP40</f>
        <v>0</v>
      </c>
      <c r="Q40" s="120">
        <f>'PAQUETES CONTABLES '!CP40</f>
        <v>0</v>
      </c>
      <c r="R40" s="120">
        <f>'TRIBUTACION '!CP40</f>
        <v>0</v>
      </c>
      <c r="S40" s="122">
        <f t="shared" si="6"/>
        <v>0</v>
      </c>
      <c r="T40" s="292"/>
      <c r="U40" s="2"/>
      <c r="W40" s="56">
        <v>29.0</v>
      </c>
      <c r="X40" s="124" t="str">
        <f t="shared" ref="X40:Y40" si="64">B40</f>
        <v/>
      </c>
      <c r="Y40" s="188" t="str">
        <f t="shared" si="64"/>
        <v/>
      </c>
      <c r="Z40" s="120">
        <f>LEN!CQ40</f>
        <v>0</v>
      </c>
      <c r="AA40" s="120">
        <f>MATE!CQ40</f>
        <v>0</v>
      </c>
      <c r="AB40" s="120">
        <f>INGLES!CQ40</f>
        <v>0</v>
      </c>
      <c r="AC40" s="120">
        <f>QUIMI!CQ40</f>
        <v>0</v>
      </c>
      <c r="AD40" s="120">
        <f>FISICA!CP40</f>
        <v>0</v>
      </c>
      <c r="AE40" s="120">
        <f>'ED. FISICA'!CQ40</f>
        <v>0</v>
      </c>
      <c r="AF40" s="120">
        <f>'CONTABILIDAD GENERAL '!CQ40</f>
        <v>0</v>
      </c>
      <c r="AG40" s="120">
        <f>BIO!CQ40</f>
        <v>0</v>
      </c>
      <c r="AH40" s="120">
        <f>HIST!CQ40</f>
        <v>0</v>
      </c>
      <c r="AI40" s="120">
        <f>'E. C. A '!CQ40</f>
        <v>0</v>
      </c>
      <c r="AJ40" s="120">
        <f>FILOSOFIA!CQ40</f>
        <v>0</v>
      </c>
      <c r="AK40" s="120">
        <f>EMP!CQ40</f>
        <v>0</v>
      </c>
      <c r="AL40" s="120">
        <f>'EDUCACION PARA LA CIUDADANIA '!CQ40</f>
        <v>0</v>
      </c>
      <c r="AM40" s="120">
        <f>'PAQUETES CONTABLES '!CQ40</f>
        <v>0</v>
      </c>
      <c r="AN40" s="120">
        <f>'TRIBUTACION '!CQ40</f>
        <v>0</v>
      </c>
      <c r="AO40" s="122">
        <f t="shared" si="8"/>
        <v>0</v>
      </c>
      <c r="AQ40" s="2" t="str">
        <f t="shared" si="9"/>
        <v/>
      </c>
      <c r="AS40" s="56">
        <v>29.0</v>
      </c>
      <c r="AT40" s="124" t="str">
        <f t="shared" ref="AT40:AU40" si="65">B40</f>
        <v/>
      </c>
      <c r="AU40" s="125" t="str">
        <f t="shared" si="65"/>
        <v/>
      </c>
      <c r="AV40" s="120">
        <f>LEN!CR40</f>
        <v>0</v>
      </c>
      <c r="AW40" s="120">
        <f>MATE!CR40</f>
        <v>0</v>
      </c>
      <c r="AX40" s="120">
        <f>INGLES!CR40</f>
        <v>0</v>
      </c>
      <c r="AY40" s="120">
        <f>QUIMI!CR40</f>
        <v>0</v>
      </c>
      <c r="AZ40" s="120">
        <f>FISICA!CQ40</f>
        <v>0</v>
      </c>
      <c r="BA40" s="120">
        <f>'ED. FISICA'!CR40</f>
        <v>0</v>
      </c>
      <c r="BB40" s="120">
        <f>'CONTABILIDAD GENERAL '!CR40</f>
        <v>0</v>
      </c>
      <c r="BC40" s="120">
        <f>BIO!CR40</f>
        <v>0</v>
      </c>
      <c r="BD40" s="120">
        <f>HIST!CR40</f>
        <v>0</v>
      </c>
      <c r="BE40" s="120">
        <f>'E. C. A '!CR40</f>
        <v>0</v>
      </c>
      <c r="BF40" s="120">
        <f>FILOSOFIA!CR40</f>
        <v>0</v>
      </c>
      <c r="BG40" s="120">
        <f>EMP!CR40</f>
        <v>0</v>
      </c>
      <c r="BH40" s="120">
        <f>'EDUCACION PARA LA CIUDADANIA '!CR40</f>
        <v>0</v>
      </c>
      <c r="BI40" s="120">
        <f>'PAQUETES CONTABLES '!CR40</f>
        <v>0</v>
      </c>
      <c r="BJ40" s="120">
        <f>'TRIBUTACION '!CR40</f>
        <v>0</v>
      </c>
      <c r="BK40" s="122">
        <f t="shared" si="11"/>
        <v>0</v>
      </c>
    </row>
    <row r="41" ht="15.0" customHeight="1">
      <c r="A41" s="56">
        <v>30.0</v>
      </c>
      <c r="B41" s="124" t="str">
        <f>LEN!B41</f>
        <v/>
      </c>
      <c r="C41" s="125" t="str">
        <f>LEN!C41</f>
        <v/>
      </c>
      <c r="D41" s="120">
        <f>LEN!CP41</f>
        <v>0</v>
      </c>
      <c r="E41" s="120">
        <f>MATE!CP41</f>
        <v>0</v>
      </c>
      <c r="F41" s="120">
        <f>INGLES!CP41</f>
        <v>0</v>
      </c>
      <c r="G41" s="120">
        <f>QUIMI!CP41</f>
        <v>0</v>
      </c>
      <c r="H41" s="120">
        <f>FISICA!CO41</f>
        <v>0</v>
      </c>
      <c r="I41" s="120">
        <f>'ED. FISICA'!CP41</f>
        <v>0</v>
      </c>
      <c r="J41" s="120">
        <f>'CONTABILIDAD GENERAL '!CP41</f>
        <v>0</v>
      </c>
      <c r="K41" s="120">
        <f>BIO!CP41</f>
        <v>0</v>
      </c>
      <c r="L41" s="120">
        <f>HIST!CP41</f>
        <v>0</v>
      </c>
      <c r="M41" s="120">
        <f>'E. C. A '!CP41</f>
        <v>0</v>
      </c>
      <c r="N41" s="120">
        <f>FILOSOFIA!CP41</f>
        <v>0</v>
      </c>
      <c r="O41" s="120">
        <f>EMP!CP41</f>
        <v>0</v>
      </c>
      <c r="P41" s="120">
        <f>'EDUCACION PARA LA CIUDADANIA '!CP41</f>
        <v>0</v>
      </c>
      <c r="Q41" s="120">
        <f>'PAQUETES CONTABLES '!CP41</f>
        <v>0</v>
      </c>
      <c r="R41" s="120">
        <f>'TRIBUTACION '!CP41</f>
        <v>0</v>
      </c>
      <c r="S41" s="122">
        <f t="shared" si="6"/>
        <v>0</v>
      </c>
      <c r="T41" s="292"/>
      <c r="U41" s="2"/>
      <c r="W41" s="56">
        <v>30.0</v>
      </c>
      <c r="X41" s="124" t="str">
        <f t="shared" ref="X41:Y41" si="66">B41</f>
        <v/>
      </c>
      <c r="Y41" s="188" t="str">
        <f t="shared" si="66"/>
        <v/>
      </c>
      <c r="Z41" s="120">
        <f>LEN!CQ41</f>
        <v>0</v>
      </c>
      <c r="AA41" s="120">
        <f>MATE!CQ41</f>
        <v>0</v>
      </c>
      <c r="AB41" s="120">
        <f>INGLES!CQ41</f>
        <v>0</v>
      </c>
      <c r="AC41" s="120">
        <f>QUIMI!CQ41</f>
        <v>0</v>
      </c>
      <c r="AD41" s="120">
        <f>FISICA!CP41</f>
        <v>0</v>
      </c>
      <c r="AE41" s="120">
        <f>'ED. FISICA'!CQ41</f>
        <v>0</v>
      </c>
      <c r="AF41" s="120">
        <f>'CONTABILIDAD GENERAL '!CQ41</f>
        <v>0</v>
      </c>
      <c r="AG41" s="120">
        <f>BIO!CQ41</f>
        <v>0</v>
      </c>
      <c r="AH41" s="120">
        <f>HIST!CQ41</f>
        <v>0</v>
      </c>
      <c r="AI41" s="120">
        <f>'E. C. A '!CQ41</f>
        <v>0</v>
      </c>
      <c r="AJ41" s="120">
        <f>FILOSOFIA!CQ41</f>
        <v>0</v>
      </c>
      <c r="AK41" s="120">
        <f>EMP!CQ41</f>
        <v>0</v>
      </c>
      <c r="AL41" s="120">
        <f>'EDUCACION PARA LA CIUDADANIA '!CQ41</f>
        <v>0</v>
      </c>
      <c r="AM41" s="120">
        <f>'PAQUETES CONTABLES '!CQ41</f>
        <v>0</v>
      </c>
      <c r="AN41" s="120">
        <f>'TRIBUTACION '!CQ41</f>
        <v>0</v>
      </c>
      <c r="AO41" s="122">
        <f t="shared" si="8"/>
        <v>0</v>
      </c>
      <c r="AQ41" s="2" t="str">
        <f t="shared" si="9"/>
        <v/>
      </c>
      <c r="AS41" s="56">
        <v>30.0</v>
      </c>
      <c r="AT41" s="124" t="str">
        <f t="shared" ref="AT41:AU41" si="67">B41</f>
        <v/>
      </c>
      <c r="AU41" s="125" t="str">
        <f t="shared" si="67"/>
        <v/>
      </c>
      <c r="AV41" s="120">
        <f>LEN!CR41</f>
        <v>0</v>
      </c>
      <c r="AW41" s="120">
        <f>MATE!CR41</f>
        <v>0</v>
      </c>
      <c r="AX41" s="120">
        <f>INGLES!CR41</f>
        <v>0</v>
      </c>
      <c r="AY41" s="120">
        <f>QUIMI!CR41</f>
        <v>0</v>
      </c>
      <c r="AZ41" s="120">
        <f>FISICA!CQ41</f>
        <v>0</v>
      </c>
      <c r="BA41" s="120">
        <f>'ED. FISICA'!CR41</f>
        <v>0</v>
      </c>
      <c r="BB41" s="120">
        <f>'CONTABILIDAD GENERAL '!CR41</f>
        <v>0</v>
      </c>
      <c r="BC41" s="120">
        <f>BIO!CR41</f>
        <v>0</v>
      </c>
      <c r="BD41" s="120">
        <f>HIST!CR41</f>
        <v>0</v>
      </c>
      <c r="BE41" s="120">
        <f>'E. C. A '!CR41</f>
        <v>0</v>
      </c>
      <c r="BF41" s="120">
        <f>FILOSOFIA!CR41</f>
        <v>0</v>
      </c>
      <c r="BG41" s="120">
        <f>EMP!CR41</f>
        <v>0</v>
      </c>
      <c r="BH41" s="120">
        <f>'EDUCACION PARA LA CIUDADANIA '!CR41</f>
        <v>0</v>
      </c>
      <c r="BI41" s="120">
        <f>'PAQUETES CONTABLES '!CR41</f>
        <v>0</v>
      </c>
      <c r="BJ41" s="120">
        <f>'TRIBUTACION '!CR41</f>
        <v>0</v>
      </c>
      <c r="BK41" s="122">
        <f t="shared" si="11"/>
        <v>0</v>
      </c>
    </row>
    <row r="42" ht="15.0" customHeight="1">
      <c r="A42" s="56">
        <v>31.0</v>
      </c>
      <c r="B42" s="124" t="str">
        <f>LEN!B42</f>
        <v/>
      </c>
      <c r="C42" s="125" t="str">
        <f>LEN!C42</f>
        <v/>
      </c>
      <c r="D42" s="120">
        <f>LEN!CP42</f>
        <v>0</v>
      </c>
      <c r="E42" s="120">
        <f>MATE!CP42</f>
        <v>0</v>
      </c>
      <c r="F42" s="120">
        <f>INGLES!CP42</f>
        <v>0</v>
      </c>
      <c r="G42" s="120">
        <f>QUIMI!CP42</f>
        <v>0</v>
      </c>
      <c r="H42" s="120">
        <f>FISICA!CO42</f>
        <v>0</v>
      </c>
      <c r="I42" s="120">
        <f>'ED. FISICA'!CP42</f>
        <v>0</v>
      </c>
      <c r="J42" s="120">
        <f>'CONTABILIDAD GENERAL '!CP42</f>
        <v>0</v>
      </c>
      <c r="K42" s="120">
        <f>BIO!CP42</f>
        <v>0</v>
      </c>
      <c r="L42" s="120">
        <f>HIST!CP42</f>
        <v>0</v>
      </c>
      <c r="M42" s="120">
        <f>'E. C. A '!CP42</f>
        <v>0</v>
      </c>
      <c r="N42" s="120">
        <f>FILOSOFIA!CP42</f>
        <v>0</v>
      </c>
      <c r="O42" s="120">
        <f>EMP!CP42</f>
        <v>0</v>
      </c>
      <c r="P42" s="120">
        <f>'EDUCACION PARA LA CIUDADANIA '!CP42</f>
        <v>0</v>
      </c>
      <c r="Q42" s="120">
        <f>'PAQUETES CONTABLES '!CP42</f>
        <v>0</v>
      </c>
      <c r="R42" s="120">
        <f>'TRIBUTACION '!CP42</f>
        <v>0</v>
      </c>
      <c r="S42" s="122">
        <f t="shared" si="6"/>
        <v>0</v>
      </c>
      <c r="T42" s="292"/>
      <c r="U42" s="2"/>
      <c r="W42" s="56">
        <v>31.0</v>
      </c>
      <c r="X42" s="124" t="str">
        <f t="shared" ref="X42:Y42" si="68">B42</f>
        <v/>
      </c>
      <c r="Y42" s="188" t="str">
        <f t="shared" si="68"/>
        <v/>
      </c>
      <c r="Z42" s="120">
        <f>LEN!CQ42</f>
        <v>0</v>
      </c>
      <c r="AA42" s="120">
        <f>MATE!CQ42</f>
        <v>0</v>
      </c>
      <c r="AB42" s="120">
        <f>INGLES!CQ42</f>
        <v>0</v>
      </c>
      <c r="AC42" s="120">
        <f>QUIMI!CQ42</f>
        <v>0</v>
      </c>
      <c r="AD42" s="120">
        <f>FISICA!CP42</f>
        <v>0</v>
      </c>
      <c r="AE42" s="120">
        <f>'ED. FISICA'!CQ42</f>
        <v>0</v>
      </c>
      <c r="AF42" s="120">
        <f>'CONTABILIDAD GENERAL '!CQ42</f>
        <v>0</v>
      </c>
      <c r="AG42" s="120">
        <f>BIO!CQ42</f>
        <v>0</v>
      </c>
      <c r="AH42" s="120">
        <f>HIST!CQ42</f>
        <v>0</v>
      </c>
      <c r="AI42" s="120">
        <f>'E. C. A '!CQ42</f>
        <v>0</v>
      </c>
      <c r="AJ42" s="120">
        <f>FILOSOFIA!CQ42</f>
        <v>0</v>
      </c>
      <c r="AK42" s="120">
        <f>EMP!CQ42</f>
        <v>0</v>
      </c>
      <c r="AL42" s="120">
        <f>'EDUCACION PARA LA CIUDADANIA '!CQ42</f>
        <v>0</v>
      </c>
      <c r="AM42" s="120">
        <f>'PAQUETES CONTABLES '!CQ42</f>
        <v>0</v>
      </c>
      <c r="AN42" s="120">
        <f>'TRIBUTACION '!CQ42</f>
        <v>0</v>
      </c>
      <c r="AO42" s="122">
        <f t="shared" si="8"/>
        <v>0</v>
      </c>
      <c r="AQ42" s="2" t="str">
        <f t="shared" si="9"/>
        <v/>
      </c>
      <c r="AS42" s="56">
        <v>31.0</v>
      </c>
      <c r="AT42" s="124" t="str">
        <f t="shared" ref="AT42:AU42" si="69">B42</f>
        <v/>
      </c>
      <c r="AU42" s="125" t="str">
        <f t="shared" si="69"/>
        <v/>
      </c>
      <c r="AV42" s="120">
        <f>LEN!CR42</f>
        <v>0</v>
      </c>
      <c r="AW42" s="120">
        <f>MATE!CR42</f>
        <v>0</v>
      </c>
      <c r="AX42" s="120">
        <f>INGLES!CR42</f>
        <v>0</v>
      </c>
      <c r="AY42" s="120">
        <f>QUIMI!CR42</f>
        <v>0</v>
      </c>
      <c r="AZ42" s="120">
        <f>FISICA!CQ42</f>
        <v>0</v>
      </c>
      <c r="BA42" s="120">
        <f>'ED. FISICA'!CR42</f>
        <v>0</v>
      </c>
      <c r="BB42" s="120">
        <f>'CONTABILIDAD GENERAL '!CR42</f>
        <v>0</v>
      </c>
      <c r="BC42" s="120">
        <f>BIO!CR42</f>
        <v>0</v>
      </c>
      <c r="BD42" s="120">
        <f>HIST!CR42</f>
        <v>0</v>
      </c>
      <c r="BE42" s="120">
        <f>'E. C. A '!CR42</f>
        <v>0</v>
      </c>
      <c r="BF42" s="120">
        <f>FILOSOFIA!CR42</f>
        <v>0</v>
      </c>
      <c r="BG42" s="120">
        <f>EMP!CR42</f>
        <v>0</v>
      </c>
      <c r="BH42" s="120">
        <f>'EDUCACION PARA LA CIUDADANIA '!CR42</f>
        <v>0</v>
      </c>
      <c r="BI42" s="120">
        <f>'PAQUETES CONTABLES '!CR42</f>
        <v>0</v>
      </c>
      <c r="BJ42" s="120">
        <f>'TRIBUTACION '!CR42</f>
        <v>0</v>
      </c>
      <c r="BK42" s="122">
        <f t="shared" si="11"/>
        <v>0</v>
      </c>
    </row>
    <row r="43" ht="15.0" customHeight="1">
      <c r="A43" s="56">
        <v>32.0</v>
      </c>
      <c r="B43" s="124" t="str">
        <f>LEN!B43</f>
        <v/>
      </c>
      <c r="C43" s="125" t="str">
        <f>LEN!C43</f>
        <v/>
      </c>
      <c r="D43" s="120">
        <f>LEN!CP43</f>
        <v>0</v>
      </c>
      <c r="E43" s="120">
        <f>MATE!CP43</f>
        <v>0</v>
      </c>
      <c r="F43" s="120">
        <f>INGLES!CP43</f>
        <v>0</v>
      </c>
      <c r="G43" s="120">
        <f>QUIMI!CP43</f>
        <v>0</v>
      </c>
      <c r="H43" s="120">
        <f>FISICA!CO43</f>
        <v>0</v>
      </c>
      <c r="I43" s="120">
        <f>'ED. FISICA'!CP43</f>
        <v>0</v>
      </c>
      <c r="J43" s="120">
        <f>'CONTABILIDAD GENERAL '!CP43</f>
        <v>0</v>
      </c>
      <c r="K43" s="120">
        <f>BIO!CP43</f>
        <v>0</v>
      </c>
      <c r="L43" s="120">
        <f>HIST!CP43</f>
        <v>0</v>
      </c>
      <c r="M43" s="120">
        <f>'E. C. A '!CP43</f>
        <v>0</v>
      </c>
      <c r="N43" s="120">
        <f>FILOSOFIA!CP43</f>
        <v>0</v>
      </c>
      <c r="O43" s="120">
        <f>EMP!CP43</f>
        <v>0</v>
      </c>
      <c r="P43" s="120">
        <f>'EDUCACION PARA LA CIUDADANIA '!CP43</f>
        <v>0</v>
      </c>
      <c r="Q43" s="120">
        <f>'PAQUETES CONTABLES '!CP43</f>
        <v>0</v>
      </c>
      <c r="R43" s="120">
        <f>'TRIBUTACION '!CP43</f>
        <v>0</v>
      </c>
      <c r="S43" s="122">
        <f t="shared" si="6"/>
        <v>0</v>
      </c>
      <c r="T43" s="292"/>
      <c r="U43" s="2"/>
      <c r="W43" s="56">
        <v>32.0</v>
      </c>
      <c r="X43" s="124" t="str">
        <f t="shared" ref="X43:Y43" si="70">B43</f>
        <v/>
      </c>
      <c r="Y43" s="188" t="str">
        <f t="shared" si="70"/>
        <v/>
      </c>
      <c r="Z43" s="120">
        <f>LEN!CQ43</f>
        <v>0</v>
      </c>
      <c r="AA43" s="120">
        <f>MATE!CQ43</f>
        <v>0</v>
      </c>
      <c r="AB43" s="120">
        <f>INGLES!CQ43</f>
        <v>0</v>
      </c>
      <c r="AC43" s="120">
        <f>QUIMI!CQ43</f>
        <v>0</v>
      </c>
      <c r="AD43" s="120">
        <f>FISICA!CP43</f>
        <v>0</v>
      </c>
      <c r="AE43" s="120">
        <f>'ED. FISICA'!CQ43</f>
        <v>0</v>
      </c>
      <c r="AF43" s="120">
        <f>'CONTABILIDAD GENERAL '!CQ43</f>
        <v>0</v>
      </c>
      <c r="AG43" s="120">
        <f>BIO!CQ43</f>
        <v>0</v>
      </c>
      <c r="AH43" s="120">
        <f>HIST!CQ43</f>
        <v>0</v>
      </c>
      <c r="AI43" s="120">
        <f>'E. C. A '!CQ43</f>
        <v>0</v>
      </c>
      <c r="AJ43" s="120">
        <f>FILOSOFIA!CQ43</f>
        <v>0</v>
      </c>
      <c r="AK43" s="120">
        <f>EMP!CQ43</f>
        <v>0</v>
      </c>
      <c r="AL43" s="120">
        <f>'EDUCACION PARA LA CIUDADANIA '!CQ43</f>
        <v>0</v>
      </c>
      <c r="AM43" s="120">
        <f>'PAQUETES CONTABLES '!CQ43</f>
        <v>0</v>
      </c>
      <c r="AN43" s="120">
        <f>'TRIBUTACION '!CQ43</f>
        <v>0</v>
      </c>
      <c r="AO43" s="122">
        <f t="shared" si="8"/>
        <v>0</v>
      </c>
      <c r="AQ43" s="2" t="str">
        <f t="shared" si="9"/>
        <v/>
      </c>
      <c r="AS43" s="56">
        <v>32.0</v>
      </c>
      <c r="AT43" s="124" t="str">
        <f t="shared" ref="AT43:AU43" si="71">B43</f>
        <v/>
      </c>
      <c r="AU43" s="125" t="str">
        <f t="shared" si="71"/>
        <v/>
      </c>
      <c r="AV43" s="120">
        <f>LEN!CR43</f>
        <v>0</v>
      </c>
      <c r="AW43" s="120">
        <f>MATE!CR43</f>
        <v>0</v>
      </c>
      <c r="AX43" s="120">
        <f>INGLES!CR43</f>
        <v>0</v>
      </c>
      <c r="AY43" s="120">
        <f>QUIMI!CR43</f>
        <v>0</v>
      </c>
      <c r="AZ43" s="120">
        <f>FISICA!CQ43</f>
        <v>0</v>
      </c>
      <c r="BA43" s="120">
        <f>'ED. FISICA'!CR43</f>
        <v>0</v>
      </c>
      <c r="BB43" s="120">
        <f>'CONTABILIDAD GENERAL '!CR43</f>
        <v>0</v>
      </c>
      <c r="BC43" s="120">
        <f>BIO!CR43</f>
        <v>0</v>
      </c>
      <c r="BD43" s="120">
        <f>HIST!CR43</f>
        <v>0</v>
      </c>
      <c r="BE43" s="120">
        <f>'E. C. A '!CR43</f>
        <v>0</v>
      </c>
      <c r="BF43" s="120">
        <f>FILOSOFIA!CR43</f>
        <v>0</v>
      </c>
      <c r="BG43" s="120">
        <f>EMP!CR43</f>
        <v>0</v>
      </c>
      <c r="BH43" s="120">
        <f>'EDUCACION PARA LA CIUDADANIA '!CR43</f>
        <v>0</v>
      </c>
      <c r="BI43" s="120">
        <f>'PAQUETES CONTABLES '!CR43</f>
        <v>0</v>
      </c>
      <c r="BJ43" s="120">
        <f>'TRIBUTACION '!CR43</f>
        <v>0</v>
      </c>
      <c r="BK43" s="122">
        <f t="shared" si="11"/>
        <v>0</v>
      </c>
    </row>
    <row r="44" ht="15.0" customHeight="1">
      <c r="A44" s="56">
        <v>33.0</v>
      </c>
      <c r="B44" s="124" t="str">
        <f>LEN!B44</f>
        <v/>
      </c>
      <c r="C44" s="125" t="str">
        <f>LEN!C44</f>
        <v/>
      </c>
      <c r="D44" s="120">
        <f>LEN!CP44</f>
        <v>0</v>
      </c>
      <c r="E44" s="120">
        <f>MATE!CP44</f>
        <v>0</v>
      </c>
      <c r="F44" s="120">
        <f>INGLES!CP44</f>
        <v>0</v>
      </c>
      <c r="G44" s="120">
        <f>QUIMI!CP44</f>
        <v>0</v>
      </c>
      <c r="H44" s="120">
        <f>FISICA!CO44</f>
        <v>0</v>
      </c>
      <c r="I44" s="120">
        <f>'ED. FISICA'!CP44</f>
        <v>0</v>
      </c>
      <c r="J44" s="120">
        <f>'CONTABILIDAD GENERAL '!CP44</f>
        <v>0</v>
      </c>
      <c r="K44" s="120">
        <f>BIO!CP44</f>
        <v>0</v>
      </c>
      <c r="L44" s="120">
        <f>HIST!CP44</f>
        <v>0</v>
      </c>
      <c r="M44" s="120">
        <f>'E. C. A '!CP44</f>
        <v>0</v>
      </c>
      <c r="N44" s="120">
        <f>FILOSOFIA!CP44</f>
        <v>0</v>
      </c>
      <c r="O44" s="120">
        <f>EMP!CP44</f>
        <v>0</v>
      </c>
      <c r="P44" s="120">
        <f>'EDUCACION PARA LA CIUDADANIA '!CP44</f>
        <v>0</v>
      </c>
      <c r="Q44" s="120">
        <f>'PAQUETES CONTABLES '!CP44</f>
        <v>0</v>
      </c>
      <c r="R44" s="120">
        <f>'TRIBUTACION '!CP44</f>
        <v>0</v>
      </c>
      <c r="S44" s="122">
        <f t="shared" si="6"/>
        <v>0</v>
      </c>
      <c r="T44" s="292"/>
      <c r="U44" s="2"/>
      <c r="W44" s="56">
        <v>33.0</v>
      </c>
      <c r="X44" s="124" t="str">
        <f t="shared" ref="X44:Y44" si="72">B44</f>
        <v/>
      </c>
      <c r="Y44" s="188" t="str">
        <f t="shared" si="72"/>
        <v/>
      </c>
      <c r="Z44" s="120">
        <f>LEN!CQ44</f>
        <v>0</v>
      </c>
      <c r="AA44" s="120">
        <f>MATE!CQ44</f>
        <v>0</v>
      </c>
      <c r="AB44" s="120">
        <f>INGLES!CQ44</f>
        <v>0</v>
      </c>
      <c r="AC44" s="120">
        <f>QUIMI!CQ44</f>
        <v>0</v>
      </c>
      <c r="AD44" s="120">
        <f>FISICA!CP44</f>
        <v>0</v>
      </c>
      <c r="AE44" s="120">
        <f>'ED. FISICA'!CQ44</f>
        <v>0</v>
      </c>
      <c r="AF44" s="120">
        <f>'CONTABILIDAD GENERAL '!CQ44</f>
        <v>0</v>
      </c>
      <c r="AG44" s="120">
        <f>BIO!CQ44</f>
        <v>0</v>
      </c>
      <c r="AH44" s="120">
        <f>HIST!CQ44</f>
        <v>0</v>
      </c>
      <c r="AI44" s="120">
        <f>'E. C. A '!CQ44</f>
        <v>0</v>
      </c>
      <c r="AJ44" s="120">
        <f>FILOSOFIA!CQ44</f>
        <v>0</v>
      </c>
      <c r="AK44" s="120">
        <f>EMP!CQ44</f>
        <v>0</v>
      </c>
      <c r="AL44" s="120">
        <f>'EDUCACION PARA LA CIUDADANIA '!CQ44</f>
        <v>0</v>
      </c>
      <c r="AM44" s="120">
        <f>'PAQUETES CONTABLES '!CQ44</f>
        <v>0</v>
      </c>
      <c r="AN44" s="120">
        <f>'TRIBUTACION '!CQ44</f>
        <v>0</v>
      </c>
      <c r="AO44" s="122">
        <f t="shared" si="8"/>
        <v>0</v>
      </c>
      <c r="AQ44" s="2" t="str">
        <f t="shared" si="9"/>
        <v/>
      </c>
      <c r="AS44" s="56">
        <v>33.0</v>
      </c>
      <c r="AT44" s="124" t="str">
        <f t="shared" ref="AT44:AU44" si="73">B44</f>
        <v/>
      </c>
      <c r="AU44" s="125" t="str">
        <f t="shared" si="73"/>
        <v/>
      </c>
      <c r="AV44" s="120">
        <f>LEN!CR44</f>
        <v>0</v>
      </c>
      <c r="AW44" s="120">
        <f>MATE!CR44</f>
        <v>0</v>
      </c>
      <c r="AX44" s="120">
        <f>INGLES!CR44</f>
        <v>0</v>
      </c>
      <c r="AY44" s="120">
        <f>QUIMI!CR44</f>
        <v>0</v>
      </c>
      <c r="AZ44" s="120">
        <f>FISICA!CQ44</f>
        <v>0</v>
      </c>
      <c r="BA44" s="120">
        <f>'ED. FISICA'!CR44</f>
        <v>0</v>
      </c>
      <c r="BB44" s="120">
        <f>'CONTABILIDAD GENERAL '!CR44</f>
        <v>0</v>
      </c>
      <c r="BC44" s="120">
        <f>BIO!CR44</f>
        <v>0</v>
      </c>
      <c r="BD44" s="120">
        <f>HIST!CR44</f>
        <v>0</v>
      </c>
      <c r="BE44" s="120">
        <f>'E. C. A '!CR44</f>
        <v>0</v>
      </c>
      <c r="BF44" s="120">
        <f>FILOSOFIA!CR44</f>
        <v>0</v>
      </c>
      <c r="BG44" s="120">
        <f>EMP!CR44</f>
        <v>0</v>
      </c>
      <c r="BH44" s="120">
        <f>'EDUCACION PARA LA CIUDADANIA '!CR44</f>
        <v>0</v>
      </c>
      <c r="BI44" s="120">
        <f>'PAQUETES CONTABLES '!CR44</f>
        <v>0</v>
      </c>
      <c r="BJ44" s="120">
        <f>'TRIBUTACION '!CR44</f>
        <v>0</v>
      </c>
      <c r="BK44" s="122">
        <f t="shared" si="11"/>
        <v>0</v>
      </c>
    </row>
    <row r="45" ht="15.0" customHeight="1">
      <c r="A45" s="56">
        <v>34.0</v>
      </c>
      <c r="B45" s="124" t="str">
        <f>LEN!B45</f>
        <v/>
      </c>
      <c r="C45" s="125" t="str">
        <f>LEN!C45</f>
        <v/>
      </c>
      <c r="D45" s="120">
        <f>LEN!CP45</f>
        <v>0</v>
      </c>
      <c r="E45" s="120">
        <f>MATE!CP45</f>
        <v>0</v>
      </c>
      <c r="F45" s="120">
        <f>INGLES!CP45</f>
        <v>0</v>
      </c>
      <c r="G45" s="120">
        <f>QUIMI!CP45</f>
        <v>0</v>
      </c>
      <c r="H45" s="120">
        <f>FISICA!CO45</f>
        <v>0</v>
      </c>
      <c r="I45" s="120">
        <f>'ED. FISICA'!CP45</f>
        <v>0</v>
      </c>
      <c r="J45" s="120">
        <f>'CONTABILIDAD GENERAL '!CP45</f>
        <v>0</v>
      </c>
      <c r="K45" s="120">
        <f>BIO!CP45</f>
        <v>0</v>
      </c>
      <c r="L45" s="120">
        <f>HIST!CP45</f>
        <v>0</v>
      </c>
      <c r="M45" s="120">
        <f>'E. C. A '!CP45</f>
        <v>0</v>
      </c>
      <c r="N45" s="120">
        <f>FILOSOFIA!CP45</f>
        <v>0</v>
      </c>
      <c r="O45" s="120">
        <f>EMP!CP45</f>
        <v>0</v>
      </c>
      <c r="P45" s="120">
        <f>'EDUCACION PARA LA CIUDADANIA '!CP45</f>
        <v>0</v>
      </c>
      <c r="Q45" s="120">
        <f>'PAQUETES CONTABLES '!CP45</f>
        <v>0</v>
      </c>
      <c r="R45" s="120">
        <f>'TRIBUTACION '!CP45</f>
        <v>0</v>
      </c>
      <c r="S45" s="122">
        <f t="shared" si="6"/>
        <v>0</v>
      </c>
      <c r="T45" s="292"/>
      <c r="U45" s="2"/>
      <c r="W45" s="56">
        <v>34.0</v>
      </c>
      <c r="X45" s="124" t="str">
        <f t="shared" ref="X45:Y45" si="74">B45</f>
        <v/>
      </c>
      <c r="Y45" s="188" t="str">
        <f t="shared" si="74"/>
        <v/>
      </c>
      <c r="Z45" s="120">
        <f>LEN!CQ45</f>
        <v>0</v>
      </c>
      <c r="AA45" s="120">
        <f>MATE!CQ45</f>
        <v>0</v>
      </c>
      <c r="AB45" s="120">
        <f>INGLES!CQ45</f>
        <v>0</v>
      </c>
      <c r="AC45" s="120">
        <f>QUIMI!CQ45</f>
        <v>0</v>
      </c>
      <c r="AD45" s="120">
        <f>FISICA!CP45</f>
        <v>0</v>
      </c>
      <c r="AE45" s="120">
        <f>'ED. FISICA'!CQ45</f>
        <v>0</v>
      </c>
      <c r="AF45" s="120">
        <f>'CONTABILIDAD GENERAL '!CQ45</f>
        <v>0</v>
      </c>
      <c r="AG45" s="120">
        <f>BIO!CQ45</f>
        <v>0</v>
      </c>
      <c r="AH45" s="120">
        <f>HIST!CQ45</f>
        <v>0</v>
      </c>
      <c r="AI45" s="120">
        <f>'E. C. A '!CQ45</f>
        <v>0</v>
      </c>
      <c r="AJ45" s="120">
        <f>FILOSOFIA!CQ45</f>
        <v>0</v>
      </c>
      <c r="AK45" s="120">
        <f>EMP!CQ45</f>
        <v>0</v>
      </c>
      <c r="AL45" s="120">
        <f>'EDUCACION PARA LA CIUDADANIA '!CQ45</f>
        <v>0</v>
      </c>
      <c r="AM45" s="120">
        <f>'PAQUETES CONTABLES '!CQ45</f>
        <v>0</v>
      </c>
      <c r="AN45" s="120">
        <f>'TRIBUTACION '!CQ45</f>
        <v>0</v>
      </c>
      <c r="AO45" s="122">
        <f t="shared" si="8"/>
        <v>0</v>
      </c>
      <c r="AQ45" s="2" t="str">
        <f t="shared" si="9"/>
        <v/>
      </c>
      <c r="AS45" s="56">
        <v>34.0</v>
      </c>
      <c r="AT45" s="124" t="str">
        <f t="shared" ref="AT45:AU45" si="75">B45</f>
        <v/>
      </c>
      <c r="AU45" s="125" t="str">
        <f t="shared" si="75"/>
        <v/>
      </c>
      <c r="AV45" s="120">
        <f>LEN!CR45</f>
        <v>0</v>
      </c>
      <c r="AW45" s="120">
        <f>MATE!CR45</f>
        <v>0</v>
      </c>
      <c r="AX45" s="120">
        <f>INGLES!CR45</f>
        <v>0</v>
      </c>
      <c r="AY45" s="120">
        <f>QUIMI!CR45</f>
        <v>0</v>
      </c>
      <c r="AZ45" s="120">
        <f>FISICA!CQ45</f>
        <v>0</v>
      </c>
      <c r="BA45" s="120">
        <f>'ED. FISICA'!CR45</f>
        <v>0</v>
      </c>
      <c r="BB45" s="120">
        <f>'CONTABILIDAD GENERAL '!CR45</f>
        <v>0</v>
      </c>
      <c r="BC45" s="120">
        <f>BIO!CR45</f>
        <v>0</v>
      </c>
      <c r="BD45" s="120">
        <f>HIST!CR45</f>
        <v>0</v>
      </c>
      <c r="BE45" s="120">
        <f>'E. C. A '!CR45</f>
        <v>0</v>
      </c>
      <c r="BF45" s="120">
        <f>FILOSOFIA!CR45</f>
        <v>0</v>
      </c>
      <c r="BG45" s="120">
        <f>EMP!CR45</f>
        <v>0</v>
      </c>
      <c r="BH45" s="120">
        <f>'EDUCACION PARA LA CIUDADANIA '!CR45</f>
        <v>0</v>
      </c>
      <c r="BI45" s="120">
        <f>'PAQUETES CONTABLES '!CR45</f>
        <v>0</v>
      </c>
      <c r="BJ45" s="120">
        <f>'TRIBUTACION '!CR45</f>
        <v>0</v>
      </c>
      <c r="BK45" s="122">
        <f t="shared" si="11"/>
        <v>0</v>
      </c>
    </row>
    <row r="46" ht="15.0" customHeight="1">
      <c r="A46" s="56">
        <v>35.0</v>
      </c>
      <c r="B46" s="124" t="str">
        <f>LEN!B46</f>
        <v/>
      </c>
      <c r="C46" s="125" t="str">
        <f>LEN!C46</f>
        <v/>
      </c>
      <c r="D46" s="120">
        <f>LEN!CP46</f>
        <v>0</v>
      </c>
      <c r="E46" s="120">
        <f>MATE!CP46</f>
        <v>0</v>
      </c>
      <c r="F46" s="120">
        <f>INGLES!CP46</f>
        <v>0</v>
      </c>
      <c r="G46" s="120">
        <f>QUIMI!CP46</f>
        <v>0</v>
      </c>
      <c r="H46" s="120">
        <f>FISICA!CO46</f>
        <v>0</v>
      </c>
      <c r="I46" s="120">
        <f>'ED. FISICA'!CP46</f>
        <v>0</v>
      </c>
      <c r="J46" s="120">
        <f>'CONTABILIDAD GENERAL '!CP46</f>
        <v>0</v>
      </c>
      <c r="K46" s="120">
        <f>BIO!CP46</f>
        <v>0</v>
      </c>
      <c r="L46" s="120">
        <f>HIST!CP46</f>
        <v>0</v>
      </c>
      <c r="M46" s="120">
        <f>'E. C. A '!CP46</f>
        <v>0</v>
      </c>
      <c r="N46" s="120">
        <f>FILOSOFIA!CP46</f>
        <v>0</v>
      </c>
      <c r="O46" s="120">
        <f>EMP!CP46</f>
        <v>0</v>
      </c>
      <c r="P46" s="120">
        <f>'EDUCACION PARA LA CIUDADANIA '!CP46</f>
        <v>0</v>
      </c>
      <c r="Q46" s="120">
        <f>'PAQUETES CONTABLES '!CP46</f>
        <v>0</v>
      </c>
      <c r="R46" s="120">
        <f>'TRIBUTACION '!CP46</f>
        <v>0</v>
      </c>
      <c r="S46" s="122">
        <f t="shared" si="6"/>
        <v>0</v>
      </c>
      <c r="T46" s="292"/>
      <c r="U46" s="2"/>
      <c r="W46" s="56">
        <v>35.0</v>
      </c>
      <c r="X46" s="124" t="str">
        <f t="shared" ref="X46:Y46" si="76">B46</f>
        <v/>
      </c>
      <c r="Y46" s="188" t="str">
        <f t="shared" si="76"/>
        <v/>
      </c>
      <c r="Z46" s="120">
        <f>LEN!CQ46</f>
        <v>0</v>
      </c>
      <c r="AA46" s="120">
        <f>MATE!CQ46</f>
        <v>0</v>
      </c>
      <c r="AB46" s="120">
        <f>INGLES!CQ46</f>
        <v>0</v>
      </c>
      <c r="AC46" s="120">
        <f>QUIMI!CQ46</f>
        <v>0</v>
      </c>
      <c r="AD46" s="120">
        <f>FISICA!CP46</f>
        <v>0</v>
      </c>
      <c r="AE46" s="120">
        <f>'ED. FISICA'!CQ46</f>
        <v>0</v>
      </c>
      <c r="AF46" s="120">
        <f>'CONTABILIDAD GENERAL '!CQ46</f>
        <v>0</v>
      </c>
      <c r="AG46" s="120">
        <f>BIO!CQ46</f>
        <v>0</v>
      </c>
      <c r="AH46" s="120">
        <f>HIST!CQ46</f>
        <v>0</v>
      </c>
      <c r="AI46" s="120">
        <f>'E. C. A '!CQ46</f>
        <v>0</v>
      </c>
      <c r="AJ46" s="120">
        <f>FILOSOFIA!CQ46</f>
        <v>0</v>
      </c>
      <c r="AK46" s="120">
        <f>EMP!CQ46</f>
        <v>0</v>
      </c>
      <c r="AL46" s="120">
        <f>'EDUCACION PARA LA CIUDADANIA '!CQ46</f>
        <v>0</v>
      </c>
      <c r="AM46" s="120">
        <f>'PAQUETES CONTABLES '!CQ46</f>
        <v>0</v>
      </c>
      <c r="AN46" s="120">
        <f>'TRIBUTACION '!CQ46</f>
        <v>0</v>
      </c>
      <c r="AO46" s="122">
        <f t="shared" si="8"/>
        <v>0</v>
      </c>
      <c r="AQ46" s="2" t="str">
        <f t="shared" si="9"/>
        <v/>
      </c>
      <c r="AS46" s="56">
        <v>35.0</v>
      </c>
      <c r="AT46" s="124" t="str">
        <f t="shared" ref="AT46:AU46" si="77">B46</f>
        <v/>
      </c>
      <c r="AU46" s="125" t="str">
        <f t="shared" si="77"/>
        <v/>
      </c>
      <c r="AV46" s="120">
        <f>LEN!CR46</f>
        <v>0</v>
      </c>
      <c r="AW46" s="120">
        <f>MATE!CR46</f>
        <v>0</v>
      </c>
      <c r="AX46" s="120">
        <f>INGLES!CR46</f>
        <v>0</v>
      </c>
      <c r="AY46" s="120">
        <f>QUIMI!CR46</f>
        <v>0</v>
      </c>
      <c r="AZ46" s="120">
        <f>FISICA!CQ46</f>
        <v>0</v>
      </c>
      <c r="BA46" s="120">
        <f>'ED. FISICA'!CR46</f>
        <v>0</v>
      </c>
      <c r="BB46" s="120">
        <f>'CONTABILIDAD GENERAL '!CR46</f>
        <v>0</v>
      </c>
      <c r="BC46" s="120">
        <f>BIO!CR46</f>
        <v>0</v>
      </c>
      <c r="BD46" s="120">
        <f>HIST!CR46</f>
        <v>0</v>
      </c>
      <c r="BE46" s="120">
        <f>'E. C. A '!CR46</f>
        <v>0</v>
      </c>
      <c r="BF46" s="120">
        <f>FILOSOFIA!CR46</f>
        <v>0</v>
      </c>
      <c r="BG46" s="120">
        <f>EMP!CR46</f>
        <v>0</v>
      </c>
      <c r="BH46" s="120">
        <f>'EDUCACION PARA LA CIUDADANIA '!CR46</f>
        <v>0</v>
      </c>
      <c r="BI46" s="120">
        <f>'PAQUETES CONTABLES '!CR46</f>
        <v>0</v>
      </c>
      <c r="BJ46" s="120">
        <f>'TRIBUTACION '!CR46</f>
        <v>0</v>
      </c>
      <c r="BK46" s="122">
        <f t="shared" si="11"/>
        <v>0</v>
      </c>
    </row>
    <row r="47" ht="15.0" customHeight="1">
      <c r="A47" s="56">
        <v>36.0</v>
      </c>
      <c r="B47" s="124" t="str">
        <f>LEN!B47</f>
        <v/>
      </c>
      <c r="C47" s="125" t="str">
        <f>LEN!C47</f>
        <v/>
      </c>
      <c r="D47" s="120">
        <f>LEN!CP47</f>
        <v>0</v>
      </c>
      <c r="E47" s="120">
        <f>MATE!CP47</f>
        <v>0</v>
      </c>
      <c r="F47" s="120">
        <f>INGLES!CP47</f>
        <v>0</v>
      </c>
      <c r="G47" s="120">
        <f>QUIMI!CP47</f>
        <v>0</v>
      </c>
      <c r="H47" s="120">
        <f>FISICA!CO47</f>
        <v>0</v>
      </c>
      <c r="I47" s="120">
        <f>'ED. FISICA'!CP47</f>
        <v>0</v>
      </c>
      <c r="J47" s="120">
        <f>'CONTABILIDAD GENERAL '!CP47</f>
        <v>0</v>
      </c>
      <c r="K47" s="120">
        <f>BIO!CP47</f>
        <v>0</v>
      </c>
      <c r="L47" s="120">
        <f>HIST!CP47</f>
        <v>0</v>
      </c>
      <c r="M47" s="120">
        <f>'E. C. A '!CP47</f>
        <v>0</v>
      </c>
      <c r="N47" s="120">
        <f>FILOSOFIA!CP47</f>
        <v>0</v>
      </c>
      <c r="O47" s="120">
        <f>EMP!CP47</f>
        <v>0</v>
      </c>
      <c r="P47" s="120">
        <f>'EDUCACION PARA LA CIUDADANIA '!CP47</f>
        <v>0</v>
      </c>
      <c r="Q47" s="120">
        <f>'PAQUETES CONTABLES '!CP47</f>
        <v>0</v>
      </c>
      <c r="R47" s="120">
        <f>'TRIBUTACION '!CP47</f>
        <v>0</v>
      </c>
      <c r="S47" s="122">
        <f t="shared" si="6"/>
        <v>0</v>
      </c>
      <c r="T47" s="292"/>
      <c r="U47" s="2"/>
      <c r="W47" s="56">
        <v>36.0</v>
      </c>
      <c r="X47" s="124" t="str">
        <f t="shared" ref="X47:Y47" si="78">B47</f>
        <v/>
      </c>
      <c r="Y47" s="188" t="str">
        <f t="shared" si="78"/>
        <v/>
      </c>
      <c r="Z47" s="120">
        <f>LEN!CQ47</f>
        <v>0</v>
      </c>
      <c r="AA47" s="120">
        <f>MATE!CQ47</f>
        <v>0</v>
      </c>
      <c r="AB47" s="120">
        <f>INGLES!CQ47</f>
        <v>0</v>
      </c>
      <c r="AC47" s="120">
        <f>QUIMI!CQ47</f>
        <v>0</v>
      </c>
      <c r="AD47" s="120">
        <f>FISICA!CP47</f>
        <v>0</v>
      </c>
      <c r="AE47" s="120">
        <f>'ED. FISICA'!CQ47</f>
        <v>0</v>
      </c>
      <c r="AF47" s="120">
        <f>'CONTABILIDAD GENERAL '!CQ47</f>
        <v>0</v>
      </c>
      <c r="AG47" s="120">
        <f>BIO!CQ47</f>
        <v>0</v>
      </c>
      <c r="AH47" s="120">
        <f>HIST!CQ47</f>
        <v>0</v>
      </c>
      <c r="AI47" s="120">
        <f>'E. C. A '!CQ47</f>
        <v>0</v>
      </c>
      <c r="AJ47" s="120">
        <f>FILOSOFIA!CQ47</f>
        <v>0</v>
      </c>
      <c r="AK47" s="120">
        <f>EMP!CQ47</f>
        <v>0</v>
      </c>
      <c r="AL47" s="120">
        <f>'EDUCACION PARA LA CIUDADANIA '!CQ47</f>
        <v>0</v>
      </c>
      <c r="AM47" s="120">
        <f>'PAQUETES CONTABLES '!CQ47</f>
        <v>0</v>
      </c>
      <c r="AN47" s="120">
        <f>'TRIBUTACION '!CQ47</f>
        <v>0</v>
      </c>
      <c r="AO47" s="122">
        <f t="shared" si="8"/>
        <v>0</v>
      </c>
      <c r="AQ47" s="2" t="str">
        <f t="shared" si="9"/>
        <v/>
      </c>
      <c r="AS47" s="56">
        <v>36.0</v>
      </c>
      <c r="AT47" s="124" t="str">
        <f t="shared" ref="AT47:AU47" si="79">B47</f>
        <v/>
      </c>
      <c r="AU47" s="125" t="str">
        <f t="shared" si="79"/>
        <v/>
      </c>
      <c r="AV47" s="120">
        <f>LEN!CR47</f>
        <v>0</v>
      </c>
      <c r="AW47" s="120">
        <f>MATE!CR47</f>
        <v>0</v>
      </c>
      <c r="AX47" s="120">
        <f>INGLES!CR47</f>
        <v>0</v>
      </c>
      <c r="AY47" s="120">
        <f>QUIMI!CR47</f>
        <v>0</v>
      </c>
      <c r="AZ47" s="120">
        <f>FISICA!CQ47</f>
        <v>0</v>
      </c>
      <c r="BA47" s="120">
        <f>'ED. FISICA'!CR47</f>
        <v>0</v>
      </c>
      <c r="BB47" s="120">
        <f>'CONTABILIDAD GENERAL '!CR47</f>
        <v>0</v>
      </c>
      <c r="BC47" s="120">
        <f>BIO!CR47</f>
        <v>0</v>
      </c>
      <c r="BD47" s="120">
        <f>HIST!CR47</f>
        <v>0</v>
      </c>
      <c r="BE47" s="120">
        <f>'E. C. A '!CR47</f>
        <v>0</v>
      </c>
      <c r="BF47" s="120">
        <f>FILOSOFIA!CR47</f>
        <v>0</v>
      </c>
      <c r="BG47" s="120">
        <f>EMP!CR47</f>
        <v>0</v>
      </c>
      <c r="BH47" s="120">
        <f>'EDUCACION PARA LA CIUDADANIA '!CR47</f>
        <v>0</v>
      </c>
      <c r="BI47" s="120">
        <f>'PAQUETES CONTABLES '!CR47</f>
        <v>0</v>
      </c>
      <c r="BJ47" s="120">
        <f>'TRIBUTACION '!CR47</f>
        <v>0</v>
      </c>
      <c r="BK47" s="122">
        <f t="shared" si="11"/>
        <v>0</v>
      </c>
    </row>
    <row r="48" ht="15.0" customHeight="1">
      <c r="A48" s="56">
        <v>37.0</v>
      </c>
      <c r="B48" s="124" t="str">
        <f>LEN!B48</f>
        <v/>
      </c>
      <c r="C48" s="125" t="str">
        <f>LEN!C48</f>
        <v/>
      </c>
      <c r="D48" s="120">
        <f>LEN!CP48</f>
        <v>0</v>
      </c>
      <c r="E48" s="120">
        <f>MATE!CP48</f>
        <v>0</v>
      </c>
      <c r="F48" s="120">
        <f>INGLES!CP48</f>
        <v>0</v>
      </c>
      <c r="G48" s="120">
        <f>QUIMI!CP48</f>
        <v>0</v>
      </c>
      <c r="H48" s="120">
        <f>FISICA!CO48</f>
        <v>0</v>
      </c>
      <c r="I48" s="120">
        <f>'ED. FISICA'!CP48</f>
        <v>0</v>
      </c>
      <c r="J48" s="120">
        <f>'CONTABILIDAD GENERAL '!CP48</f>
        <v>0</v>
      </c>
      <c r="K48" s="120">
        <f>BIO!CP48</f>
        <v>0</v>
      </c>
      <c r="L48" s="120">
        <f>HIST!CP48</f>
        <v>0</v>
      </c>
      <c r="M48" s="120">
        <f>'E. C. A '!CP48</f>
        <v>0</v>
      </c>
      <c r="N48" s="120">
        <f>FILOSOFIA!CP48</f>
        <v>0</v>
      </c>
      <c r="O48" s="120">
        <f>EMP!CP48</f>
        <v>0</v>
      </c>
      <c r="P48" s="120">
        <f>'EDUCACION PARA LA CIUDADANIA '!CP48</f>
        <v>0</v>
      </c>
      <c r="Q48" s="120">
        <f>'PAQUETES CONTABLES '!CP48</f>
        <v>0</v>
      </c>
      <c r="R48" s="120">
        <f>'TRIBUTACION '!CP48</f>
        <v>0</v>
      </c>
      <c r="S48" s="122">
        <f t="shared" si="6"/>
        <v>0</v>
      </c>
      <c r="T48" s="292"/>
      <c r="U48" s="2"/>
      <c r="W48" s="56">
        <v>37.0</v>
      </c>
      <c r="X48" s="124" t="str">
        <f t="shared" ref="X48:Y48" si="80">B48</f>
        <v/>
      </c>
      <c r="Y48" s="188" t="str">
        <f t="shared" si="80"/>
        <v/>
      </c>
      <c r="Z48" s="120">
        <f>LEN!CQ48</f>
        <v>0</v>
      </c>
      <c r="AA48" s="120">
        <f>MATE!CQ48</f>
        <v>0</v>
      </c>
      <c r="AB48" s="120">
        <f>INGLES!CQ48</f>
        <v>0</v>
      </c>
      <c r="AC48" s="120">
        <f>QUIMI!CQ48</f>
        <v>0</v>
      </c>
      <c r="AD48" s="120">
        <f>FISICA!CP48</f>
        <v>0</v>
      </c>
      <c r="AE48" s="120">
        <f>'ED. FISICA'!CQ48</f>
        <v>0</v>
      </c>
      <c r="AF48" s="120">
        <f>'CONTABILIDAD GENERAL '!CQ48</f>
        <v>0</v>
      </c>
      <c r="AG48" s="120">
        <f>BIO!CQ48</f>
        <v>0</v>
      </c>
      <c r="AH48" s="120">
        <f>HIST!CQ48</f>
        <v>0</v>
      </c>
      <c r="AI48" s="120">
        <f>'E. C. A '!CQ48</f>
        <v>0</v>
      </c>
      <c r="AJ48" s="120">
        <f>FILOSOFIA!CQ48</f>
        <v>0</v>
      </c>
      <c r="AK48" s="120">
        <f>EMP!CQ48</f>
        <v>0</v>
      </c>
      <c r="AL48" s="120">
        <f>'EDUCACION PARA LA CIUDADANIA '!CQ48</f>
        <v>0</v>
      </c>
      <c r="AM48" s="120">
        <f>'PAQUETES CONTABLES '!CQ48</f>
        <v>0</v>
      </c>
      <c r="AN48" s="120">
        <f>'TRIBUTACION '!CQ48</f>
        <v>0</v>
      </c>
      <c r="AO48" s="122">
        <f t="shared" si="8"/>
        <v>0</v>
      </c>
      <c r="AQ48" s="2" t="str">
        <f t="shared" si="9"/>
        <v/>
      </c>
      <c r="AS48" s="56">
        <v>37.0</v>
      </c>
      <c r="AT48" s="124" t="str">
        <f t="shared" ref="AT48:AU48" si="81">B48</f>
        <v/>
      </c>
      <c r="AU48" s="125" t="str">
        <f t="shared" si="81"/>
        <v/>
      </c>
      <c r="AV48" s="120">
        <f>LEN!CR48</f>
        <v>0</v>
      </c>
      <c r="AW48" s="120">
        <f>MATE!CR48</f>
        <v>0</v>
      </c>
      <c r="AX48" s="120">
        <f>INGLES!CR48</f>
        <v>0</v>
      </c>
      <c r="AY48" s="120">
        <f>QUIMI!CR48</f>
        <v>0</v>
      </c>
      <c r="AZ48" s="120">
        <f>FISICA!CQ48</f>
        <v>0</v>
      </c>
      <c r="BA48" s="120">
        <f>'ED. FISICA'!CR48</f>
        <v>0</v>
      </c>
      <c r="BB48" s="120">
        <f>'CONTABILIDAD GENERAL '!CR48</f>
        <v>0</v>
      </c>
      <c r="BC48" s="120">
        <f>BIO!CR48</f>
        <v>0</v>
      </c>
      <c r="BD48" s="120">
        <f>HIST!CR48</f>
        <v>0</v>
      </c>
      <c r="BE48" s="120">
        <f>'E. C. A '!CR48</f>
        <v>0</v>
      </c>
      <c r="BF48" s="120">
        <f>FILOSOFIA!CR48</f>
        <v>0</v>
      </c>
      <c r="BG48" s="120">
        <f>EMP!CR48</f>
        <v>0</v>
      </c>
      <c r="BH48" s="120">
        <f>'EDUCACION PARA LA CIUDADANIA '!CR48</f>
        <v>0</v>
      </c>
      <c r="BI48" s="120">
        <f>'PAQUETES CONTABLES '!CR48</f>
        <v>0</v>
      </c>
      <c r="BJ48" s="120">
        <f>'TRIBUTACION '!CR48</f>
        <v>0</v>
      </c>
      <c r="BK48" s="122">
        <f t="shared" si="11"/>
        <v>0</v>
      </c>
    </row>
    <row r="49" ht="15.75" customHeight="1">
      <c r="A49" s="56">
        <v>38.0</v>
      </c>
      <c r="B49" s="124" t="str">
        <f>LEN!B49</f>
        <v/>
      </c>
      <c r="C49" s="125" t="str">
        <f>LEN!C49</f>
        <v/>
      </c>
      <c r="D49" s="120">
        <f>LEN!CP49</f>
        <v>0</v>
      </c>
      <c r="E49" s="120">
        <f>MATE!CP49</f>
        <v>0</v>
      </c>
      <c r="F49" s="120">
        <f>INGLES!CP49</f>
        <v>0</v>
      </c>
      <c r="G49" s="120">
        <f>QUIMI!CP49</f>
        <v>0</v>
      </c>
      <c r="H49" s="120">
        <f>FISICA!CO49</f>
        <v>0</v>
      </c>
      <c r="I49" s="120">
        <f>'ED. FISICA'!CP49</f>
        <v>0</v>
      </c>
      <c r="J49" s="120">
        <f>'CONTABILIDAD GENERAL '!CP49</f>
        <v>0</v>
      </c>
      <c r="K49" s="120">
        <f>BIO!CP49</f>
        <v>0</v>
      </c>
      <c r="L49" s="120">
        <f>HIST!CP49</f>
        <v>0</v>
      </c>
      <c r="M49" s="120">
        <f>'E. C. A '!CP49</f>
        <v>0</v>
      </c>
      <c r="N49" s="120">
        <f>FILOSOFIA!CP49</f>
        <v>0</v>
      </c>
      <c r="O49" s="120">
        <f>EMP!CP49</f>
        <v>0</v>
      </c>
      <c r="P49" s="120">
        <f>'EDUCACION PARA LA CIUDADANIA '!CP49</f>
        <v>0</v>
      </c>
      <c r="Q49" s="120">
        <f>'PAQUETES CONTABLES '!CP49</f>
        <v>0</v>
      </c>
      <c r="R49" s="120">
        <f>'TRIBUTACION '!CP49</f>
        <v>0</v>
      </c>
      <c r="S49" s="122">
        <f t="shared" si="6"/>
        <v>0</v>
      </c>
      <c r="T49" s="292"/>
      <c r="U49" s="2"/>
      <c r="W49" s="56">
        <v>38.0</v>
      </c>
      <c r="X49" s="124" t="str">
        <f t="shared" ref="X49:Y49" si="82">B49</f>
        <v/>
      </c>
      <c r="Y49" s="188" t="str">
        <f t="shared" si="82"/>
        <v/>
      </c>
      <c r="Z49" s="120">
        <f>LEN!CQ49</f>
        <v>0</v>
      </c>
      <c r="AA49" s="120">
        <f>MATE!CQ49</f>
        <v>0</v>
      </c>
      <c r="AB49" s="120">
        <f>INGLES!CQ49</f>
        <v>0</v>
      </c>
      <c r="AC49" s="120">
        <f>QUIMI!CQ49</f>
        <v>0</v>
      </c>
      <c r="AD49" s="120">
        <f>FISICA!CP49</f>
        <v>0</v>
      </c>
      <c r="AE49" s="120">
        <f>'ED. FISICA'!CQ49</f>
        <v>0</v>
      </c>
      <c r="AF49" s="120">
        <f>'CONTABILIDAD GENERAL '!CQ49</f>
        <v>0</v>
      </c>
      <c r="AG49" s="120">
        <f>BIO!CQ49</f>
        <v>0</v>
      </c>
      <c r="AH49" s="120">
        <f>HIST!CQ49</f>
        <v>0</v>
      </c>
      <c r="AI49" s="120">
        <f>'E. C. A '!CQ49</f>
        <v>0</v>
      </c>
      <c r="AJ49" s="120">
        <f>FILOSOFIA!CQ49</f>
        <v>0</v>
      </c>
      <c r="AK49" s="120">
        <f>EMP!CQ49</f>
        <v>0</v>
      </c>
      <c r="AL49" s="120">
        <f>'EDUCACION PARA LA CIUDADANIA '!CQ49</f>
        <v>0</v>
      </c>
      <c r="AM49" s="120">
        <f>'PAQUETES CONTABLES '!CQ49</f>
        <v>0</v>
      </c>
      <c r="AN49" s="120">
        <f>'TRIBUTACION '!CQ49</f>
        <v>0</v>
      </c>
      <c r="AO49" s="122">
        <f t="shared" si="8"/>
        <v>0</v>
      </c>
      <c r="AQ49" s="2" t="str">
        <f t="shared" si="9"/>
        <v/>
      </c>
      <c r="AS49" s="56">
        <v>38.0</v>
      </c>
      <c r="AT49" s="124" t="str">
        <f t="shared" ref="AT49:AU49" si="83">B49</f>
        <v/>
      </c>
      <c r="AU49" s="125" t="str">
        <f t="shared" si="83"/>
        <v/>
      </c>
      <c r="AV49" s="120">
        <f>LEN!CR49</f>
        <v>0</v>
      </c>
      <c r="AW49" s="120">
        <f>MATE!CR49</f>
        <v>0</v>
      </c>
      <c r="AX49" s="120">
        <f>INGLES!CR49</f>
        <v>0</v>
      </c>
      <c r="AY49" s="120">
        <f>QUIMI!CR49</f>
        <v>0</v>
      </c>
      <c r="AZ49" s="120">
        <f>FISICA!CQ49</f>
        <v>0</v>
      </c>
      <c r="BA49" s="120">
        <f>'ED. FISICA'!CR49</f>
        <v>0</v>
      </c>
      <c r="BB49" s="120">
        <f>'CONTABILIDAD GENERAL '!CR49</f>
        <v>0</v>
      </c>
      <c r="BC49" s="120">
        <f>BIO!CR49</f>
        <v>0</v>
      </c>
      <c r="BD49" s="120">
        <f>HIST!CR49</f>
        <v>0</v>
      </c>
      <c r="BE49" s="120">
        <f>'E. C. A '!CR49</f>
        <v>0</v>
      </c>
      <c r="BF49" s="120">
        <f>FILOSOFIA!CR49</f>
        <v>0</v>
      </c>
      <c r="BG49" s="120">
        <f>EMP!CR49</f>
        <v>0</v>
      </c>
      <c r="BH49" s="120">
        <f>'EDUCACION PARA LA CIUDADANIA '!CR49</f>
        <v>0</v>
      </c>
      <c r="BI49" s="120">
        <f>'PAQUETES CONTABLES '!CR49</f>
        <v>0</v>
      </c>
      <c r="BJ49" s="120">
        <f>'TRIBUTACION '!CR49</f>
        <v>0</v>
      </c>
      <c r="BK49" s="122">
        <f t="shared" si="11"/>
        <v>0</v>
      </c>
    </row>
    <row r="50" ht="15.75" customHeight="1">
      <c r="A50" s="56">
        <v>39.0</v>
      </c>
      <c r="B50" s="124" t="str">
        <f>LEN!B50</f>
        <v/>
      </c>
      <c r="C50" s="125" t="str">
        <f>LEN!C50</f>
        <v/>
      </c>
      <c r="D50" s="120">
        <f>LEN!CP50</f>
        <v>0</v>
      </c>
      <c r="E50" s="120">
        <f>MATE!CP50</f>
        <v>0</v>
      </c>
      <c r="F50" s="120">
        <f>INGLES!CP50</f>
        <v>0</v>
      </c>
      <c r="G50" s="120">
        <f>QUIMI!CP50</f>
        <v>0</v>
      </c>
      <c r="H50" s="120">
        <f>FISICA!CO50</f>
        <v>0</v>
      </c>
      <c r="I50" s="120">
        <f>'ED. FISICA'!CP50</f>
        <v>0</v>
      </c>
      <c r="J50" s="120">
        <f>'CONTABILIDAD GENERAL '!CP50</f>
        <v>0</v>
      </c>
      <c r="K50" s="120">
        <f>BIO!CP50</f>
        <v>0</v>
      </c>
      <c r="L50" s="120">
        <f>HIST!CP50</f>
        <v>0</v>
      </c>
      <c r="M50" s="120">
        <f>'E. C. A '!CP50</f>
        <v>0</v>
      </c>
      <c r="N50" s="120">
        <f>FILOSOFIA!CP50</f>
        <v>0</v>
      </c>
      <c r="O50" s="120">
        <f>EMP!CP50</f>
        <v>0</v>
      </c>
      <c r="P50" s="120">
        <f>'EDUCACION PARA LA CIUDADANIA '!CP50</f>
        <v>0</v>
      </c>
      <c r="Q50" s="120">
        <f>'PAQUETES CONTABLES '!CP50</f>
        <v>0</v>
      </c>
      <c r="R50" s="120">
        <f>'TRIBUTACION '!CP50</f>
        <v>0</v>
      </c>
      <c r="S50" s="122">
        <f t="shared" si="6"/>
        <v>0</v>
      </c>
      <c r="T50" s="292"/>
      <c r="U50" s="2"/>
      <c r="W50" s="56">
        <v>39.0</v>
      </c>
      <c r="X50" s="124" t="str">
        <f t="shared" ref="X50:Y50" si="84">B50</f>
        <v/>
      </c>
      <c r="Y50" s="188" t="str">
        <f t="shared" si="84"/>
        <v/>
      </c>
      <c r="Z50" s="120">
        <f>LEN!CQ50</f>
        <v>0</v>
      </c>
      <c r="AA50" s="120">
        <f>MATE!CQ50</f>
        <v>0</v>
      </c>
      <c r="AB50" s="120">
        <f>INGLES!CQ50</f>
        <v>0</v>
      </c>
      <c r="AC50" s="120">
        <f>QUIMI!CQ50</f>
        <v>0</v>
      </c>
      <c r="AD50" s="120">
        <f>FISICA!CP50</f>
        <v>0</v>
      </c>
      <c r="AE50" s="120">
        <f>'ED. FISICA'!CQ50</f>
        <v>0</v>
      </c>
      <c r="AF50" s="120">
        <f>'CONTABILIDAD GENERAL '!CQ50</f>
        <v>0</v>
      </c>
      <c r="AG50" s="120">
        <f>BIO!CQ50</f>
        <v>0</v>
      </c>
      <c r="AH50" s="120">
        <f>HIST!CQ50</f>
        <v>0</v>
      </c>
      <c r="AI50" s="120">
        <f>'E. C. A '!CQ50</f>
        <v>0</v>
      </c>
      <c r="AJ50" s="120">
        <f>FILOSOFIA!CQ50</f>
        <v>0</v>
      </c>
      <c r="AK50" s="120">
        <f>EMP!CQ50</f>
        <v>0</v>
      </c>
      <c r="AL50" s="120">
        <f>'EDUCACION PARA LA CIUDADANIA '!CQ50</f>
        <v>0</v>
      </c>
      <c r="AM50" s="120">
        <f>'PAQUETES CONTABLES '!CQ50</f>
        <v>0</v>
      </c>
      <c r="AN50" s="120">
        <f>'TRIBUTACION '!CQ50</f>
        <v>0</v>
      </c>
      <c r="AO50" s="122">
        <f t="shared" si="8"/>
        <v>0</v>
      </c>
      <c r="AQ50" s="2" t="str">
        <f t="shared" si="9"/>
        <v/>
      </c>
      <c r="AS50" s="56">
        <v>39.0</v>
      </c>
      <c r="AT50" s="124" t="str">
        <f t="shared" ref="AT50:AU50" si="85">B50</f>
        <v/>
      </c>
      <c r="AU50" s="125" t="str">
        <f t="shared" si="85"/>
        <v/>
      </c>
      <c r="AV50" s="120">
        <f>LEN!CR50</f>
        <v>0</v>
      </c>
      <c r="AW50" s="120">
        <f>MATE!CR50</f>
        <v>0</v>
      </c>
      <c r="AX50" s="120">
        <f>INGLES!CR50</f>
        <v>0</v>
      </c>
      <c r="AY50" s="120">
        <f>QUIMI!CR50</f>
        <v>0</v>
      </c>
      <c r="AZ50" s="120">
        <f>FISICA!CQ50</f>
        <v>0</v>
      </c>
      <c r="BA50" s="120">
        <f>'ED. FISICA'!CR50</f>
        <v>0</v>
      </c>
      <c r="BB50" s="120">
        <f>'CONTABILIDAD GENERAL '!CR50</f>
        <v>0</v>
      </c>
      <c r="BC50" s="120">
        <f>BIO!CR50</f>
        <v>0</v>
      </c>
      <c r="BD50" s="120">
        <f>HIST!CR50</f>
        <v>0</v>
      </c>
      <c r="BE50" s="120">
        <f>'E. C. A '!CR50</f>
        <v>0</v>
      </c>
      <c r="BF50" s="120">
        <f>FILOSOFIA!CR50</f>
        <v>0</v>
      </c>
      <c r="BG50" s="120">
        <f>EMP!CR50</f>
        <v>0</v>
      </c>
      <c r="BH50" s="120">
        <f>'EDUCACION PARA LA CIUDADANIA '!CR50</f>
        <v>0</v>
      </c>
      <c r="BI50" s="120">
        <f>'PAQUETES CONTABLES '!CR50</f>
        <v>0</v>
      </c>
      <c r="BJ50" s="120">
        <f>'TRIBUTACION '!CR50</f>
        <v>0</v>
      </c>
      <c r="BK50" s="122">
        <f t="shared" si="11"/>
        <v>0</v>
      </c>
    </row>
    <row r="51" ht="15.75" customHeight="1">
      <c r="A51" s="56">
        <v>40.0</v>
      </c>
      <c r="B51" s="124" t="str">
        <f>LEN!B51</f>
        <v/>
      </c>
      <c r="C51" s="125" t="str">
        <f>LEN!C51</f>
        <v/>
      </c>
      <c r="D51" s="120">
        <f>LEN!CP51</f>
        <v>0</v>
      </c>
      <c r="E51" s="120">
        <f>MATE!CP51</f>
        <v>0</v>
      </c>
      <c r="F51" s="120">
        <f>INGLES!CP51</f>
        <v>0</v>
      </c>
      <c r="G51" s="120">
        <f>QUIMI!CP51</f>
        <v>0</v>
      </c>
      <c r="H51" s="120">
        <f>FISICA!CO51</f>
        <v>0</v>
      </c>
      <c r="I51" s="120">
        <f>'ED. FISICA'!CP51</f>
        <v>0</v>
      </c>
      <c r="J51" s="120">
        <f>'CONTABILIDAD GENERAL '!CP51</f>
        <v>0</v>
      </c>
      <c r="K51" s="120">
        <f>BIO!CP51</f>
        <v>0</v>
      </c>
      <c r="L51" s="120">
        <f>HIST!CP51</f>
        <v>0</v>
      </c>
      <c r="M51" s="120">
        <f>'E. C. A '!CP51</f>
        <v>0</v>
      </c>
      <c r="N51" s="120">
        <f>FILOSOFIA!CP51</f>
        <v>0</v>
      </c>
      <c r="O51" s="120">
        <f>EMP!CP51</f>
        <v>0</v>
      </c>
      <c r="P51" s="120">
        <f>'EDUCACION PARA LA CIUDADANIA '!CP51</f>
        <v>0</v>
      </c>
      <c r="Q51" s="120">
        <f>'PAQUETES CONTABLES '!CP51</f>
        <v>0</v>
      </c>
      <c r="R51" s="120">
        <f>'TRIBUTACION '!CP51</f>
        <v>0</v>
      </c>
      <c r="S51" s="122">
        <f t="shared" si="6"/>
        <v>0</v>
      </c>
      <c r="T51" s="292"/>
      <c r="U51" s="2"/>
      <c r="W51" s="56">
        <v>40.0</v>
      </c>
      <c r="X51" s="124" t="str">
        <f t="shared" ref="X51:Y51" si="86">B51</f>
        <v/>
      </c>
      <c r="Y51" s="188" t="str">
        <f t="shared" si="86"/>
        <v/>
      </c>
      <c r="Z51" s="120">
        <f>LEN!CQ51</f>
        <v>0</v>
      </c>
      <c r="AA51" s="120">
        <f>MATE!CQ51</f>
        <v>0</v>
      </c>
      <c r="AB51" s="120">
        <f>INGLES!CQ51</f>
        <v>0</v>
      </c>
      <c r="AC51" s="120">
        <f>QUIMI!CQ51</f>
        <v>0</v>
      </c>
      <c r="AD51" s="120">
        <f>FISICA!CP51</f>
        <v>0</v>
      </c>
      <c r="AE51" s="120">
        <f>'ED. FISICA'!CQ51</f>
        <v>0</v>
      </c>
      <c r="AF51" s="120">
        <f>'CONTABILIDAD GENERAL '!CQ51</f>
        <v>0</v>
      </c>
      <c r="AG51" s="120">
        <f>BIO!CQ51</f>
        <v>0</v>
      </c>
      <c r="AH51" s="120">
        <f>HIST!CQ51</f>
        <v>0</v>
      </c>
      <c r="AI51" s="120">
        <f>'E. C. A '!CQ51</f>
        <v>0</v>
      </c>
      <c r="AJ51" s="120">
        <f>FILOSOFIA!CQ51</f>
        <v>0</v>
      </c>
      <c r="AK51" s="120">
        <f>EMP!CQ51</f>
        <v>0</v>
      </c>
      <c r="AL51" s="120">
        <f>'EDUCACION PARA LA CIUDADANIA '!CQ51</f>
        <v>0</v>
      </c>
      <c r="AM51" s="120">
        <f>'PAQUETES CONTABLES '!CQ51</f>
        <v>0</v>
      </c>
      <c r="AN51" s="120">
        <f>'TRIBUTACION '!CQ51</f>
        <v>0</v>
      </c>
      <c r="AO51" s="122">
        <f t="shared" si="8"/>
        <v>0</v>
      </c>
      <c r="AQ51" s="2" t="str">
        <f t="shared" si="9"/>
        <v/>
      </c>
      <c r="AS51" s="56">
        <v>40.0</v>
      </c>
      <c r="AT51" s="124" t="str">
        <f t="shared" ref="AT51:AU51" si="87">B51</f>
        <v/>
      </c>
      <c r="AU51" s="125" t="str">
        <f t="shared" si="87"/>
        <v/>
      </c>
      <c r="AV51" s="120">
        <f>LEN!CR51</f>
        <v>0</v>
      </c>
      <c r="AW51" s="120">
        <f>MATE!CR51</f>
        <v>0</v>
      </c>
      <c r="AX51" s="120">
        <f>INGLES!CR51</f>
        <v>0</v>
      </c>
      <c r="AY51" s="120">
        <f>QUIMI!CR51</f>
        <v>0</v>
      </c>
      <c r="AZ51" s="120">
        <f>FISICA!CQ51</f>
        <v>0</v>
      </c>
      <c r="BA51" s="120">
        <f>'ED. FISICA'!CR51</f>
        <v>0</v>
      </c>
      <c r="BB51" s="120">
        <f>'CONTABILIDAD GENERAL '!CR51</f>
        <v>0</v>
      </c>
      <c r="BC51" s="120">
        <f>BIO!CR51</f>
        <v>0</v>
      </c>
      <c r="BD51" s="120">
        <f>HIST!CR51</f>
        <v>0</v>
      </c>
      <c r="BE51" s="120">
        <f>'E. C. A '!CR51</f>
        <v>0</v>
      </c>
      <c r="BF51" s="120">
        <f>FILOSOFIA!CR51</f>
        <v>0</v>
      </c>
      <c r="BG51" s="120">
        <f>EMP!CR51</f>
        <v>0</v>
      </c>
      <c r="BH51" s="120">
        <f>'EDUCACION PARA LA CIUDADANIA '!CR51</f>
        <v>0</v>
      </c>
      <c r="BI51" s="120">
        <f>'PAQUETES CONTABLES '!CR51</f>
        <v>0</v>
      </c>
      <c r="BJ51" s="120">
        <f>'TRIBUTACION '!CR51</f>
        <v>0</v>
      </c>
      <c r="BK51" s="122">
        <f t="shared" si="11"/>
        <v>0</v>
      </c>
    </row>
    <row r="52" ht="15.75" customHeight="1">
      <c r="A52" s="56">
        <v>41.0</v>
      </c>
      <c r="B52" s="124" t="str">
        <f>LEN!B52</f>
        <v/>
      </c>
      <c r="C52" s="125" t="str">
        <f>LEN!C52</f>
        <v/>
      </c>
      <c r="D52" s="120">
        <f>LEN!CP52</f>
        <v>0</v>
      </c>
      <c r="E52" s="120">
        <f>MATE!CP52</f>
        <v>0</v>
      </c>
      <c r="F52" s="120">
        <f>INGLES!CP52</f>
        <v>0</v>
      </c>
      <c r="G52" s="120">
        <f>QUIMI!CP52</f>
        <v>0</v>
      </c>
      <c r="H52" s="120">
        <f>FISICA!CO52</f>
        <v>0</v>
      </c>
      <c r="I52" s="120">
        <f>'ED. FISICA'!CP52</f>
        <v>0</v>
      </c>
      <c r="J52" s="120">
        <f>'CONTABILIDAD GENERAL '!CP52</f>
        <v>0</v>
      </c>
      <c r="K52" s="120">
        <f>BIO!CP52</f>
        <v>0</v>
      </c>
      <c r="L52" s="120">
        <f>HIST!CP52</f>
        <v>0</v>
      </c>
      <c r="M52" s="120">
        <f>'E. C. A '!CP52</f>
        <v>0</v>
      </c>
      <c r="N52" s="120">
        <f>FILOSOFIA!CP52</f>
        <v>0</v>
      </c>
      <c r="O52" s="120">
        <f>EMP!CP52</f>
        <v>0</v>
      </c>
      <c r="P52" s="120">
        <f>'EDUCACION PARA LA CIUDADANIA '!CP52</f>
        <v>0</v>
      </c>
      <c r="Q52" s="120">
        <f>'PAQUETES CONTABLES '!CP52</f>
        <v>0</v>
      </c>
      <c r="R52" s="120">
        <f>'TRIBUTACION '!CP52</f>
        <v>0</v>
      </c>
      <c r="S52" s="122">
        <f t="shared" si="6"/>
        <v>0</v>
      </c>
      <c r="T52" s="292"/>
      <c r="U52" s="2"/>
      <c r="W52" s="56">
        <v>41.0</v>
      </c>
      <c r="X52" s="124" t="str">
        <f t="shared" ref="X52:Y52" si="88">B52</f>
        <v/>
      </c>
      <c r="Y52" s="188" t="str">
        <f t="shared" si="88"/>
        <v/>
      </c>
      <c r="Z52" s="120">
        <f>LEN!CQ52</f>
        <v>0</v>
      </c>
      <c r="AA52" s="120">
        <f>MATE!CQ52</f>
        <v>0</v>
      </c>
      <c r="AB52" s="120">
        <f>INGLES!CQ52</f>
        <v>0</v>
      </c>
      <c r="AC52" s="120">
        <f>QUIMI!CQ52</f>
        <v>0</v>
      </c>
      <c r="AD52" s="120">
        <f>FISICA!CP52</f>
        <v>0</v>
      </c>
      <c r="AE52" s="120">
        <f>'ED. FISICA'!CQ52</f>
        <v>0</v>
      </c>
      <c r="AF52" s="120">
        <f>'CONTABILIDAD GENERAL '!CQ52</f>
        <v>0</v>
      </c>
      <c r="AG52" s="120">
        <f>BIO!CQ52</f>
        <v>0</v>
      </c>
      <c r="AH52" s="120">
        <f>HIST!CQ52</f>
        <v>0</v>
      </c>
      <c r="AI52" s="120">
        <f>'E. C. A '!CQ52</f>
        <v>0</v>
      </c>
      <c r="AJ52" s="120">
        <f>FILOSOFIA!CQ52</f>
        <v>0</v>
      </c>
      <c r="AK52" s="120">
        <f>EMP!CQ52</f>
        <v>0</v>
      </c>
      <c r="AL52" s="120">
        <f>'EDUCACION PARA LA CIUDADANIA '!CQ52</f>
        <v>0</v>
      </c>
      <c r="AM52" s="120">
        <f>'PAQUETES CONTABLES '!CQ52</f>
        <v>0</v>
      </c>
      <c r="AN52" s="120">
        <f>'TRIBUTACION '!CQ52</f>
        <v>0</v>
      </c>
      <c r="AO52" s="122">
        <f t="shared" si="8"/>
        <v>0</v>
      </c>
      <c r="AQ52" s="2" t="str">
        <f t="shared" si="9"/>
        <v/>
      </c>
      <c r="AS52" s="56">
        <v>41.0</v>
      </c>
      <c r="AT52" s="124" t="str">
        <f t="shared" ref="AT52:AU52" si="89">B52</f>
        <v/>
      </c>
      <c r="AU52" s="125" t="str">
        <f t="shared" si="89"/>
        <v/>
      </c>
      <c r="AV52" s="120">
        <f>LEN!CR52</f>
        <v>0</v>
      </c>
      <c r="AW52" s="120">
        <f>MATE!CR52</f>
        <v>0</v>
      </c>
      <c r="AX52" s="120">
        <f>INGLES!CR52</f>
        <v>0</v>
      </c>
      <c r="AY52" s="120">
        <f>QUIMI!CR52</f>
        <v>0</v>
      </c>
      <c r="AZ52" s="120">
        <f>FISICA!CQ52</f>
        <v>0</v>
      </c>
      <c r="BA52" s="120">
        <f>'ED. FISICA'!CR52</f>
        <v>0</v>
      </c>
      <c r="BB52" s="120">
        <f>'CONTABILIDAD GENERAL '!CR52</f>
        <v>0</v>
      </c>
      <c r="BC52" s="120">
        <f>BIO!CR52</f>
        <v>0</v>
      </c>
      <c r="BD52" s="120">
        <f>HIST!CR52</f>
        <v>0</v>
      </c>
      <c r="BE52" s="120">
        <f>'E. C. A '!CR52</f>
        <v>0</v>
      </c>
      <c r="BF52" s="120">
        <f>FILOSOFIA!CR52</f>
        <v>0</v>
      </c>
      <c r="BG52" s="120">
        <f>EMP!CR52</f>
        <v>0</v>
      </c>
      <c r="BH52" s="120">
        <f>'EDUCACION PARA LA CIUDADANIA '!CR52</f>
        <v>0</v>
      </c>
      <c r="BI52" s="120">
        <f>'PAQUETES CONTABLES '!CR52</f>
        <v>0</v>
      </c>
      <c r="BJ52" s="120">
        <f>'TRIBUTACION '!CR52</f>
        <v>0</v>
      </c>
      <c r="BK52" s="122">
        <f t="shared" si="11"/>
        <v>0</v>
      </c>
    </row>
    <row r="53" ht="15.75" customHeight="1">
      <c r="A53" s="56">
        <v>42.0</v>
      </c>
      <c r="B53" s="124" t="str">
        <f>LEN!B53</f>
        <v/>
      </c>
      <c r="C53" s="125" t="str">
        <f>LEN!C53</f>
        <v/>
      </c>
      <c r="D53" s="120">
        <f>LEN!CP53</f>
        <v>0</v>
      </c>
      <c r="E53" s="120">
        <f>MATE!CP53</f>
        <v>0</v>
      </c>
      <c r="F53" s="120">
        <f>INGLES!CP53</f>
        <v>0</v>
      </c>
      <c r="G53" s="120">
        <f>QUIMI!CP53</f>
        <v>0</v>
      </c>
      <c r="H53" s="120">
        <f>FISICA!CO53</f>
        <v>0</v>
      </c>
      <c r="I53" s="120">
        <f>'ED. FISICA'!CP53</f>
        <v>0</v>
      </c>
      <c r="J53" s="120">
        <f>'CONTABILIDAD GENERAL '!CP53</f>
        <v>0</v>
      </c>
      <c r="K53" s="120">
        <f>BIO!CP53</f>
        <v>0</v>
      </c>
      <c r="L53" s="120">
        <f>HIST!CP53</f>
        <v>0</v>
      </c>
      <c r="M53" s="120">
        <f>'E. C. A '!CP53</f>
        <v>0</v>
      </c>
      <c r="N53" s="120">
        <f>FILOSOFIA!CP53</f>
        <v>0</v>
      </c>
      <c r="O53" s="120">
        <f>EMP!CP53</f>
        <v>0</v>
      </c>
      <c r="P53" s="120">
        <f>'EDUCACION PARA LA CIUDADANIA '!CP53</f>
        <v>0</v>
      </c>
      <c r="Q53" s="120">
        <f>'PAQUETES CONTABLES '!CP53</f>
        <v>0</v>
      </c>
      <c r="R53" s="120">
        <f>'TRIBUTACION '!CP53</f>
        <v>0</v>
      </c>
      <c r="S53" s="122">
        <f t="shared" si="6"/>
        <v>0</v>
      </c>
      <c r="T53" s="292"/>
      <c r="U53" s="2"/>
      <c r="W53" s="56">
        <v>42.0</v>
      </c>
      <c r="X53" s="124" t="str">
        <f t="shared" ref="X53:Y53" si="90">B53</f>
        <v/>
      </c>
      <c r="Y53" s="188" t="str">
        <f t="shared" si="90"/>
        <v/>
      </c>
      <c r="Z53" s="120">
        <f>LEN!CQ53</f>
        <v>0</v>
      </c>
      <c r="AA53" s="120">
        <f>MATE!CQ53</f>
        <v>0</v>
      </c>
      <c r="AB53" s="120">
        <f>INGLES!CQ53</f>
        <v>0</v>
      </c>
      <c r="AC53" s="120">
        <f>QUIMI!CQ53</f>
        <v>0</v>
      </c>
      <c r="AD53" s="120">
        <f>FISICA!CP53</f>
        <v>0</v>
      </c>
      <c r="AE53" s="120">
        <f>'ED. FISICA'!CQ53</f>
        <v>0</v>
      </c>
      <c r="AF53" s="120">
        <f>'CONTABILIDAD GENERAL '!CQ53</f>
        <v>0</v>
      </c>
      <c r="AG53" s="120">
        <f>BIO!CQ53</f>
        <v>0</v>
      </c>
      <c r="AH53" s="120">
        <f>HIST!CQ53</f>
        <v>0</v>
      </c>
      <c r="AI53" s="120">
        <f>'E. C. A '!CQ53</f>
        <v>0</v>
      </c>
      <c r="AJ53" s="120">
        <f>FILOSOFIA!CQ53</f>
        <v>0</v>
      </c>
      <c r="AK53" s="120">
        <f>EMP!CQ53</f>
        <v>0</v>
      </c>
      <c r="AL53" s="120">
        <f>'EDUCACION PARA LA CIUDADANIA '!CQ53</f>
        <v>0</v>
      </c>
      <c r="AM53" s="120">
        <f>'PAQUETES CONTABLES '!CQ53</f>
        <v>0</v>
      </c>
      <c r="AN53" s="120">
        <f>'TRIBUTACION '!CQ53</f>
        <v>0</v>
      </c>
      <c r="AO53" s="122">
        <f t="shared" si="8"/>
        <v>0</v>
      </c>
      <c r="AQ53" s="2" t="str">
        <f t="shared" si="9"/>
        <v/>
      </c>
      <c r="AS53" s="56">
        <v>42.0</v>
      </c>
      <c r="AT53" s="124" t="str">
        <f t="shared" ref="AT53:AU53" si="91">B53</f>
        <v/>
      </c>
      <c r="AU53" s="125" t="str">
        <f t="shared" si="91"/>
        <v/>
      </c>
      <c r="AV53" s="120">
        <f>LEN!CR53</f>
        <v>0</v>
      </c>
      <c r="AW53" s="120">
        <f>MATE!CR53</f>
        <v>0</v>
      </c>
      <c r="AX53" s="120">
        <f>INGLES!CR53</f>
        <v>0</v>
      </c>
      <c r="AY53" s="120">
        <f>QUIMI!CR53</f>
        <v>0</v>
      </c>
      <c r="AZ53" s="120">
        <f>FISICA!CQ53</f>
        <v>0</v>
      </c>
      <c r="BA53" s="120">
        <f>'ED. FISICA'!CR53</f>
        <v>0</v>
      </c>
      <c r="BB53" s="120">
        <f>'CONTABILIDAD GENERAL '!CR53</f>
        <v>0</v>
      </c>
      <c r="BC53" s="120">
        <f>BIO!CR53</f>
        <v>0</v>
      </c>
      <c r="BD53" s="120">
        <f>HIST!CR53</f>
        <v>0</v>
      </c>
      <c r="BE53" s="120">
        <f>'E. C. A '!CR53</f>
        <v>0</v>
      </c>
      <c r="BF53" s="120">
        <f>FILOSOFIA!CR53</f>
        <v>0</v>
      </c>
      <c r="BG53" s="120">
        <f>EMP!CR53</f>
        <v>0</v>
      </c>
      <c r="BH53" s="120">
        <f>'EDUCACION PARA LA CIUDADANIA '!CR53</f>
        <v>0</v>
      </c>
      <c r="BI53" s="120">
        <f>'PAQUETES CONTABLES '!CR53</f>
        <v>0</v>
      </c>
      <c r="BJ53" s="120">
        <f>'TRIBUTACION '!CR53</f>
        <v>0</v>
      </c>
      <c r="BK53" s="122">
        <f t="shared" si="11"/>
        <v>0</v>
      </c>
    </row>
    <row r="54" ht="15.75" customHeight="1">
      <c r="A54" s="56">
        <v>43.0</v>
      </c>
      <c r="B54" s="124" t="str">
        <f>LEN!B54</f>
        <v/>
      </c>
      <c r="C54" s="125" t="str">
        <f>LEN!C54</f>
        <v/>
      </c>
      <c r="D54" s="120">
        <f>LEN!CP54</f>
        <v>0</v>
      </c>
      <c r="E54" s="120">
        <f>MATE!CP54</f>
        <v>0</v>
      </c>
      <c r="F54" s="120">
        <f>INGLES!CP54</f>
        <v>0</v>
      </c>
      <c r="G54" s="120">
        <f>QUIMI!CP54</f>
        <v>0</v>
      </c>
      <c r="H54" s="120">
        <f>FISICA!CO54</f>
        <v>0</v>
      </c>
      <c r="I54" s="120">
        <f>'ED. FISICA'!CP54</f>
        <v>0</v>
      </c>
      <c r="J54" s="120">
        <f>'CONTABILIDAD GENERAL '!CP54</f>
        <v>0</v>
      </c>
      <c r="K54" s="120">
        <f>BIO!CP54</f>
        <v>0</v>
      </c>
      <c r="L54" s="120">
        <f>HIST!CP54</f>
        <v>0</v>
      </c>
      <c r="M54" s="120">
        <f>'E. C. A '!CP54</f>
        <v>0</v>
      </c>
      <c r="N54" s="120">
        <f>FILOSOFIA!CP54</f>
        <v>0</v>
      </c>
      <c r="O54" s="120">
        <f>EMP!CP54</f>
        <v>0</v>
      </c>
      <c r="P54" s="120">
        <f>'EDUCACION PARA LA CIUDADANIA '!CP54</f>
        <v>0</v>
      </c>
      <c r="Q54" s="120">
        <f>'PAQUETES CONTABLES '!CP54</f>
        <v>0</v>
      </c>
      <c r="R54" s="120">
        <f>'TRIBUTACION '!CP54</f>
        <v>0</v>
      </c>
      <c r="S54" s="122">
        <f t="shared" si="6"/>
        <v>0</v>
      </c>
      <c r="T54" s="292"/>
      <c r="U54" s="2"/>
      <c r="W54" s="56">
        <v>43.0</v>
      </c>
      <c r="X54" s="124" t="str">
        <f t="shared" ref="X54:Y54" si="92">B54</f>
        <v/>
      </c>
      <c r="Y54" s="188" t="str">
        <f t="shared" si="92"/>
        <v/>
      </c>
      <c r="Z54" s="120">
        <f>LEN!CQ54</f>
        <v>0</v>
      </c>
      <c r="AA54" s="120">
        <f>MATE!CQ54</f>
        <v>0</v>
      </c>
      <c r="AB54" s="120">
        <f>INGLES!CQ54</f>
        <v>0</v>
      </c>
      <c r="AC54" s="120">
        <f>QUIMI!CQ54</f>
        <v>0</v>
      </c>
      <c r="AD54" s="120">
        <f>FISICA!CP54</f>
        <v>0</v>
      </c>
      <c r="AE54" s="120">
        <f>'ED. FISICA'!CQ54</f>
        <v>0</v>
      </c>
      <c r="AF54" s="120">
        <f>'CONTABILIDAD GENERAL '!CQ54</f>
        <v>0</v>
      </c>
      <c r="AG54" s="120">
        <f>BIO!CQ54</f>
        <v>0</v>
      </c>
      <c r="AH54" s="120">
        <f>HIST!CQ54</f>
        <v>0</v>
      </c>
      <c r="AI54" s="120">
        <f>'E. C. A '!CQ54</f>
        <v>0</v>
      </c>
      <c r="AJ54" s="120">
        <f>FILOSOFIA!CQ54</f>
        <v>0</v>
      </c>
      <c r="AK54" s="120">
        <f>EMP!CQ54</f>
        <v>0</v>
      </c>
      <c r="AL54" s="120">
        <f>'EDUCACION PARA LA CIUDADANIA '!CQ54</f>
        <v>0</v>
      </c>
      <c r="AM54" s="120">
        <f>'PAQUETES CONTABLES '!CQ54</f>
        <v>0</v>
      </c>
      <c r="AN54" s="120">
        <f>'TRIBUTACION '!CQ54</f>
        <v>0</v>
      </c>
      <c r="AO54" s="122">
        <f t="shared" si="8"/>
        <v>0</v>
      </c>
      <c r="AQ54" s="2" t="str">
        <f t="shared" si="9"/>
        <v/>
      </c>
      <c r="AS54" s="56">
        <v>43.0</v>
      </c>
      <c r="AT54" s="124" t="str">
        <f t="shared" ref="AT54:AU54" si="93">B54</f>
        <v/>
      </c>
      <c r="AU54" s="125" t="str">
        <f t="shared" si="93"/>
        <v/>
      </c>
      <c r="AV54" s="120">
        <f>LEN!CR54</f>
        <v>0</v>
      </c>
      <c r="AW54" s="120">
        <f>MATE!CR54</f>
        <v>0</v>
      </c>
      <c r="AX54" s="120">
        <f>INGLES!CR54</f>
        <v>0</v>
      </c>
      <c r="AY54" s="120">
        <f>QUIMI!CR54</f>
        <v>0</v>
      </c>
      <c r="AZ54" s="120">
        <f>FISICA!CQ54</f>
        <v>0</v>
      </c>
      <c r="BA54" s="120">
        <f>'ED. FISICA'!CR54</f>
        <v>0</v>
      </c>
      <c r="BB54" s="120">
        <f>'CONTABILIDAD GENERAL '!CR54</f>
        <v>0</v>
      </c>
      <c r="BC54" s="120">
        <f>BIO!CR54</f>
        <v>0</v>
      </c>
      <c r="BD54" s="120">
        <f>HIST!CR54</f>
        <v>0</v>
      </c>
      <c r="BE54" s="120">
        <f>'E. C. A '!CR54</f>
        <v>0</v>
      </c>
      <c r="BF54" s="120">
        <f>FILOSOFIA!CR54</f>
        <v>0</v>
      </c>
      <c r="BG54" s="120">
        <f>EMP!CR54</f>
        <v>0</v>
      </c>
      <c r="BH54" s="120">
        <f>'EDUCACION PARA LA CIUDADANIA '!CR54</f>
        <v>0</v>
      </c>
      <c r="BI54" s="120">
        <f>'PAQUETES CONTABLES '!CR54</f>
        <v>0</v>
      </c>
      <c r="BJ54" s="120">
        <f>'TRIBUTACION '!CR54</f>
        <v>0</v>
      </c>
      <c r="BK54" s="122">
        <f t="shared" si="11"/>
        <v>0</v>
      </c>
    </row>
    <row r="55" ht="15.75" customHeight="1">
      <c r="A55" s="56">
        <v>44.0</v>
      </c>
      <c r="B55" s="124" t="str">
        <f>LEN!B55</f>
        <v/>
      </c>
      <c r="C55" s="125" t="str">
        <f>LEN!C55</f>
        <v/>
      </c>
      <c r="D55" s="120">
        <f>LEN!CP55</f>
        <v>0</v>
      </c>
      <c r="E55" s="120">
        <f>MATE!CP55</f>
        <v>0</v>
      </c>
      <c r="F55" s="120">
        <f>INGLES!CP55</f>
        <v>0</v>
      </c>
      <c r="G55" s="120">
        <f>QUIMI!CP55</f>
        <v>0</v>
      </c>
      <c r="H55" s="120">
        <f>FISICA!CO55</f>
        <v>0</v>
      </c>
      <c r="I55" s="120">
        <f>'ED. FISICA'!CP55</f>
        <v>0</v>
      </c>
      <c r="J55" s="120">
        <f>'CONTABILIDAD GENERAL '!CP55</f>
        <v>0</v>
      </c>
      <c r="K55" s="120">
        <f>BIO!CP55</f>
        <v>0</v>
      </c>
      <c r="L55" s="120">
        <f>HIST!CP55</f>
        <v>0</v>
      </c>
      <c r="M55" s="120">
        <f>'E. C. A '!CP55</f>
        <v>0</v>
      </c>
      <c r="N55" s="120">
        <f>FILOSOFIA!CP55</f>
        <v>0</v>
      </c>
      <c r="O55" s="120">
        <f>EMP!CP55</f>
        <v>0</v>
      </c>
      <c r="P55" s="120">
        <f>'EDUCACION PARA LA CIUDADANIA '!CP55</f>
        <v>0</v>
      </c>
      <c r="Q55" s="120">
        <f>'PAQUETES CONTABLES '!CP55</f>
        <v>0</v>
      </c>
      <c r="R55" s="120">
        <f>'TRIBUTACION '!CP55</f>
        <v>0</v>
      </c>
      <c r="S55" s="122">
        <f t="shared" si="6"/>
        <v>0</v>
      </c>
      <c r="T55" s="292"/>
      <c r="U55" s="2"/>
      <c r="W55" s="56">
        <v>44.0</v>
      </c>
      <c r="X55" s="124" t="str">
        <f t="shared" ref="X55:Y55" si="94">B55</f>
        <v/>
      </c>
      <c r="Y55" s="188" t="str">
        <f t="shared" si="94"/>
        <v/>
      </c>
      <c r="Z55" s="120">
        <f>LEN!CQ55</f>
        <v>0</v>
      </c>
      <c r="AA55" s="120">
        <f>MATE!CQ55</f>
        <v>0</v>
      </c>
      <c r="AB55" s="120">
        <f>INGLES!CQ55</f>
        <v>0</v>
      </c>
      <c r="AC55" s="120">
        <f>QUIMI!CQ55</f>
        <v>0</v>
      </c>
      <c r="AD55" s="120">
        <f>FISICA!CP55</f>
        <v>0</v>
      </c>
      <c r="AE55" s="120">
        <f>'ED. FISICA'!CQ55</f>
        <v>0</v>
      </c>
      <c r="AF55" s="120">
        <f>'CONTABILIDAD GENERAL '!CQ55</f>
        <v>0</v>
      </c>
      <c r="AG55" s="120">
        <f>BIO!CQ55</f>
        <v>0</v>
      </c>
      <c r="AH55" s="120">
        <f>HIST!CQ55</f>
        <v>0</v>
      </c>
      <c r="AI55" s="120">
        <f>'E. C. A '!CQ55</f>
        <v>0</v>
      </c>
      <c r="AJ55" s="120">
        <f>FILOSOFIA!CQ55</f>
        <v>0</v>
      </c>
      <c r="AK55" s="120">
        <f>EMP!CQ55</f>
        <v>0</v>
      </c>
      <c r="AL55" s="120">
        <f>'EDUCACION PARA LA CIUDADANIA '!CQ55</f>
        <v>0</v>
      </c>
      <c r="AM55" s="120">
        <f>'PAQUETES CONTABLES '!CQ55</f>
        <v>0</v>
      </c>
      <c r="AN55" s="120">
        <f>'TRIBUTACION '!CQ55</f>
        <v>0</v>
      </c>
      <c r="AO55" s="122">
        <f t="shared" si="8"/>
        <v>0</v>
      </c>
      <c r="AQ55" s="2" t="str">
        <f t="shared" si="9"/>
        <v/>
      </c>
      <c r="AS55" s="56">
        <v>44.0</v>
      </c>
      <c r="AT55" s="124" t="str">
        <f t="shared" ref="AT55:AU55" si="95">B55</f>
        <v/>
      </c>
      <c r="AU55" s="125" t="str">
        <f t="shared" si="95"/>
        <v/>
      </c>
      <c r="AV55" s="120">
        <f>LEN!CR55</f>
        <v>0</v>
      </c>
      <c r="AW55" s="120">
        <f>MATE!CR55</f>
        <v>0</v>
      </c>
      <c r="AX55" s="120">
        <f>INGLES!CR55</f>
        <v>0</v>
      </c>
      <c r="AY55" s="120">
        <f>QUIMI!CR55</f>
        <v>0</v>
      </c>
      <c r="AZ55" s="120">
        <f>FISICA!CQ55</f>
        <v>0</v>
      </c>
      <c r="BA55" s="120">
        <f>'ED. FISICA'!CR55</f>
        <v>0</v>
      </c>
      <c r="BB55" s="120">
        <f>'CONTABILIDAD GENERAL '!CR55</f>
        <v>0</v>
      </c>
      <c r="BC55" s="120">
        <f>BIO!CR55</f>
        <v>0</v>
      </c>
      <c r="BD55" s="120">
        <f>HIST!CR55</f>
        <v>0</v>
      </c>
      <c r="BE55" s="120">
        <f>'E. C. A '!CR55</f>
        <v>0</v>
      </c>
      <c r="BF55" s="120">
        <f>FILOSOFIA!CR55</f>
        <v>0</v>
      </c>
      <c r="BG55" s="120">
        <f>EMP!CR55</f>
        <v>0</v>
      </c>
      <c r="BH55" s="120">
        <f>'EDUCACION PARA LA CIUDADANIA '!CR55</f>
        <v>0</v>
      </c>
      <c r="BI55" s="120">
        <f>'PAQUETES CONTABLES '!CR55</f>
        <v>0</v>
      </c>
      <c r="BJ55" s="120">
        <f>'TRIBUTACION '!CR55</f>
        <v>0</v>
      </c>
      <c r="BK55" s="122">
        <f t="shared" si="11"/>
        <v>0</v>
      </c>
    </row>
    <row r="56" ht="15.75" customHeight="1">
      <c r="A56" s="56">
        <v>45.0</v>
      </c>
      <c r="B56" s="124" t="str">
        <f>LEN!B56</f>
        <v/>
      </c>
      <c r="C56" s="125" t="str">
        <f>LEN!C56</f>
        <v/>
      </c>
      <c r="D56" s="120" t="str">
        <f>LEN!CP56</f>
        <v/>
      </c>
      <c r="E56" s="120" t="str">
        <f>MATE!CP56</f>
        <v/>
      </c>
      <c r="F56" s="120" t="str">
        <f>INGLES!CP56</f>
        <v/>
      </c>
      <c r="G56" s="120" t="str">
        <f>QUIMI!CP56</f>
        <v/>
      </c>
      <c r="H56" s="120" t="str">
        <f>FISICA!CO56</f>
        <v/>
      </c>
      <c r="I56" s="120" t="str">
        <f>'ED. FISICA'!CP56</f>
        <v/>
      </c>
      <c r="J56" s="120" t="str">
        <f>'CONTABILIDAD GENERAL '!CP56</f>
        <v/>
      </c>
      <c r="K56" s="120" t="str">
        <f>BIO!CP56</f>
        <v/>
      </c>
      <c r="L56" s="120" t="str">
        <f>HIST!CP56</f>
        <v/>
      </c>
      <c r="M56" s="120" t="str">
        <f>'E. C. A '!CP56</f>
        <v/>
      </c>
      <c r="N56" s="120" t="str">
        <f>FILOSOFIA!CP56</f>
        <v/>
      </c>
      <c r="O56" s="120" t="str">
        <f>EMP!CP56</f>
        <v/>
      </c>
      <c r="P56" s="120" t="str">
        <f>'EDUCACION PARA LA CIUDADANIA '!CP56</f>
        <v/>
      </c>
      <c r="Q56" s="120" t="str">
        <f>'PAQUETES CONTABLES '!CP56</f>
        <v/>
      </c>
      <c r="R56" s="120" t="str">
        <f>'TRIBUTACION '!CP56</f>
        <v/>
      </c>
      <c r="S56" s="122" t="str">
        <f t="shared" si="6"/>
        <v>#DIV/0!</v>
      </c>
      <c r="T56" s="292"/>
      <c r="U56" s="2"/>
      <c r="W56" s="56">
        <v>45.0</v>
      </c>
      <c r="X56" s="124" t="str">
        <f t="shared" ref="X56:Y56" si="96">B56</f>
        <v/>
      </c>
      <c r="Y56" s="188" t="str">
        <f t="shared" si="96"/>
        <v/>
      </c>
      <c r="Z56" s="120" t="str">
        <f>LEN!CQ56</f>
        <v/>
      </c>
      <c r="AA56" s="120" t="str">
        <f>MATE!CQ56</f>
        <v/>
      </c>
      <c r="AB56" s="120" t="str">
        <f>INGLES!CQ56</f>
        <v/>
      </c>
      <c r="AC56" s="120" t="str">
        <f>QUIMI!CQ56</f>
        <v/>
      </c>
      <c r="AD56" s="120" t="str">
        <f>FISICA!CP56</f>
        <v/>
      </c>
      <c r="AE56" s="120" t="str">
        <f>'ED. FISICA'!CQ56</f>
        <v/>
      </c>
      <c r="AF56" s="120" t="str">
        <f>'CONTABILIDAD GENERAL '!CQ56</f>
        <v/>
      </c>
      <c r="AG56" s="120" t="str">
        <f>BIO!CQ56</f>
        <v/>
      </c>
      <c r="AH56" s="120" t="str">
        <f>HIST!CQ56</f>
        <v/>
      </c>
      <c r="AI56" s="120" t="str">
        <f>'E. C. A '!CQ56</f>
        <v/>
      </c>
      <c r="AJ56" s="120" t="str">
        <f>FILOSOFIA!CQ56</f>
        <v/>
      </c>
      <c r="AK56" s="120" t="str">
        <f>EMP!CQ56</f>
        <v/>
      </c>
      <c r="AL56" s="120" t="str">
        <f>'EDUCACION PARA LA CIUDADANIA '!CQ56</f>
        <v/>
      </c>
      <c r="AM56" s="120" t="str">
        <f>'PAQUETES CONTABLES '!CQ56</f>
        <v/>
      </c>
      <c r="AN56" s="120" t="str">
        <f>'TRIBUTACION '!CQ56</f>
        <v/>
      </c>
      <c r="AO56" s="122" t="str">
        <f t="shared" si="8"/>
        <v>#DIV/0!</v>
      </c>
      <c r="AQ56" s="2" t="str">
        <f t="shared" si="9"/>
        <v/>
      </c>
      <c r="AS56" s="56">
        <v>45.0</v>
      </c>
      <c r="AT56" s="124" t="str">
        <f t="shared" ref="AT56:AU56" si="97">B56</f>
        <v/>
      </c>
      <c r="AU56" s="125" t="str">
        <f t="shared" si="97"/>
        <v/>
      </c>
      <c r="AV56" s="120" t="str">
        <f>LEN!CR56</f>
        <v/>
      </c>
      <c r="AW56" s="120" t="str">
        <f>MATE!CR56</f>
        <v/>
      </c>
      <c r="AX56" s="120" t="str">
        <f>INGLES!CR56</f>
        <v/>
      </c>
      <c r="AY56" s="120" t="str">
        <f>QUIMI!CR56</f>
        <v/>
      </c>
      <c r="AZ56" s="120" t="str">
        <f>FISICA!CQ56</f>
        <v/>
      </c>
      <c r="BA56" s="120" t="str">
        <f>'ED. FISICA'!CR56</f>
        <v/>
      </c>
      <c r="BB56" s="120" t="str">
        <f>'CONTABILIDAD GENERAL '!CR56</f>
        <v/>
      </c>
      <c r="BC56" s="120" t="str">
        <f>BIO!CR56</f>
        <v/>
      </c>
      <c r="BD56" s="120" t="str">
        <f>HIST!CR56</f>
        <v/>
      </c>
      <c r="BE56" s="120" t="str">
        <f>'E. C. A '!CR56</f>
        <v/>
      </c>
      <c r="BF56" s="120" t="str">
        <f>FILOSOFIA!CR56</f>
        <v/>
      </c>
      <c r="BG56" s="120" t="str">
        <f>EMP!CR56</f>
        <v/>
      </c>
      <c r="BH56" s="120" t="str">
        <f>'EDUCACION PARA LA CIUDADANIA '!CR56</f>
        <v/>
      </c>
      <c r="BI56" s="120" t="str">
        <f>'PAQUETES CONTABLES '!CR56</f>
        <v/>
      </c>
      <c r="BJ56" s="120" t="str">
        <f>'TRIBUTACION '!CR56</f>
        <v/>
      </c>
      <c r="BK56" s="122" t="str">
        <f t="shared" si="11"/>
        <v>#DIV/0!</v>
      </c>
    </row>
    <row r="57" ht="15.75" customHeight="1">
      <c r="A57" s="56">
        <v>46.0</v>
      </c>
      <c r="B57" s="124" t="str">
        <f>LEN!B57</f>
        <v/>
      </c>
      <c r="C57" s="125" t="str">
        <f>LEN!C57</f>
        <v/>
      </c>
      <c r="D57" s="120" t="str">
        <f>LEN!CP57</f>
        <v/>
      </c>
      <c r="E57" s="120" t="str">
        <f>MATE!CP57</f>
        <v/>
      </c>
      <c r="F57" s="120" t="str">
        <f>INGLES!CP57</f>
        <v/>
      </c>
      <c r="G57" s="120" t="str">
        <f>QUIMI!CP57</f>
        <v/>
      </c>
      <c r="H57" s="120" t="str">
        <f>FISICA!CO57</f>
        <v/>
      </c>
      <c r="I57" s="120" t="str">
        <f>'ED. FISICA'!CP57</f>
        <v/>
      </c>
      <c r="J57" s="120" t="str">
        <f>'CONTABILIDAD GENERAL '!CP57</f>
        <v/>
      </c>
      <c r="K57" s="120" t="str">
        <f>BIO!CP57</f>
        <v/>
      </c>
      <c r="L57" s="120" t="str">
        <f>HIST!CP57</f>
        <v/>
      </c>
      <c r="M57" s="120" t="str">
        <f>'E. C. A '!CP57</f>
        <v/>
      </c>
      <c r="N57" s="120" t="str">
        <f>FILOSOFIA!CP57</f>
        <v/>
      </c>
      <c r="O57" s="120" t="str">
        <f>EMP!CP57</f>
        <v/>
      </c>
      <c r="P57" s="120" t="str">
        <f>'EDUCACION PARA LA CIUDADANIA '!CP57</f>
        <v/>
      </c>
      <c r="Q57" s="120" t="str">
        <f>'PAQUETES CONTABLES '!CP57</f>
        <v/>
      </c>
      <c r="R57" s="120" t="str">
        <f>'TRIBUTACION '!CP57</f>
        <v/>
      </c>
      <c r="S57" s="122" t="str">
        <f t="shared" si="6"/>
        <v>#DIV/0!</v>
      </c>
      <c r="T57" s="292"/>
      <c r="U57" s="2"/>
      <c r="W57" s="56">
        <v>46.0</v>
      </c>
      <c r="X57" s="124" t="str">
        <f t="shared" ref="X57:Y57" si="98">B57</f>
        <v/>
      </c>
      <c r="Y57" s="188" t="str">
        <f t="shared" si="98"/>
        <v/>
      </c>
      <c r="Z57" s="120" t="str">
        <f>LEN!CQ57</f>
        <v/>
      </c>
      <c r="AA57" s="120" t="str">
        <f>MATE!CQ57</f>
        <v/>
      </c>
      <c r="AB57" s="120" t="str">
        <f>INGLES!CQ57</f>
        <v/>
      </c>
      <c r="AC57" s="120" t="str">
        <f>QUIMI!CQ57</f>
        <v/>
      </c>
      <c r="AD57" s="120" t="str">
        <f>FISICA!CP57</f>
        <v/>
      </c>
      <c r="AE57" s="120" t="str">
        <f>'ED. FISICA'!CQ57</f>
        <v/>
      </c>
      <c r="AF57" s="120" t="str">
        <f>'CONTABILIDAD GENERAL '!CQ57</f>
        <v/>
      </c>
      <c r="AG57" s="120" t="str">
        <f>BIO!CQ57</f>
        <v/>
      </c>
      <c r="AH57" s="120" t="str">
        <f>HIST!CQ57</f>
        <v/>
      </c>
      <c r="AI57" s="120" t="str">
        <f>'E. C. A '!CQ57</f>
        <v/>
      </c>
      <c r="AJ57" s="120" t="str">
        <f>FILOSOFIA!CQ57</f>
        <v/>
      </c>
      <c r="AK57" s="120" t="str">
        <f>EMP!CQ57</f>
        <v/>
      </c>
      <c r="AL57" s="120" t="str">
        <f>'EDUCACION PARA LA CIUDADANIA '!CQ57</f>
        <v/>
      </c>
      <c r="AM57" s="120" t="str">
        <f>'PAQUETES CONTABLES '!CQ57</f>
        <v/>
      </c>
      <c r="AN57" s="120" t="str">
        <f>'TRIBUTACION '!CQ57</f>
        <v/>
      </c>
      <c r="AO57" s="122" t="str">
        <f t="shared" si="8"/>
        <v>#DIV/0!</v>
      </c>
      <c r="AQ57" s="2" t="str">
        <f t="shared" si="9"/>
        <v/>
      </c>
      <c r="AS57" s="56">
        <v>46.0</v>
      </c>
      <c r="AT57" s="124" t="str">
        <f t="shared" ref="AT57:AU57" si="99">B57</f>
        <v/>
      </c>
      <c r="AU57" s="125" t="str">
        <f t="shared" si="99"/>
        <v/>
      </c>
      <c r="AV57" s="120" t="str">
        <f>LEN!CR57</f>
        <v/>
      </c>
      <c r="AW57" s="120" t="str">
        <f>MATE!CR57</f>
        <v/>
      </c>
      <c r="AX57" s="120" t="str">
        <f>INGLES!CR57</f>
        <v/>
      </c>
      <c r="AY57" s="120" t="str">
        <f>QUIMI!CR57</f>
        <v/>
      </c>
      <c r="AZ57" s="120" t="str">
        <f>FISICA!CQ57</f>
        <v/>
      </c>
      <c r="BA57" s="120" t="str">
        <f>'ED. FISICA'!CR57</f>
        <v/>
      </c>
      <c r="BB57" s="120" t="str">
        <f>'CONTABILIDAD GENERAL '!CR57</f>
        <v/>
      </c>
      <c r="BC57" s="120" t="str">
        <f>BIO!CR57</f>
        <v/>
      </c>
      <c r="BD57" s="120" t="str">
        <f>HIST!CR57</f>
        <v/>
      </c>
      <c r="BE57" s="120" t="str">
        <f>'E. C. A '!CR57</f>
        <v/>
      </c>
      <c r="BF57" s="120" t="str">
        <f>FILOSOFIA!CR57</f>
        <v/>
      </c>
      <c r="BG57" s="120" t="str">
        <f>EMP!CR57</f>
        <v/>
      </c>
      <c r="BH57" s="120" t="str">
        <f>'EDUCACION PARA LA CIUDADANIA '!CR57</f>
        <v/>
      </c>
      <c r="BI57" s="120" t="str">
        <f>'PAQUETES CONTABLES '!CR57</f>
        <v/>
      </c>
      <c r="BJ57" s="120" t="str">
        <f>'TRIBUTACION '!CR57</f>
        <v/>
      </c>
      <c r="BK57" s="122" t="str">
        <f t="shared" si="11"/>
        <v>#DIV/0!</v>
      </c>
    </row>
    <row r="58" ht="15.75" customHeight="1">
      <c r="A58" s="56">
        <v>47.0</v>
      </c>
      <c r="B58" s="124" t="str">
        <f>LEN!B58</f>
        <v/>
      </c>
      <c r="C58" s="125" t="str">
        <f>LEN!C58</f>
        <v/>
      </c>
      <c r="D58" s="120" t="str">
        <f>LEN!CP58</f>
        <v/>
      </c>
      <c r="E58" s="120" t="str">
        <f>MATE!CP58</f>
        <v/>
      </c>
      <c r="F58" s="120" t="str">
        <f>INGLES!CP58</f>
        <v/>
      </c>
      <c r="G58" s="120" t="str">
        <f>QUIMI!CP58</f>
        <v/>
      </c>
      <c r="H58" s="120" t="str">
        <f>FISICA!CO58</f>
        <v/>
      </c>
      <c r="I58" s="120" t="str">
        <f>'ED. FISICA'!CP58</f>
        <v/>
      </c>
      <c r="J58" s="120" t="str">
        <f>'CONTABILIDAD GENERAL '!CP58</f>
        <v/>
      </c>
      <c r="K58" s="120" t="str">
        <f>BIO!CP58</f>
        <v/>
      </c>
      <c r="L58" s="120" t="str">
        <f>HIST!CP58</f>
        <v/>
      </c>
      <c r="M58" s="120" t="str">
        <f>'E. C. A '!CP58</f>
        <v/>
      </c>
      <c r="N58" s="120" t="str">
        <f>FILOSOFIA!CP58</f>
        <v/>
      </c>
      <c r="O58" s="120" t="str">
        <f>EMP!CP58</f>
        <v/>
      </c>
      <c r="P58" s="120" t="str">
        <f>'EDUCACION PARA LA CIUDADANIA '!CP58</f>
        <v/>
      </c>
      <c r="Q58" s="120" t="str">
        <f>'PAQUETES CONTABLES '!CP58</f>
        <v/>
      </c>
      <c r="R58" s="120" t="str">
        <f>'TRIBUTACION '!CP58</f>
        <v/>
      </c>
      <c r="S58" s="122" t="str">
        <f t="shared" si="6"/>
        <v>#DIV/0!</v>
      </c>
      <c r="T58" s="292"/>
      <c r="U58" s="2"/>
      <c r="W58" s="56">
        <v>47.0</v>
      </c>
      <c r="X58" s="124" t="str">
        <f t="shared" ref="X58:Y58" si="100">B58</f>
        <v/>
      </c>
      <c r="Y58" s="188" t="str">
        <f t="shared" si="100"/>
        <v/>
      </c>
      <c r="Z58" s="120" t="str">
        <f>LEN!CQ58</f>
        <v/>
      </c>
      <c r="AA58" s="120" t="str">
        <f>MATE!CQ58</f>
        <v/>
      </c>
      <c r="AB58" s="120" t="str">
        <f>INGLES!CQ58</f>
        <v/>
      </c>
      <c r="AC58" s="120" t="str">
        <f>QUIMI!CQ58</f>
        <v/>
      </c>
      <c r="AD58" s="120" t="str">
        <f>FISICA!CP58</f>
        <v/>
      </c>
      <c r="AE58" s="120" t="str">
        <f>'ED. FISICA'!CQ58</f>
        <v/>
      </c>
      <c r="AF58" s="120" t="str">
        <f>'CONTABILIDAD GENERAL '!CQ58</f>
        <v/>
      </c>
      <c r="AG58" s="120" t="str">
        <f>BIO!CQ58</f>
        <v/>
      </c>
      <c r="AH58" s="120" t="str">
        <f>HIST!CQ58</f>
        <v/>
      </c>
      <c r="AI58" s="120" t="str">
        <f>'E. C. A '!CQ58</f>
        <v/>
      </c>
      <c r="AJ58" s="120" t="str">
        <f>FILOSOFIA!CQ58</f>
        <v/>
      </c>
      <c r="AK58" s="120" t="str">
        <f>EMP!CQ58</f>
        <v/>
      </c>
      <c r="AL58" s="120" t="str">
        <f>'EDUCACION PARA LA CIUDADANIA '!CQ58</f>
        <v/>
      </c>
      <c r="AM58" s="120" t="str">
        <f>'PAQUETES CONTABLES '!CQ58</f>
        <v/>
      </c>
      <c r="AN58" s="120" t="str">
        <f>'TRIBUTACION '!CQ58</f>
        <v/>
      </c>
      <c r="AO58" s="122" t="str">
        <f t="shared" si="8"/>
        <v>#DIV/0!</v>
      </c>
      <c r="AQ58" s="2" t="str">
        <f t="shared" si="9"/>
        <v/>
      </c>
      <c r="AS58" s="56">
        <v>47.0</v>
      </c>
      <c r="AT58" s="124" t="str">
        <f t="shared" ref="AT58:AU58" si="101">B58</f>
        <v/>
      </c>
      <c r="AU58" s="125" t="str">
        <f t="shared" si="101"/>
        <v/>
      </c>
      <c r="AV58" s="120" t="str">
        <f>LEN!CR58</f>
        <v/>
      </c>
      <c r="AW58" s="120" t="str">
        <f>MATE!CR58</f>
        <v/>
      </c>
      <c r="AX58" s="120" t="str">
        <f>INGLES!CR58</f>
        <v/>
      </c>
      <c r="AY58" s="120" t="str">
        <f>QUIMI!CR58</f>
        <v/>
      </c>
      <c r="AZ58" s="120" t="str">
        <f>FISICA!CQ58</f>
        <v/>
      </c>
      <c r="BA58" s="120" t="str">
        <f>'ED. FISICA'!CR58</f>
        <v/>
      </c>
      <c r="BB58" s="120" t="str">
        <f>'CONTABILIDAD GENERAL '!CR58</f>
        <v/>
      </c>
      <c r="BC58" s="120" t="str">
        <f>BIO!CR58</f>
        <v/>
      </c>
      <c r="BD58" s="120" t="str">
        <f>HIST!CR58</f>
        <v/>
      </c>
      <c r="BE58" s="120" t="str">
        <f>'E. C. A '!CR58</f>
        <v/>
      </c>
      <c r="BF58" s="120" t="str">
        <f>FILOSOFIA!CR58</f>
        <v/>
      </c>
      <c r="BG58" s="120" t="str">
        <f>EMP!CR58</f>
        <v/>
      </c>
      <c r="BH58" s="120" t="str">
        <f>'EDUCACION PARA LA CIUDADANIA '!CR58</f>
        <v/>
      </c>
      <c r="BI58" s="120" t="str">
        <f>'PAQUETES CONTABLES '!CR58</f>
        <v/>
      </c>
      <c r="BJ58" s="120" t="str">
        <f>'TRIBUTACION '!CR58</f>
        <v/>
      </c>
      <c r="BK58" s="122" t="str">
        <f t="shared" si="11"/>
        <v>#DIV/0!</v>
      </c>
    </row>
    <row r="59" ht="15.75" customHeight="1">
      <c r="A59" s="56">
        <v>48.0</v>
      </c>
      <c r="B59" s="124" t="str">
        <f>LEN!B59</f>
        <v/>
      </c>
      <c r="C59" s="125" t="str">
        <f>LEN!C59</f>
        <v/>
      </c>
      <c r="D59" s="120" t="str">
        <f>LEN!CP59</f>
        <v/>
      </c>
      <c r="E59" s="120" t="str">
        <f>MATE!CP59</f>
        <v/>
      </c>
      <c r="F59" s="120" t="str">
        <f>INGLES!CP59</f>
        <v/>
      </c>
      <c r="G59" s="120" t="str">
        <f>QUIMI!CP59</f>
        <v/>
      </c>
      <c r="H59" s="120" t="str">
        <f>FISICA!CO59</f>
        <v/>
      </c>
      <c r="I59" s="120" t="str">
        <f>'ED. FISICA'!CP59</f>
        <v/>
      </c>
      <c r="J59" s="120" t="str">
        <f>'CONTABILIDAD GENERAL '!CP59</f>
        <v/>
      </c>
      <c r="K59" s="120" t="str">
        <f>BIO!CP59</f>
        <v/>
      </c>
      <c r="L59" s="120" t="str">
        <f>HIST!CP59</f>
        <v/>
      </c>
      <c r="M59" s="120" t="str">
        <f>'E. C. A '!CP59</f>
        <v/>
      </c>
      <c r="N59" s="120" t="str">
        <f>FILOSOFIA!CP59</f>
        <v/>
      </c>
      <c r="O59" s="120" t="str">
        <f>EMP!CP59</f>
        <v/>
      </c>
      <c r="P59" s="120" t="str">
        <f>'EDUCACION PARA LA CIUDADANIA '!CP59</f>
        <v/>
      </c>
      <c r="Q59" s="120" t="str">
        <f>'PAQUETES CONTABLES '!CP59</f>
        <v/>
      </c>
      <c r="R59" s="120" t="str">
        <f>'TRIBUTACION '!CP59</f>
        <v/>
      </c>
      <c r="S59" s="122" t="str">
        <f t="shared" si="6"/>
        <v>#DIV/0!</v>
      </c>
      <c r="T59" s="292"/>
      <c r="U59" s="2"/>
      <c r="W59" s="56">
        <v>48.0</v>
      </c>
      <c r="X59" s="124" t="str">
        <f t="shared" ref="X59:Y59" si="102">B59</f>
        <v/>
      </c>
      <c r="Y59" s="188" t="str">
        <f t="shared" si="102"/>
        <v/>
      </c>
      <c r="Z59" s="120" t="str">
        <f>LEN!CQ59</f>
        <v/>
      </c>
      <c r="AA59" s="120" t="str">
        <f>MATE!CQ59</f>
        <v/>
      </c>
      <c r="AB59" s="120" t="str">
        <f>INGLES!CQ59</f>
        <v/>
      </c>
      <c r="AC59" s="120" t="str">
        <f>QUIMI!CQ59</f>
        <v/>
      </c>
      <c r="AD59" s="120" t="str">
        <f>FISICA!CP59</f>
        <v/>
      </c>
      <c r="AE59" s="120" t="str">
        <f>'ED. FISICA'!CQ59</f>
        <v/>
      </c>
      <c r="AF59" s="120" t="str">
        <f>'CONTABILIDAD GENERAL '!CQ59</f>
        <v/>
      </c>
      <c r="AG59" s="120" t="str">
        <f>BIO!CQ59</f>
        <v/>
      </c>
      <c r="AH59" s="120" t="str">
        <f>HIST!CQ59</f>
        <v/>
      </c>
      <c r="AI59" s="120" t="str">
        <f>'E. C. A '!CQ59</f>
        <v/>
      </c>
      <c r="AJ59" s="120" t="str">
        <f>FILOSOFIA!CQ59</f>
        <v/>
      </c>
      <c r="AK59" s="120" t="str">
        <f>EMP!CQ59</f>
        <v/>
      </c>
      <c r="AL59" s="120" t="str">
        <f>'EDUCACION PARA LA CIUDADANIA '!CQ59</f>
        <v/>
      </c>
      <c r="AM59" s="120" t="str">
        <f>'PAQUETES CONTABLES '!CQ59</f>
        <v/>
      </c>
      <c r="AN59" s="120" t="str">
        <f>'TRIBUTACION '!CQ59</f>
        <v/>
      </c>
      <c r="AO59" s="122" t="str">
        <f t="shared" si="8"/>
        <v>#DIV/0!</v>
      </c>
      <c r="AQ59" s="2" t="str">
        <f t="shared" si="9"/>
        <v/>
      </c>
      <c r="AS59" s="56">
        <v>48.0</v>
      </c>
      <c r="AT59" s="124" t="str">
        <f t="shared" ref="AT59:AU59" si="103">B59</f>
        <v/>
      </c>
      <c r="AU59" s="125" t="str">
        <f t="shared" si="103"/>
        <v/>
      </c>
      <c r="AV59" s="120" t="str">
        <f>LEN!CR59</f>
        <v/>
      </c>
      <c r="AW59" s="120" t="str">
        <f>MATE!CR59</f>
        <v/>
      </c>
      <c r="AX59" s="120" t="str">
        <f>INGLES!CR59</f>
        <v/>
      </c>
      <c r="AY59" s="120" t="str">
        <f>QUIMI!CR59</f>
        <v/>
      </c>
      <c r="AZ59" s="120" t="str">
        <f>FISICA!CQ59</f>
        <v/>
      </c>
      <c r="BA59" s="120" t="str">
        <f>'ED. FISICA'!CR59</f>
        <v/>
      </c>
      <c r="BB59" s="120" t="str">
        <f>'CONTABILIDAD GENERAL '!CR59</f>
        <v/>
      </c>
      <c r="BC59" s="120" t="str">
        <f>BIO!CR59</f>
        <v/>
      </c>
      <c r="BD59" s="120" t="str">
        <f>HIST!CR59</f>
        <v/>
      </c>
      <c r="BE59" s="120" t="str">
        <f>'E. C. A '!CR59</f>
        <v/>
      </c>
      <c r="BF59" s="120" t="str">
        <f>FILOSOFIA!CR59</f>
        <v/>
      </c>
      <c r="BG59" s="120" t="str">
        <f>EMP!CR59</f>
        <v/>
      </c>
      <c r="BH59" s="120" t="str">
        <f>'EDUCACION PARA LA CIUDADANIA '!CR59</f>
        <v/>
      </c>
      <c r="BI59" s="120" t="str">
        <f>'PAQUETES CONTABLES '!CR59</f>
        <v/>
      </c>
      <c r="BJ59" s="120" t="str">
        <f>'TRIBUTACION '!CR59</f>
        <v/>
      </c>
      <c r="BK59" s="122" t="str">
        <f t="shared" si="11"/>
        <v>#DIV/0!</v>
      </c>
    </row>
    <row r="60" ht="15.75" customHeight="1">
      <c r="A60" s="56">
        <v>49.0</v>
      </c>
      <c r="B60" s="124" t="str">
        <f>LEN!B60</f>
        <v/>
      </c>
      <c r="C60" s="125" t="str">
        <f>LEN!C60</f>
        <v/>
      </c>
      <c r="D60" s="120" t="str">
        <f>LEN!CP60</f>
        <v/>
      </c>
      <c r="E60" s="120" t="str">
        <f>MATE!CP60</f>
        <v/>
      </c>
      <c r="F60" s="120" t="str">
        <f>INGLES!CP60</f>
        <v/>
      </c>
      <c r="G60" s="120" t="str">
        <f>QUIMI!CP60</f>
        <v/>
      </c>
      <c r="H60" s="120" t="str">
        <f>FISICA!CO60</f>
        <v/>
      </c>
      <c r="I60" s="120" t="str">
        <f>'ED. FISICA'!CP60</f>
        <v/>
      </c>
      <c r="J60" s="120" t="str">
        <f>'CONTABILIDAD GENERAL '!CP60</f>
        <v/>
      </c>
      <c r="K60" s="120" t="str">
        <f>BIO!CP60</f>
        <v/>
      </c>
      <c r="L60" s="120" t="str">
        <f>HIST!CP60</f>
        <v/>
      </c>
      <c r="M60" s="120" t="str">
        <f>'E. C. A '!CP60</f>
        <v/>
      </c>
      <c r="N60" s="120" t="str">
        <f>FILOSOFIA!CP60</f>
        <v/>
      </c>
      <c r="O60" s="120" t="str">
        <f>EMP!CP60</f>
        <v/>
      </c>
      <c r="P60" s="120" t="str">
        <f>'EDUCACION PARA LA CIUDADANIA '!CP60</f>
        <v/>
      </c>
      <c r="Q60" s="120" t="str">
        <f>'PAQUETES CONTABLES '!CP60</f>
        <v/>
      </c>
      <c r="R60" s="120" t="str">
        <f>'TRIBUTACION '!CP60</f>
        <v/>
      </c>
      <c r="S60" s="122" t="str">
        <f t="shared" si="6"/>
        <v>#DIV/0!</v>
      </c>
      <c r="T60" s="292"/>
      <c r="U60" s="2"/>
      <c r="W60" s="56">
        <v>49.0</v>
      </c>
      <c r="X60" s="124" t="str">
        <f t="shared" ref="X60:Y60" si="104">B60</f>
        <v/>
      </c>
      <c r="Y60" s="188" t="str">
        <f t="shared" si="104"/>
        <v/>
      </c>
      <c r="Z60" s="120" t="str">
        <f>LEN!CQ60</f>
        <v/>
      </c>
      <c r="AA60" s="120" t="str">
        <f>MATE!CQ60</f>
        <v/>
      </c>
      <c r="AB60" s="120" t="str">
        <f>INGLES!CQ60</f>
        <v/>
      </c>
      <c r="AC60" s="120" t="str">
        <f>QUIMI!CQ60</f>
        <v/>
      </c>
      <c r="AD60" s="120" t="str">
        <f>FISICA!CP60</f>
        <v/>
      </c>
      <c r="AE60" s="120" t="str">
        <f>'ED. FISICA'!CQ60</f>
        <v/>
      </c>
      <c r="AF60" s="120" t="str">
        <f>'CONTABILIDAD GENERAL '!CQ60</f>
        <v/>
      </c>
      <c r="AG60" s="120" t="str">
        <f>BIO!CQ60</f>
        <v/>
      </c>
      <c r="AH60" s="120" t="str">
        <f>HIST!CQ60</f>
        <v/>
      </c>
      <c r="AI60" s="120" t="str">
        <f>'E. C. A '!CQ60</f>
        <v/>
      </c>
      <c r="AJ60" s="120" t="str">
        <f>FILOSOFIA!CQ60</f>
        <v/>
      </c>
      <c r="AK60" s="120" t="str">
        <f>EMP!CQ60</f>
        <v/>
      </c>
      <c r="AL60" s="120" t="str">
        <f>'EDUCACION PARA LA CIUDADANIA '!CQ60</f>
        <v/>
      </c>
      <c r="AM60" s="120" t="str">
        <f>'PAQUETES CONTABLES '!CQ60</f>
        <v/>
      </c>
      <c r="AN60" s="120" t="str">
        <f>'TRIBUTACION '!CQ60</f>
        <v/>
      </c>
      <c r="AO60" s="122" t="str">
        <f t="shared" si="8"/>
        <v>#DIV/0!</v>
      </c>
      <c r="AQ60" s="2" t="str">
        <f t="shared" si="9"/>
        <v/>
      </c>
      <c r="AS60" s="56">
        <v>49.0</v>
      </c>
      <c r="AT60" s="124" t="str">
        <f t="shared" ref="AT60:AU60" si="105">B60</f>
        <v/>
      </c>
      <c r="AU60" s="125" t="str">
        <f t="shared" si="105"/>
        <v/>
      </c>
      <c r="AV60" s="120" t="str">
        <f>LEN!CR60</f>
        <v/>
      </c>
      <c r="AW60" s="120" t="str">
        <f>MATE!CR60</f>
        <v/>
      </c>
      <c r="AX60" s="120" t="str">
        <f>INGLES!CR60</f>
        <v/>
      </c>
      <c r="AY60" s="120" t="str">
        <f>QUIMI!CR60</f>
        <v/>
      </c>
      <c r="AZ60" s="120" t="str">
        <f>FISICA!CQ60</f>
        <v/>
      </c>
      <c r="BA60" s="120" t="str">
        <f>'ED. FISICA'!CR60</f>
        <v/>
      </c>
      <c r="BB60" s="120" t="str">
        <f>'CONTABILIDAD GENERAL '!CR60</f>
        <v/>
      </c>
      <c r="BC60" s="120" t="str">
        <f>BIO!CR60</f>
        <v/>
      </c>
      <c r="BD60" s="120" t="str">
        <f>HIST!CR60</f>
        <v/>
      </c>
      <c r="BE60" s="120" t="str">
        <f>'E. C. A '!CR60</f>
        <v/>
      </c>
      <c r="BF60" s="120" t="str">
        <f>FILOSOFIA!CR60</f>
        <v/>
      </c>
      <c r="BG60" s="120" t="str">
        <f>EMP!CR60</f>
        <v/>
      </c>
      <c r="BH60" s="120" t="str">
        <f>'EDUCACION PARA LA CIUDADANIA '!CR60</f>
        <v/>
      </c>
      <c r="BI60" s="120" t="str">
        <f>'PAQUETES CONTABLES '!CR60</f>
        <v/>
      </c>
      <c r="BJ60" s="120" t="str">
        <f>'TRIBUTACION '!CR60</f>
        <v/>
      </c>
      <c r="BK60" s="122" t="str">
        <f t="shared" si="11"/>
        <v>#DIV/0!</v>
      </c>
    </row>
    <row r="61" ht="15.75" customHeight="1">
      <c r="A61" s="56">
        <v>50.0</v>
      </c>
      <c r="B61" s="124" t="str">
        <f>LEN!B61</f>
        <v/>
      </c>
      <c r="C61" s="125" t="str">
        <f>LEN!C61</f>
        <v/>
      </c>
      <c r="D61" s="120" t="str">
        <f>LEN!CP61</f>
        <v/>
      </c>
      <c r="E61" s="120" t="str">
        <f>MATE!CP61</f>
        <v/>
      </c>
      <c r="F61" s="120" t="str">
        <f>INGLES!CP61</f>
        <v/>
      </c>
      <c r="G61" s="120" t="str">
        <f>QUIMI!CP61</f>
        <v/>
      </c>
      <c r="H61" s="120" t="str">
        <f>FISICA!CO61</f>
        <v/>
      </c>
      <c r="I61" s="120" t="str">
        <f>'ED. FISICA'!CP61</f>
        <v/>
      </c>
      <c r="J61" s="120" t="str">
        <f>'CONTABILIDAD GENERAL '!CP61</f>
        <v/>
      </c>
      <c r="K61" s="120" t="str">
        <f>BIO!CP61</f>
        <v/>
      </c>
      <c r="L61" s="120" t="str">
        <f>HIST!CP61</f>
        <v/>
      </c>
      <c r="M61" s="120" t="str">
        <f>'E. C. A '!CP61</f>
        <v/>
      </c>
      <c r="N61" s="120" t="str">
        <f>FILOSOFIA!CP61</f>
        <v/>
      </c>
      <c r="O61" s="120" t="str">
        <f>EMP!CP61</f>
        <v/>
      </c>
      <c r="P61" s="120" t="str">
        <f>'EDUCACION PARA LA CIUDADANIA '!CP61</f>
        <v/>
      </c>
      <c r="Q61" s="120" t="str">
        <f>'PAQUETES CONTABLES '!CP61</f>
        <v/>
      </c>
      <c r="R61" s="120" t="str">
        <f>'TRIBUTACION '!CP61</f>
        <v/>
      </c>
      <c r="S61" s="122" t="str">
        <f t="shared" si="6"/>
        <v>#DIV/0!</v>
      </c>
      <c r="T61" s="292"/>
      <c r="U61" s="2"/>
      <c r="W61" s="56">
        <v>50.0</v>
      </c>
      <c r="X61" s="124" t="str">
        <f t="shared" ref="X61:Y61" si="106">B61</f>
        <v/>
      </c>
      <c r="Y61" s="188" t="str">
        <f t="shared" si="106"/>
        <v/>
      </c>
      <c r="Z61" s="120" t="str">
        <f>LEN!CQ61</f>
        <v/>
      </c>
      <c r="AA61" s="120" t="str">
        <f>MATE!CQ61</f>
        <v/>
      </c>
      <c r="AB61" s="120" t="str">
        <f>INGLES!CQ61</f>
        <v/>
      </c>
      <c r="AC61" s="120" t="str">
        <f>QUIMI!CQ61</f>
        <v/>
      </c>
      <c r="AD61" s="120" t="str">
        <f>FISICA!CP61</f>
        <v/>
      </c>
      <c r="AE61" s="120" t="str">
        <f>'ED. FISICA'!CQ61</f>
        <v/>
      </c>
      <c r="AF61" s="120" t="str">
        <f>'CONTABILIDAD GENERAL '!CQ61</f>
        <v/>
      </c>
      <c r="AG61" s="120" t="str">
        <f>BIO!CQ61</f>
        <v/>
      </c>
      <c r="AH61" s="120" t="str">
        <f>HIST!CQ61</f>
        <v/>
      </c>
      <c r="AI61" s="120" t="str">
        <f>'E. C. A '!CQ61</f>
        <v/>
      </c>
      <c r="AJ61" s="120">
        <f>FILOSOFIA!CQ61</f>
        <v>0</v>
      </c>
      <c r="AK61" s="120" t="str">
        <f>EMP!CQ61</f>
        <v/>
      </c>
      <c r="AL61" s="120" t="str">
        <f>'EDUCACION PARA LA CIUDADANIA '!CQ61</f>
        <v/>
      </c>
      <c r="AM61" s="120" t="str">
        <f>'PAQUETES CONTABLES '!CQ61</f>
        <v/>
      </c>
      <c r="AN61" s="120" t="str">
        <f>'TRIBUTACION '!CQ61</f>
        <v/>
      </c>
      <c r="AO61" s="122">
        <f t="shared" si="8"/>
        <v>0</v>
      </c>
      <c r="AQ61" s="2" t="str">
        <f t="shared" si="9"/>
        <v/>
      </c>
      <c r="AS61" s="56">
        <v>50.0</v>
      </c>
      <c r="AT61" s="124" t="str">
        <f t="shared" ref="AT61:AU61" si="107">B61</f>
        <v/>
      </c>
      <c r="AU61" s="125" t="str">
        <f t="shared" si="107"/>
        <v/>
      </c>
      <c r="AV61" s="120" t="str">
        <f>LEN!CR61</f>
        <v/>
      </c>
      <c r="AW61" s="120" t="str">
        <f>MATE!CR61</f>
        <v/>
      </c>
      <c r="AX61" s="120" t="str">
        <f>INGLES!CR61</f>
        <v/>
      </c>
      <c r="AY61" s="120" t="str">
        <f>QUIMI!CR61</f>
        <v/>
      </c>
      <c r="AZ61" s="120" t="str">
        <f>FISICA!CQ61</f>
        <v/>
      </c>
      <c r="BA61" s="120" t="str">
        <f>'ED. FISICA'!CR61</f>
        <v/>
      </c>
      <c r="BB61" s="120" t="str">
        <f>'CONTABILIDAD GENERAL '!CR61</f>
        <v/>
      </c>
      <c r="BC61" s="120" t="str">
        <f>BIO!CR61</f>
        <v/>
      </c>
      <c r="BD61" s="120" t="str">
        <f>HIST!CR61</f>
        <v/>
      </c>
      <c r="BE61" s="120" t="str">
        <f>'E. C. A '!CR61</f>
        <v/>
      </c>
      <c r="BF61" s="120" t="str">
        <f>FILOSOFIA!CR61</f>
        <v/>
      </c>
      <c r="BG61" s="120" t="str">
        <f>EMP!CR61</f>
        <v/>
      </c>
      <c r="BH61" s="120" t="str">
        <f>'EDUCACION PARA LA CIUDADANIA '!CR61</f>
        <v/>
      </c>
      <c r="BI61" s="120" t="str">
        <f>'PAQUETES CONTABLES '!CR61</f>
        <v/>
      </c>
      <c r="BJ61" s="120" t="str">
        <f>'TRIBUTACION '!CR61</f>
        <v/>
      </c>
      <c r="BK61" s="122" t="str">
        <f t="shared" si="11"/>
        <v>#DIV/0!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W1:AO1"/>
    <mergeCell ref="A2:B2"/>
    <mergeCell ref="C2:S2"/>
    <mergeCell ref="W2:X2"/>
    <mergeCell ref="Y2:AO2"/>
    <mergeCell ref="AS2:AT2"/>
    <mergeCell ref="AU2:BK2"/>
    <mergeCell ref="AS3:AT3"/>
    <mergeCell ref="AS4:AT4"/>
    <mergeCell ref="AS6:BK6"/>
    <mergeCell ref="AS7:BK7"/>
    <mergeCell ref="A3:B3"/>
    <mergeCell ref="C3:S3"/>
    <mergeCell ref="Y3:AO3"/>
    <mergeCell ref="AU3:BK3"/>
    <mergeCell ref="A4:B4"/>
    <mergeCell ref="D4:F4"/>
    <mergeCell ref="Z4:AB4"/>
    <mergeCell ref="AV4:AX4"/>
    <mergeCell ref="D8:J10"/>
    <mergeCell ref="S8:S11"/>
    <mergeCell ref="W8:Y10"/>
    <mergeCell ref="Z8:AF10"/>
    <mergeCell ref="AS8:AU10"/>
    <mergeCell ref="AV8:BB10"/>
    <mergeCell ref="BK8:BK11"/>
    <mergeCell ref="W3:X3"/>
    <mergeCell ref="W4:X4"/>
    <mergeCell ref="A6:S6"/>
    <mergeCell ref="W6:AO6"/>
    <mergeCell ref="A7:S7"/>
    <mergeCell ref="W7:AO7"/>
    <mergeCell ref="A8:C10"/>
    <mergeCell ref="AO8:AO11"/>
  </mergeCells>
  <conditionalFormatting sqref="D12:R61">
    <cfRule type="cellIs" dxfId="0" priority="1" operator="lessThan">
      <formula>7</formula>
    </cfRule>
  </conditionalFormatting>
  <conditionalFormatting sqref="D12:R61">
    <cfRule type="cellIs" dxfId="0" priority="2" operator="lessThan">
      <formula>7</formula>
    </cfRule>
  </conditionalFormatting>
  <conditionalFormatting sqref="Z12:AN61">
    <cfRule type="cellIs" dxfId="0" priority="3" operator="lessThan">
      <formula>7</formula>
    </cfRule>
  </conditionalFormatting>
  <conditionalFormatting sqref="AV12:BJ61">
    <cfRule type="cellIs" dxfId="0" priority="4" operator="lessThan">
      <formula>7</formula>
    </cfRule>
  </conditionalFormatting>
  <printOptions/>
  <pageMargins bottom="0.75" footer="0.0" header="0.0" left="0.25" right="0.25" top="0.75"/>
  <pageSetup fitToHeight="0" paperSize="5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14"/>
    <col customWidth="1" min="2" max="2" width="11.71"/>
    <col customWidth="1" min="3" max="3" width="40.71"/>
    <col customWidth="1" min="4" max="79" width="4.86"/>
    <col customWidth="1" min="80" max="80" width="5.0"/>
    <col customWidth="1" min="81" max="94" width="4.86"/>
    <col customWidth="1" min="95" max="110" width="10.71"/>
  </cols>
  <sheetData>
    <row r="1" ht="82.5" customHeight="1"/>
    <row r="2" ht="21.0" customHeight="1">
      <c r="A2" s="3" t="s">
        <v>0</v>
      </c>
      <c r="B2" s="4"/>
      <c r="C2" s="5" t="s">
        <v>168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4"/>
    </row>
    <row r="3" ht="21.0" customHeight="1">
      <c r="A3" s="3" t="s">
        <v>2</v>
      </c>
      <c r="B3" s="4"/>
      <c r="C3" s="8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4"/>
    </row>
    <row r="4" ht="21.0" customHeight="1">
      <c r="A4" s="3" t="s">
        <v>4</v>
      </c>
      <c r="B4" s="4"/>
      <c r="C4" s="12"/>
      <c r="D4" s="10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4"/>
      <c r="Q4" s="293"/>
      <c r="R4" s="293"/>
      <c r="S4" s="293"/>
      <c r="T4" s="293"/>
      <c r="U4" s="293"/>
      <c r="V4" s="11" t="s">
        <v>211</v>
      </c>
      <c r="W4" s="11"/>
      <c r="X4" s="11"/>
      <c r="Y4" s="11"/>
      <c r="Z4" s="11"/>
      <c r="AA4" s="11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</row>
    <row r="5" ht="7.5" customHeight="1"/>
    <row r="6" ht="30.0" customHeight="1">
      <c r="A6" s="273" t="s">
        <v>205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4"/>
    </row>
    <row r="7" ht="25.5" customHeight="1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5"/>
      <c r="AR7" s="295"/>
      <c r="AS7" s="295"/>
      <c r="AT7" s="295"/>
      <c r="AU7" s="295"/>
      <c r="AV7" s="295"/>
      <c r="AW7" s="295"/>
      <c r="AX7" s="295"/>
      <c r="AY7" s="295"/>
      <c r="AZ7" s="295"/>
      <c r="BA7" s="295"/>
      <c r="BB7" s="295"/>
      <c r="BC7" s="295"/>
      <c r="BD7" s="295"/>
      <c r="BE7" s="295"/>
      <c r="BF7" s="295"/>
      <c r="BG7" s="295"/>
      <c r="BH7" s="295"/>
      <c r="BI7" s="295"/>
      <c r="BJ7" s="295"/>
      <c r="BK7" s="295"/>
      <c r="BL7" s="295"/>
      <c r="BM7" s="295"/>
      <c r="BN7" s="295"/>
      <c r="BO7" s="295"/>
      <c r="BP7" s="295"/>
      <c r="BQ7" s="295"/>
      <c r="BR7" s="295"/>
      <c r="BS7" s="295"/>
      <c r="BT7" s="295"/>
      <c r="BU7" s="295"/>
      <c r="BV7" s="295"/>
      <c r="BW7" s="295"/>
      <c r="BX7" s="295"/>
      <c r="BY7" s="295"/>
      <c r="BZ7" s="295"/>
      <c r="CA7" s="295"/>
      <c r="CB7" s="295"/>
      <c r="CC7" s="295"/>
      <c r="CD7" s="295"/>
      <c r="CE7" s="295"/>
      <c r="CF7" s="295"/>
      <c r="CG7" s="295"/>
      <c r="CH7" s="295"/>
      <c r="CI7" s="295"/>
      <c r="CJ7" s="295"/>
      <c r="CK7" s="295"/>
      <c r="CL7" s="295"/>
      <c r="CM7" s="295"/>
      <c r="CN7" s="295"/>
      <c r="CO7" s="295"/>
      <c r="CP7" s="296"/>
      <c r="CQ7" s="297"/>
    </row>
    <row r="8" ht="20.25" customHeight="1">
      <c r="A8" s="17" t="s">
        <v>12</v>
      </c>
      <c r="B8" s="18"/>
      <c r="C8" s="19"/>
      <c r="D8" s="298" t="s">
        <v>212</v>
      </c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299"/>
      <c r="AX8" s="299"/>
      <c r="AY8" s="299"/>
      <c r="AZ8" s="299"/>
      <c r="BA8" s="299"/>
      <c r="BB8" s="299"/>
      <c r="BC8" s="299"/>
      <c r="BD8" s="299"/>
      <c r="BE8" s="299"/>
      <c r="BF8" s="299"/>
      <c r="BG8" s="299"/>
      <c r="BH8" s="299"/>
      <c r="BI8" s="299"/>
      <c r="BJ8" s="299"/>
      <c r="BK8" s="299"/>
      <c r="BL8" s="299"/>
      <c r="BM8" s="299"/>
      <c r="BN8" s="299"/>
      <c r="BO8" s="299"/>
      <c r="BP8" s="299"/>
      <c r="BQ8" s="299"/>
      <c r="BR8" s="299"/>
      <c r="BS8" s="299"/>
      <c r="BT8" s="299"/>
      <c r="BU8" s="299"/>
      <c r="BV8" s="299"/>
      <c r="BW8" s="299"/>
      <c r="BX8" s="299"/>
      <c r="BY8" s="299"/>
      <c r="BZ8" s="299"/>
      <c r="CA8" s="299"/>
      <c r="CB8" s="299"/>
      <c r="CC8" s="299"/>
      <c r="CD8" s="299"/>
      <c r="CE8" s="299"/>
      <c r="CF8" s="299"/>
      <c r="CG8" s="299"/>
      <c r="CH8" s="299"/>
      <c r="CI8" s="299"/>
      <c r="CJ8" s="299"/>
      <c r="CK8" s="299"/>
      <c r="CL8" s="299"/>
      <c r="CM8" s="299"/>
      <c r="CN8" s="299"/>
      <c r="CO8" s="300"/>
      <c r="CP8" s="301" t="s">
        <v>213</v>
      </c>
      <c r="CQ8" s="302"/>
    </row>
    <row r="9" ht="27.0" customHeight="1">
      <c r="A9" s="27"/>
      <c r="C9" s="28"/>
      <c r="D9" s="29"/>
      <c r="CO9" s="303"/>
      <c r="CP9" s="304"/>
    </row>
    <row r="10" ht="30.0" customHeight="1">
      <c r="A10" s="32"/>
      <c r="B10" s="33"/>
      <c r="C10" s="34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05"/>
      <c r="CP10" s="304"/>
    </row>
    <row r="11" ht="72.75" customHeight="1">
      <c r="A11" s="38" t="s">
        <v>23</v>
      </c>
      <c r="B11" s="306" t="s">
        <v>24</v>
      </c>
      <c r="C11" s="39" t="s">
        <v>25</v>
      </c>
      <c r="D11" s="307" t="s">
        <v>26</v>
      </c>
      <c r="E11" s="308"/>
      <c r="F11" s="308"/>
      <c r="G11" s="308"/>
      <c r="H11" s="308"/>
      <c r="I11" s="309"/>
      <c r="J11" s="310" t="s">
        <v>27</v>
      </c>
      <c r="K11" s="311"/>
      <c r="L11" s="311"/>
      <c r="M11" s="311"/>
      <c r="N11" s="311"/>
      <c r="O11" s="312"/>
      <c r="P11" s="313" t="s">
        <v>28</v>
      </c>
      <c r="Q11" s="311"/>
      <c r="R11" s="311"/>
      <c r="S11" s="311"/>
      <c r="T11" s="311"/>
      <c r="U11" s="312"/>
      <c r="V11" s="314" t="s">
        <v>29</v>
      </c>
      <c r="W11" s="311"/>
      <c r="X11" s="311"/>
      <c r="Y11" s="311"/>
      <c r="Z11" s="311"/>
      <c r="AA11" s="312"/>
      <c r="AB11" s="315" t="s">
        <v>30</v>
      </c>
      <c r="AC11" s="311"/>
      <c r="AD11" s="311"/>
      <c r="AE11" s="311"/>
      <c r="AF11" s="311"/>
      <c r="AG11" s="312"/>
      <c r="AH11" s="316" t="s">
        <v>31</v>
      </c>
      <c r="AI11" s="311"/>
      <c r="AJ11" s="311"/>
      <c r="AK11" s="311"/>
      <c r="AL11" s="311"/>
      <c r="AM11" s="312"/>
      <c r="AN11" s="317" t="s">
        <v>214</v>
      </c>
      <c r="AO11" s="311"/>
      <c r="AP11" s="311"/>
      <c r="AQ11" s="311"/>
      <c r="AR11" s="311"/>
      <c r="AS11" s="312"/>
      <c r="AT11" s="318" t="s">
        <v>33</v>
      </c>
      <c r="AU11" s="311"/>
      <c r="AV11" s="311"/>
      <c r="AW11" s="311"/>
      <c r="AX11" s="311"/>
      <c r="AY11" s="312"/>
      <c r="AZ11" s="319" t="s">
        <v>215</v>
      </c>
      <c r="BA11" s="311"/>
      <c r="BB11" s="311"/>
      <c r="BC11" s="311"/>
      <c r="BD11" s="311"/>
      <c r="BE11" s="312"/>
      <c r="BF11" s="320" t="s">
        <v>216</v>
      </c>
      <c r="BG11" s="311"/>
      <c r="BH11" s="311"/>
      <c r="BI11" s="311"/>
      <c r="BJ11" s="311"/>
      <c r="BK11" s="312"/>
      <c r="BL11" s="310" t="s">
        <v>217</v>
      </c>
      <c r="BM11" s="311"/>
      <c r="BN11" s="311"/>
      <c r="BO11" s="311"/>
      <c r="BP11" s="311"/>
      <c r="BQ11" s="312"/>
      <c r="BR11" s="321" t="s">
        <v>218</v>
      </c>
      <c r="BS11" s="322"/>
      <c r="BT11" s="322"/>
      <c r="BU11" s="322"/>
      <c r="BV11" s="322"/>
      <c r="BW11" s="323"/>
      <c r="BX11" s="324" t="s">
        <v>219</v>
      </c>
      <c r="BY11" s="322"/>
      <c r="BZ11" s="322"/>
      <c r="CA11" s="322"/>
      <c r="CB11" s="322"/>
      <c r="CC11" s="323"/>
      <c r="CD11" s="325" t="s">
        <v>220</v>
      </c>
      <c r="CE11" s="322"/>
      <c r="CF11" s="322"/>
      <c r="CG11" s="322"/>
      <c r="CH11" s="322"/>
      <c r="CI11" s="323"/>
      <c r="CJ11" s="326" t="s">
        <v>40</v>
      </c>
      <c r="CK11" s="322"/>
      <c r="CL11" s="322"/>
      <c r="CM11" s="322"/>
      <c r="CN11" s="322"/>
      <c r="CO11" s="327"/>
      <c r="CP11" s="304"/>
    </row>
    <row r="12" ht="28.5" customHeight="1">
      <c r="A12" s="328"/>
      <c r="B12" s="329"/>
      <c r="C12" s="328"/>
      <c r="D12" s="330" t="s">
        <v>221</v>
      </c>
      <c r="E12" s="331" t="s">
        <v>222</v>
      </c>
      <c r="F12" s="332" t="s">
        <v>223</v>
      </c>
      <c r="G12" s="333" t="s">
        <v>224</v>
      </c>
      <c r="H12" s="331" t="s">
        <v>225</v>
      </c>
      <c r="I12" s="334" t="s">
        <v>226</v>
      </c>
      <c r="J12" s="335" t="s">
        <v>221</v>
      </c>
      <c r="K12" s="336" t="s">
        <v>222</v>
      </c>
      <c r="L12" s="336" t="s">
        <v>223</v>
      </c>
      <c r="M12" s="336" t="s">
        <v>224</v>
      </c>
      <c r="N12" s="336" t="s">
        <v>225</v>
      </c>
      <c r="O12" s="337" t="s">
        <v>226</v>
      </c>
      <c r="P12" s="338" t="s">
        <v>221</v>
      </c>
      <c r="Q12" s="339" t="s">
        <v>222</v>
      </c>
      <c r="R12" s="339" t="s">
        <v>223</v>
      </c>
      <c r="S12" s="339" t="s">
        <v>224</v>
      </c>
      <c r="T12" s="339" t="s">
        <v>225</v>
      </c>
      <c r="U12" s="340" t="s">
        <v>226</v>
      </c>
      <c r="V12" s="341" t="s">
        <v>221</v>
      </c>
      <c r="W12" s="342" t="s">
        <v>222</v>
      </c>
      <c r="X12" s="342" t="s">
        <v>223</v>
      </c>
      <c r="Y12" s="342" t="s">
        <v>224</v>
      </c>
      <c r="Z12" s="342" t="s">
        <v>225</v>
      </c>
      <c r="AA12" s="343" t="s">
        <v>226</v>
      </c>
      <c r="AB12" s="344" t="s">
        <v>221</v>
      </c>
      <c r="AC12" s="345" t="s">
        <v>222</v>
      </c>
      <c r="AD12" s="345" t="s">
        <v>223</v>
      </c>
      <c r="AE12" s="345" t="s">
        <v>224</v>
      </c>
      <c r="AF12" s="345" t="s">
        <v>225</v>
      </c>
      <c r="AG12" s="346" t="s">
        <v>226</v>
      </c>
      <c r="AH12" s="347" t="s">
        <v>221</v>
      </c>
      <c r="AI12" s="348" t="s">
        <v>222</v>
      </c>
      <c r="AJ12" s="348" t="s">
        <v>223</v>
      </c>
      <c r="AK12" s="348" t="s">
        <v>224</v>
      </c>
      <c r="AL12" s="348" t="s">
        <v>225</v>
      </c>
      <c r="AM12" s="349" t="s">
        <v>226</v>
      </c>
      <c r="AN12" s="350" t="s">
        <v>221</v>
      </c>
      <c r="AO12" s="351" t="s">
        <v>222</v>
      </c>
      <c r="AP12" s="351" t="s">
        <v>223</v>
      </c>
      <c r="AQ12" s="351" t="s">
        <v>224</v>
      </c>
      <c r="AR12" s="351" t="s">
        <v>225</v>
      </c>
      <c r="AS12" s="352" t="s">
        <v>226</v>
      </c>
      <c r="AT12" s="353" t="s">
        <v>221</v>
      </c>
      <c r="AU12" s="354" t="s">
        <v>222</v>
      </c>
      <c r="AV12" s="354" t="s">
        <v>223</v>
      </c>
      <c r="AW12" s="354" t="s">
        <v>224</v>
      </c>
      <c r="AX12" s="354" t="s">
        <v>225</v>
      </c>
      <c r="AY12" s="355" t="s">
        <v>226</v>
      </c>
      <c r="AZ12" s="356" t="s">
        <v>221</v>
      </c>
      <c r="BA12" s="357" t="s">
        <v>222</v>
      </c>
      <c r="BB12" s="357" t="s">
        <v>223</v>
      </c>
      <c r="BC12" s="357" t="s">
        <v>224</v>
      </c>
      <c r="BD12" s="357" t="s">
        <v>225</v>
      </c>
      <c r="BE12" s="358" t="s">
        <v>226</v>
      </c>
      <c r="BF12" s="359" t="s">
        <v>221</v>
      </c>
      <c r="BG12" s="360" t="s">
        <v>222</v>
      </c>
      <c r="BH12" s="360" t="s">
        <v>223</v>
      </c>
      <c r="BI12" s="360" t="s">
        <v>224</v>
      </c>
      <c r="BJ12" s="360" t="s">
        <v>225</v>
      </c>
      <c r="BK12" s="361" t="s">
        <v>226</v>
      </c>
      <c r="BL12" s="362" t="s">
        <v>221</v>
      </c>
      <c r="BM12" s="363" t="s">
        <v>222</v>
      </c>
      <c r="BN12" s="363" t="s">
        <v>223</v>
      </c>
      <c r="BO12" s="363" t="s">
        <v>224</v>
      </c>
      <c r="BP12" s="363" t="s">
        <v>225</v>
      </c>
      <c r="BQ12" s="364" t="s">
        <v>226</v>
      </c>
      <c r="BR12" s="365" t="s">
        <v>221</v>
      </c>
      <c r="BS12" s="366" t="s">
        <v>222</v>
      </c>
      <c r="BT12" s="366" t="s">
        <v>223</v>
      </c>
      <c r="BU12" s="366" t="s">
        <v>224</v>
      </c>
      <c r="BV12" s="367" t="s">
        <v>225</v>
      </c>
      <c r="BW12" s="366" t="s">
        <v>226</v>
      </c>
      <c r="BX12" s="365" t="s">
        <v>221</v>
      </c>
      <c r="BY12" s="366" t="s">
        <v>222</v>
      </c>
      <c r="BZ12" s="366" t="s">
        <v>223</v>
      </c>
      <c r="CA12" s="366" t="s">
        <v>224</v>
      </c>
      <c r="CB12" s="367" t="s">
        <v>225</v>
      </c>
      <c r="CC12" s="366" t="s">
        <v>226</v>
      </c>
      <c r="CD12" s="365" t="s">
        <v>221</v>
      </c>
      <c r="CE12" s="366" t="s">
        <v>222</v>
      </c>
      <c r="CF12" s="366" t="s">
        <v>223</v>
      </c>
      <c r="CG12" s="366" t="s">
        <v>224</v>
      </c>
      <c r="CH12" s="367" t="s">
        <v>225</v>
      </c>
      <c r="CI12" s="366" t="s">
        <v>226</v>
      </c>
      <c r="CJ12" s="365" t="s">
        <v>221</v>
      </c>
      <c r="CK12" s="366" t="s">
        <v>222</v>
      </c>
      <c r="CL12" s="366" t="s">
        <v>223</v>
      </c>
      <c r="CM12" s="366" t="s">
        <v>224</v>
      </c>
      <c r="CN12" s="367" t="s">
        <v>225</v>
      </c>
      <c r="CO12" s="367" t="s">
        <v>226</v>
      </c>
      <c r="CP12" s="368"/>
    </row>
    <row r="13" ht="15.0" customHeight="1">
      <c r="A13" s="56">
        <v>1.0</v>
      </c>
      <c r="B13" s="124" t="str">
        <f>'SABANA CALIFICACIONES'!B12</f>
        <v/>
      </c>
      <c r="C13" s="125" t="str">
        <f>'SABANA CALIFICACIONES'!C12</f>
        <v>Almeida Alvarado Ariana Guisela</v>
      </c>
      <c r="D13" s="369">
        <f>LEN!CP12</f>
        <v>9.3</v>
      </c>
      <c r="E13" s="120">
        <f>LEN!CQ12</f>
        <v>9.75</v>
      </c>
      <c r="F13" s="370">
        <f>LEN!CR12</f>
        <v>0</v>
      </c>
      <c r="G13" s="371">
        <f t="shared" ref="G13:G62" si="1">AVERAGE(D13:F13)</f>
        <v>6.35</v>
      </c>
      <c r="H13" s="120" t="str">
        <f>LEN!DB12</f>
        <v/>
      </c>
      <c r="I13" s="372">
        <f t="shared" ref="I13:I62" si="2">IF(G13&gt;H13,G13,H13)</f>
        <v>6.35</v>
      </c>
      <c r="J13" s="369">
        <f>MATE!CP12</f>
        <v>9.03</v>
      </c>
      <c r="K13" s="120">
        <f>MATE!CQ12</f>
        <v>9.38</v>
      </c>
      <c r="L13" s="120">
        <f>MATE!CR12</f>
        <v>0</v>
      </c>
      <c r="M13" s="120">
        <f t="shared" ref="M13:M62" si="3">AVERAGE(J13:L13)</f>
        <v>6.136666667</v>
      </c>
      <c r="N13" s="120" t="str">
        <f>MATE!DB12</f>
        <v/>
      </c>
      <c r="O13" s="370">
        <f t="shared" ref="O13:O62" si="4">IF(M13&gt;N13,M13,N13)</f>
        <v>6.136666667</v>
      </c>
      <c r="P13" s="369">
        <f>INGLES!CP12</f>
        <v>9.63</v>
      </c>
      <c r="Q13" s="120">
        <f>INGLES!CQ12</f>
        <v>9.38</v>
      </c>
      <c r="R13" s="120">
        <f>INGLES!CR12</f>
        <v>0</v>
      </c>
      <c r="S13" s="120">
        <f t="shared" ref="S13:S62" si="5">AVERAGE(P13:R13)</f>
        <v>6.336666667</v>
      </c>
      <c r="T13" s="120" t="str">
        <f>INGLES!DB12</f>
        <v/>
      </c>
      <c r="U13" s="370">
        <f t="shared" ref="U13:U62" si="6">IF(S13&gt;T13,S13,T13)</f>
        <v>6.336666667</v>
      </c>
      <c r="V13" s="369">
        <f>QUIMI!CP12</f>
        <v>9.7</v>
      </c>
      <c r="W13" s="120">
        <f>QUIMI!CQ12</f>
        <v>10</v>
      </c>
      <c r="X13" s="120">
        <f>QUIMI!CR12</f>
        <v>0</v>
      </c>
      <c r="Y13" s="120">
        <f t="shared" ref="Y13:Y62" si="7">AVERAGE(V13:X13)</f>
        <v>6.566666667</v>
      </c>
      <c r="Z13" s="120" t="str">
        <f>QUIMI!DB12</f>
        <v/>
      </c>
      <c r="AA13" s="370">
        <f t="shared" ref="AA13:AA62" si="8">IF(Y13&gt;Z13,Y13,Z13)</f>
        <v>6.566666667</v>
      </c>
      <c r="AB13" s="369">
        <f>FISICA!CO12</f>
        <v>9.76</v>
      </c>
      <c r="AC13" s="120">
        <f>FISICA!CP12</f>
        <v>9.7</v>
      </c>
      <c r="AD13" s="120">
        <f>FISICA!CQ12</f>
        <v>7</v>
      </c>
      <c r="AE13" s="120">
        <f t="shared" ref="AE13:AE62" si="9">AVERAGE(AB13:AD13)</f>
        <v>8.82</v>
      </c>
      <c r="AF13" s="120" t="str">
        <f>FISICA!DA12</f>
        <v/>
      </c>
      <c r="AG13" s="370">
        <f t="shared" ref="AG13:AG62" si="10">IF(AE13&gt;AF13,AE13,AF13)</f>
        <v>8.82</v>
      </c>
      <c r="AH13" s="369">
        <f>'ED. FISICA'!CP12</f>
        <v>9.53</v>
      </c>
      <c r="AI13" s="120">
        <f>'ED. FISICA'!CQ12</f>
        <v>9.5</v>
      </c>
      <c r="AJ13" s="120">
        <f>'ED. FISICA'!CR12</f>
        <v>0</v>
      </c>
      <c r="AK13" s="120">
        <f t="shared" ref="AK13:AK62" si="11">AVERAGE(AH13:AJ13)</f>
        <v>6.343333333</v>
      </c>
      <c r="AL13" s="120" t="str">
        <f>'ED. FISICA'!DB12</f>
        <v/>
      </c>
      <c r="AM13" s="370">
        <f t="shared" ref="AM13:AM62" si="12">IF(AK13&gt;AL13,AK13,AL13)</f>
        <v>6.343333333</v>
      </c>
      <c r="AN13" s="369">
        <f>'CONTABILIDAD GENERAL '!CP12</f>
        <v>10</v>
      </c>
      <c r="AO13" s="120">
        <f>'CONTABILIDAD GENERAL '!CQ12</f>
        <v>9.65</v>
      </c>
      <c r="AP13" s="120">
        <f>'CONTABILIDAD GENERAL '!CR12</f>
        <v>0</v>
      </c>
      <c r="AQ13" s="120">
        <f t="shared" ref="AQ13:AQ62" si="13">AVERAGE(AN13:AP13)</f>
        <v>6.55</v>
      </c>
      <c r="AR13" s="373" t="str">
        <f>'CONTABILIDAD GENERAL '!DB12</f>
        <v/>
      </c>
      <c r="AS13" s="372">
        <f t="shared" ref="AS13:AS62" si="14">IF(AQ13&gt;AR13,AQ13,AR13)</f>
        <v>6.55</v>
      </c>
      <c r="AT13" s="374">
        <f>BIO!CP12</f>
        <v>10</v>
      </c>
      <c r="AU13" s="375">
        <f>BIO!CQ12</f>
        <v>10</v>
      </c>
      <c r="AV13" s="375">
        <f>BIO!CR12</f>
        <v>0</v>
      </c>
      <c r="AW13" s="376">
        <f t="shared" ref="AW13:AW62" si="15">AVERAGE(AT13:AV13)</f>
        <v>6.666666667</v>
      </c>
      <c r="AX13" s="375" t="str">
        <f>BIO!DB12</f>
        <v/>
      </c>
      <c r="AY13" s="377">
        <f t="shared" ref="AY13:AY62" si="16">IF(AW13&gt;AX13,AW13,AX13)</f>
        <v>6.666666667</v>
      </c>
      <c r="AZ13" s="60">
        <f>HIST!CP12</f>
        <v>10</v>
      </c>
      <c r="BA13" s="60">
        <f>HIST!CQ12</f>
        <v>10</v>
      </c>
      <c r="BB13" s="60">
        <f>HIST!CR12</f>
        <v>0</v>
      </c>
      <c r="BC13" s="378">
        <f t="shared" ref="BC13:BC62" si="17">AVERAGE(AZ13:BB13)</f>
        <v>6.666666667</v>
      </c>
      <c r="BD13" s="379" t="str">
        <f>HIST!DB12</f>
        <v/>
      </c>
      <c r="BE13" s="377">
        <f t="shared" ref="BE13:BE62" si="18">IF(BC13&gt;BD13,BC13,BD13)</f>
        <v>6.666666667</v>
      </c>
      <c r="BF13" s="374">
        <f>'E. C. A '!CP12</f>
        <v>9.35</v>
      </c>
      <c r="BG13" s="375">
        <f>'E. C. A '!CQ12</f>
        <v>10</v>
      </c>
      <c r="BH13" s="375">
        <f>'E. C. A '!CR12</f>
        <v>0</v>
      </c>
      <c r="BI13" s="375">
        <f t="shared" ref="BI13:BI62" si="19">AVERAGE(BF13:BH13)</f>
        <v>6.45</v>
      </c>
      <c r="BJ13" s="375" t="str">
        <f>'E. C. A '!DB12</f>
        <v/>
      </c>
      <c r="BK13" s="380">
        <f t="shared" ref="BK13:BK62" si="20">IF(BI13&gt;BJ13,BI13,BJ13)</f>
        <v>6.45</v>
      </c>
      <c r="BL13" s="381">
        <f>FILOSOFIA!CP12</f>
        <v>10</v>
      </c>
      <c r="BM13" s="375">
        <f>FILOSOFIA!CQ12</f>
        <v>10</v>
      </c>
      <c r="BN13" s="375">
        <f>FILOSOFIA!CR12</f>
        <v>0</v>
      </c>
      <c r="BO13" s="375">
        <f t="shared" ref="BO13:BO62" si="21">AVERAGE(BL13:BN13)</f>
        <v>6.666666667</v>
      </c>
      <c r="BP13" s="375" t="str">
        <f>FILOSOFIA!DB12</f>
        <v/>
      </c>
      <c r="BQ13" s="382">
        <f t="shared" ref="BQ13:BQ62" si="22">IF(BO13&gt;BP13,BO13,BP13)</f>
        <v>6.666666667</v>
      </c>
      <c r="BR13" s="383">
        <f>EMP!CP12</f>
        <v>9.89</v>
      </c>
      <c r="BS13" s="376">
        <f>EMP!CQ12</f>
        <v>10</v>
      </c>
      <c r="BT13" s="376">
        <f>EMP!CR12</f>
        <v>0</v>
      </c>
      <c r="BU13" s="376">
        <f t="shared" ref="BU13:BU62" si="23">AVERAGE(BR13:BT13)</f>
        <v>6.63</v>
      </c>
      <c r="BV13" s="377"/>
      <c r="BW13" s="380">
        <f t="shared" ref="BW13:BW62" si="24">IF(BU13&gt;BV13,BU13,BV13)</f>
        <v>6.63</v>
      </c>
      <c r="BX13" s="374">
        <f>'EDUCACION PARA LA CIUDADANIA '!CP12</f>
        <v>10</v>
      </c>
      <c r="BY13" s="375">
        <f>'EDUCACION PARA LA CIUDADANIA '!CQ12</f>
        <v>10</v>
      </c>
      <c r="BZ13" s="375">
        <f>'EDUCACION PARA LA CIUDADANIA '!CR12</f>
        <v>0</v>
      </c>
      <c r="CA13" s="375">
        <f t="shared" ref="CA13:CA62" si="25">AVERAGE(BX13:BZ13)</f>
        <v>6.666666667</v>
      </c>
      <c r="CB13" s="375" t="str">
        <f>'EDUCACION PARA LA CIUDADANIA '!DB12</f>
        <v/>
      </c>
      <c r="CC13" s="380">
        <f t="shared" ref="CC13:CC62" si="26">IF(CA13&gt;CB13,CA13,CB13)</f>
        <v>6.666666667</v>
      </c>
      <c r="CD13" s="374">
        <f>'PAQUETES CONTABLES '!CP12</f>
        <v>9.69</v>
      </c>
      <c r="CE13" s="375">
        <f>'PAQUETES CONTABLES '!CQ12</f>
        <v>10</v>
      </c>
      <c r="CF13" s="375">
        <f>'PAQUETES CONTABLES '!CR12</f>
        <v>0</v>
      </c>
      <c r="CG13" s="375">
        <f t="shared" ref="CG13:CG62" si="27">AVERAGE(CD13:CF13)</f>
        <v>6.563333333</v>
      </c>
      <c r="CH13" s="375" t="str">
        <f>'PAQUETES CONTABLES '!DB12</f>
        <v/>
      </c>
      <c r="CI13" s="380">
        <f t="shared" ref="CI13:CI62" si="28">IF(CG13&gt;CH13,CG13,CH13)</f>
        <v>6.563333333</v>
      </c>
      <c r="CJ13" s="374">
        <f>'TRIBUTACION '!CP12</f>
        <v>8.86</v>
      </c>
      <c r="CK13" s="375">
        <f>'TRIBUTACION '!CQ12</f>
        <v>9.55</v>
      </c>
      <c r="CL13" s="375">
        <f>'TRIBUTACION '!CR12</f>
        <v>0</v>
      </c>
      <c r="CM13" s="375">
        <f t="shared" ref="CM13:CM62" si="29">AVERAGE(CJ13:CL13)</f>
        <v>6.136666667</v>
      </c>
      <c r="CN13" s="375" t="str">
        <f>'TRIBUTACION '!DB12</f>
        <v/>
      </c>
      <c r="CO13" s="380">
        <f t="shared" ref="CO13:CO62" si="30">IF(CM13&gt;CN13,CM13,CN13)</f>
        <v>6.136666667</v>
      </c>
      <c r="CP13" s="61">
        <f t="shared" ref="CP13:CP62" si="31">(I13+O13+U13+AA13+AG13+AM13+BW13)/7</f>
        <v>6.74047619</v>
      </c>
      <c r="CQ13" s="292"/>
      <c r="DF13" s="384" t="str">
        <f t="shared" ref="DF13:DF42" si="32">IFERROR(TRUNC(SUM(#REF!+#REF!),2),"")</f>
        <v/>
      </c>
    </row>
    <row r="14">
      <c r="A14" s="56">
        <v>2.0</v>
      </c>
      <c r="B14" s="124" t="str">
        <f>'SABANA CALIFICACIONES'!B13</f>
        <v/>
      </c>
      <c r="C14" s="125" t="str">
        <f>'SABANA CALIFICACIONES'!C13</f>
        <v>Alvarado Vargas Dacmar Alejandra</v>
      </c>
      <c r="D14" s="369">
        <f>LEN!CP13</f>
        <v>9.3</v>
      </c>
      <c r="E14" s="120">
        <f>LEN!CQ13</f>
        <v>9.35</v>
      </c>
      <c r="F14" s="370">
        <f>LEN!CR13</f>
        <v>0</v>
      </c>
      <c r="G14" s="371">
        <f t="shared" si="1"/>
        <v>6.216666667</v>
      </c>
      <c r="H14" s="120" t="str">
        <f>LEN!DB13</f>
        <v/>
      </c>
      <c r="I14" s="372">
        <f t="shared" si="2"/>
        <v>6.216666667</v>
      </c>
      <c r="J14" s="369">
        <f>MATE!CP13</f>
        <v>8.53</v>
      </c>
      <c r="K14" s="120">
        <f>MATE!CQ13</f>
        <v>8.53</v>
      </c>
      <c r="L14" s="120">
        <f>MATE!CR13</f>
        <v>0</v>
      </c>
      <c r="M14" s="120">
        <f t="shared" si="3"/>
        <v>5.686666667</v>
      </c>
      <c r="N14" s="120" t="str">
        <f>MATE!DB13</f>
        <v/>
      </c>
      <c r="O14" s="370">
        <f t="shared" si="4"/>
        <v>5.686666667</v>
      </c>
      <c r="P14" s="369">
        <f>INGLES!CP13</f>
        <v>9.37</v>
      </c>
      <c r="Q14" s="120">
        <f>INGLES!CQ13</f>
        <v>8.3</v>
      </c>
      <c r="R14" s="120">
        <f>INGLES!CR13</f>
        <v>0</v>
      </c>
      <c r="S14" s="120">
        <f t="shared" si="5"/>
        <v>5.89</v>
      </c>
      <c r="T14" s="120" t="str">
        <f>INGLES!DB13</f>
        <v/>
      </c>
      <c r="U14" s="370">
        <f t="shared" si="6"/>
        <v>5.89</v>
      </c>
      <c r="V14" s="369">
        <f>QUIMI!CP13</f>
        <v>9.55</v>
      </c>
      <c r="W14" s="120">
        <f>QUIMI!CQ13</f>
        <v>9.55</v>
      </c>
      <c r="X14" s="120">
        <f>QUIMI!CR13</f>
        <v>0</v>
      </c>
      <c r="Y14" s="120">
        <f t="shared" si="7"/>
        <v>6.366666667</v>
      </c>
      <c r="Z14" s="120" t="str">
        <f>QUIMI!DB13</f>
        <v/>
      </c>
      <c r="AA14" s="370">
        <f t="shared" si="8"/>
        <v>6.366666667</v>
      </c>
      <c r="AB14" s="369">
        <f>FISICA!CO13</f>
        <v>9.76</v>
      </c>
      <c r="AC14" s="120">
        <f>FISICA!CP13</f>
        <v>8.85</v>
      </c>
      <c r="AD14" s="120">
        <f>FISICA!CQ13</f>
        <v>7</v>
      </c>
      <c r="AE14" s="120">
        <f t="shared" si="9"/>
        <v>8.536666667</v>
      </c>
      <c r="AF14" s="120" t="str">
        <f>FISICA!DA13</f>
        <v/>
      </c>
      <c r="AG14" s="370">
        <f t="shared" si="10"/>
        <v>8.536666667</v>
      </c>
      <c r="AH14" s="369">
        <f>'ED. FISICA'!CP13</f>
        <v>9.53</v>
      </c>
      <c r="AI14" s="120">
        <f>'ED. FISICA'!CQ13</f>
        <v>9.5</v>
      </c>
      <c r="AJ14" s="120">
        <f>'ED. FISICA'!CR13</f>
        <v>0</v>
      </c>
      <c r="AK14" s="120">
        <f t="shared" si="11"/>
        <v>6.343333333</v>
      </c>
      <c r="AL14" s="120" t="str">
        <f>'ED. FISICA'!DB13</f>
        <v/>
      </c>
      <c r="AM14" s="370">
        <f t="shared" si="12"/>
        <v>6.343333333</v>
      </c>
      <c r="AN14" s="369">
        <f>'CONTABILIDAD GENERAL '!CP13</f>
        <v>10</v>
      </c>
      <c r="AO14" s="120">
        <f>'CONTABILIDAD GENERAL '!CQ13</f>
        <v>10</v>
      </c>
      <c r="AP14" s="120">
        <f>'CONTABILIDAD GENERAL '!CR13</f>
        <v>0</v>
      </c>
      <c r="AQ14" s="120">
        <f t="shared" si="13"/>
        <v>6.666666667</v>
      </c>
      <c r="AR14" s="373" t="str">
        <f>'CONTABILIDAD GENERAL '!DB13</f>
        <v/>
      </c>
      <c r="AS14" s="372">
        <f t="shared" si="14"/>
        <v>6.666666667</v>
      </c>
      <c r="AT14" s="374">
        <f>BIO!CP13</f>
        <v>10</v>
      </c>
      <c r="AU14" s="375">
        <f>BIO!CQ13</f>
        <v>10</v>
      </c>
      <c r="AV14" s="375">
        <f>BIO!CR13</f>
        <v>0</v>
      </c>
      <c r="AW14" s="376">
        <f t="shared" si="15"/>
        <v>6.666666667</v>
      </c>
      <c r="AX14" s="375" t="str">
        <f>BIO!DB13</f>
        <v/>
      </c>
      <c r="AY14" s="377">
        <f t="shared" si="16"/>
        <v>6.666666667</v>
      </c>
      <c r="AZ14" s="60">
        <f>HIST!CP13</f>
        <v>10</v>
      </c>
      <c r="BA14" s="60">
        <f>HIST!CQ13</f>
        <v>10</v>
      </c>
      <c r="BB14" s="60">
        <f>HIST!CR13</f>
        <v>0</v>
      </c>
      <c r="BC14" s="378">
        <f t="shared" si="17"/>
        <v>6.666666667</v>
      </c>
      <c r="BD14" s="379" t="str">
        <f>HIST!DB13</f>
        <v/>
      </c>
      <c r="BE14" s="377">
        <f t="shared" si="18"/>
        <v>6.666666667</v>
      </c>
      <c r="BF14" s="374">
        <f>'E. C. A '!CP13</f>
        <v>8.65</v>
      </c>
      <c r="BG14" s="375">
        <f>'E. C. A '!CQ13</f>
        <v>10</v>
      </c>
      <c r="BH14" s="375">
        <f>'E. C. A '!CR13</f>
        <v>0</v>
      </c>
      <c r="BI14" s="375">
        <f t="shared" si="19"/>
        <v>6.216666667</v>
      </c>
      <c r="BJ14" s="375" t="str">
        <f>'E. C. A '!DB13</f>
        <v/>
      </c>
      <c r="BK14" s="380">
        <f t="shared" si="20"/>
        <v>6.216666667</v>
      </c>
      <c r="BL14" s="381">
        <f>FILOSOFIA!CP13</f>
        <v>9.35</v>
      </c>
      <c r="BM14" s="375">
        <f>FILOSOFIA!CQ13</f>
        <v>10</v>
      </c>
      <c r="BN14" s="375">
        <f>FILOSOFIA!CR13</f>
        <v>0</v>
      </c>
      <c r="BO14" s="375">
        <f t="shared" si="21"/>
        <v>6.45</v>
      </c>
      <c r="BP14" s="375" t="str">
        <f>FILOSOFIA!DB13</f>
        <v/>
      </c>
      <c r="BQ14" s="382">
        <f t="shared" si="22"/>
        <v>6.45</v>
      </c>
      <c r="BR14" s="383">
        <f>EMP!CP13</f>
        <v>9.85</v>
      </c>
      <c r="BS14" s="376">
        <f>EMP!CQ13</f>
        <v>10</v>
      </c>
      <c r="BT14" s="376">
        <f>EMP!CR13</f>
        <v>0</v>
      </c>
      <c r="BU14" s="376">
        <f t="shared" si="23"/>
        <v>6.616666667</v>
      </c>
      <c r="BV14" s="377"/>
      <c r="BW14" s="380">
        <f t="shared" si="24"/>
        <v>6.616666667</v>
      </c>
      <c r="BX14" s="374">
        <f>'EDUCACION PARA LA CIUDADANIA '!CP13</f>
        <v>9.41</v>
      </c>
      <c r="BY14" s="375">
        <f>'EDUCACION PARA LA CIUDADANIA '!CQ13</f>
        <v>10</v>
      </c>
      <c r="BZ14" s="375">
        <f>'EDUCACION PARA LA CIUDADANIA '!CR13</f>
        <v>0</v>
      </c>
      <c r="CA14" s="375">
        <f t="shared" si="25"/>
        <v>6.47</v>
      </c>
      <c r="CB14" s="375" t="str">
        <f>'EDUCACION PARA LA CIUDADANIA '!DB13</f>
        <v/>
      </c>
      <c r="CC14" s="380">
        <f t="shared" si="26"/>
        <v>6.47</v>
      </c>
      <c r="CD14" s="374">
        <f>'PAQUETES CONTABLES '!CP13</f>
        <v>9.79</v>
      </c>
      <c r="CE14" s="375">
        <f>'PAQUETES CONTABLES '!CQ13</f>
        <v>10</v>
      </c>
      <c r="CF14" s="375">
        <f>'PAQUETES CONTABLES '!CR13</f>
        <v>0</v>
      </c>
      <c r="CG14" s="375">
        <f t="shared" si="27"/>
        <v>6.596666667</v>
      </c>
      <c r="CH14" s="375" t="str">
        <f>'PAQUETES CONTABLES '!DB13</f>
        <v/>
      </c>
      <c r="CI14" s="380">
        <f t="shared" si="28"/>
        <v>6.596666667</v>
      </c>
      <c r="CJ14" s="374">
        <f>'TRIBUTACION '!CP13</f>
        <v>9.14</v>
      </c>
      <c r="CK14" s="375">
        <f>'TRIBUTACION '!CQ13</f>
        <v>7.68</v>
      </c>
      <c r="CL14" s="375">
        <f>'TRIBUTACION '!CR13</f>
        <v>0</v>
      </c>
      <c r="CM14" s="375">
        <f t="shared" si="29"/>
        <v>5.606666667</v>
      </c>
      <c r="CN14" s="375" t="str">
        <f>'TRIBUTACION '!DB13</f>
        <v/>
      </c>
      <c r="CO14" s="380">
        <f t="shared" si="30"/>
        <v>5.606666667</v>
      </c>
      <c r="CP14" s="61">
        <f t="shared" si="31"/>
        <v>6.522380952</v>
      </c>
      <c r="DF14" s="384" t="str">
        <f t="shared" si="32"/>
        <v/>
      </c>
    </row>
    <row r="15">
      <c r="A15" s="56">
        <v>3.0</v>
      </c>
      <c r="B15" s="124" t="str">
        <f>'SABANA CALIFICACIONES'!B14</f>
        <v/>
      </c>
      <c r="C15" s="125" t="str">
        <f>'SABANA CALIFICACIONES'!C14</f>
        <v>Ampuero Cornejo Cesar Jeanpierre</v>
      </c>
      <c r="D15" s="369">
        <f>LEN!CP14</f>
        <v>8.33</v>
      </c>
      <c r="E15" s="120">
        <f>LEN!CQ14</f>
        <v>8.15</v>
      </c>
      <c r="F15" s="370">
        <f>LEN!CR14</f>
        <v>0</v>
      </c>
      <c r="G15" s="371">
        <f t="shared" si="1"/>
        <v>5.493333333</v>
      </c>
      <c r="H15" s="120" t="str">
        <f>LEN!DB14</f>
        <v/>
      </c>
      <c r="I15" s="372">
        <f t="shared" si="2"/>
        <v>5.493333333</v>
      </c>
      <c r="J15" s="369">
        <f>MATE!CP14</f>
        <v>7.18</v>
      </c>
      <c r="K15" s="120">
        <f>MATE!CQ14</f>
        <v>7.83</v>
      </c>
      <c r="L15" s="120">
        <f>MATE!CR14</f>
        <v>0</v>
      </c>
      <c r="M15" s="120">
        <f t="shared" si="3"/>
        <v>5.003333333</v>
      </c>
      <c r="N15" s="120" t="str">
        <f>MATE!DB14</f>
        <v/>
      </c>
      <c r="O15" s="370">
        <f t="shared" si="4"/>
        <v>5.003333333</v>
      </c>
      <c r="P15" s="369">
        <f>INGLES!CP14</f>
        <v>9.07</v>
      </c>
      <c r="Q15" s="120">
        <f>INGLES!CQ14</f>
        <v>9.15</v>
      </c>
      <c r="R15" s="120">
        <f>INGLES!CR14</f>
        <v>0</v>
      </c>
      <c r="S15" s="120">
        <f t="shared" si="5"/>
        <v>6.073333333</v>
      </c>
      <c r="T15" s="120" t="str">
        <f>INGLES!DB14</f>
        <v/>
      </c>
      <c r="U15" s="370">
        <f t="shared" si="6"/>
        <v>6.073333333</v>
      </c>
      <c r="V15" s="369">
        <f>QUIMI!CP14</f>
        <v>8.65</v>
      </c>
      <c r="W15" s="120">
        <f>QUIMI!CQ14</f>
        <v>8.37</v>
      </c>
      <c r="X15" s="120">
        <f>QUIMI!CR14</f>
        <v>0</v>
      </c>
      <c r="Y15" s="120">
        <f t="shared" si="7"/>
        <v>5.673333333</v>
      </c>
      <c r="Z15" s="120" t="str">
        <f>QUIMI!DB14</f>
        <v/>
      </c>
      <c r="AA15" s="370">
        <f t="shared" si="8"/>
        <v>5.673333333</v>
      </c>
      <c r="AB15" s="369">
        <f>FISICA!CO14</f>
        <v>8.68</v>
      </c>
      <c r="AC15" s="120">
        <f>FISICA!CP14</f>
        <v>8.61</v>
      </c>
      <c r="AD15" s="120">
        <f>FISICA!CQ14</f>
        <v>4.9</v>
      </c>
      <c r="AE15" s="120">
        <f t="shared" si="9"/>
        <v>7.396666667</v>
      </c>
      <c r="AF15" s="120" t="str">
        <f>FISICA!DA14</f>
        <v/>
      </c>
      <c r="AG15" s="370">
        <f t="shared" si="10"/>
        <v>7.396666667</v>
      </c>
      <c r="AH15" s="369">
        <f>'ED. FISICA'!CP14</f>
        <v>9.26</v>
      </c>
      <c r="AI15" s="120">
        <f>'ED. FISICA'!CQ14</f>
        <v>9.5</v>
      </c>
      <c r="AJ15" s="120">
        <f>'ED. FISICA'!CR14</f>
        <v>0</v>
      </c>
      <c r="AK15" s="120">
        <f t="shared" si="11"/>
        <v>6.253333333</v>
      </c>
      <c r="AL15" s="120" t="str">
        <f>'ED. FISICA'!DB14</f>
        <v/>
      </c>
      <c r="AM15" s="370">
        <f t="shared" si="12"/>
        <v>6.253333333</v>
      </c>
      <c r="AN15" s="369">
        <f>'CONTABILIDAD GENERAL '!CP14</f>
        <v>9.58</v>
      </c>
      <c r="AO15" s="120">
        <f>'CONTABILIDAD GENERAL '!CQ14</f>
        <v>9.5</v>
      </c>
      <c r="AP15" s="120">
        <f>'CONTABILIDAD GENERAL '!CR14</f>
        <v>0</v>
      </c>
      <c r="AQ15" s="120">
        <f t="shared" si="13"/>
        <v>6.36</v>
      </c>
      <c r="AR15" s="373" t="str">
        <f>'CONTABILIDAD GENERAL '!DB14</f>
        <v/>
      </c>
      <c r="AS15" s="372">
        <f t="shared" si="14"/>
        <v>6.36</v>
      </c>
      <c r="AT15" s="374">
        <f>BIO!CP14</f>
        <v>7.48</v>
      </c>
      <c r="AU15" s="375">
        <f>BIO!CQ14</f>
        <v>7.95</v>
      </c>
      <c r="AV15" s="375">
        <f>BIO!CR14</f>
        <v>0</v>
      </c>
      <c r="AW15" s="376">
        <f t="shared" si="15"/>
        <v>5.143333333</v>
      </c>
      <c r="AX15" s="375" t="str">
        <f>BIO!DB14</f>
        <v/>
      </c>
      <c r="AY15" s="377">
        <f t="shared" si="16"/>
        <v>5.143333333</v>
      </c>
      <c r="AZ15" s="60">
        <f>HIST!CP14</f>
        <v>9.73</v>
      </c>
      <c r="BA15" s="60">
        <f>HIST!CQ14</f>
        <v>9.65</v>
      </c>
      <c r="BB15" s="60">
        <f>HIST!CR14</f>
        <v>0</v>
      </c>
      <c r="BC15" s="378">
        <f t="shared" si="17"/>
        <v>6.46</v>
      </c>
      <c r="BD15" s="379" t="str">
        <f>HIST!DB14</f>
        <v/>
      </c>
      <c r="BE15" s="377">
        <f t="shared" si="18"/>
        <v>6.46</v>
      </c>
      <c r="BF15" s="374">
        <f>'E. C. A '!CP14</f>
        <v>9.05</v>
      </c>
      <c r="BG15" s="375">
        <f>'E. C. A '!CQ14</f>
        <v>9.06</v>
      </c>
      <c r="BH15" s="375">
        <f>'E. C. A '!CR14</f>
        <v>0</v>
      </c>
      <c r="BI15" s="375">
        <f t="shared" si="19"/>
        <v>6.036666667</v>
      </c>
      <c r="BJ15" s="375" t="str">
        <f>'E. C. A '!DB14</f>
        <v/>
      </c>
      <c r="BK15" s="380">
        <f t="shared" si="20"/>
        <v>6.036666667</v>
      </c>
      <c r="BL15" s="381">
        <f>FILOSOFIA!CP14</f>
        <v>8.21</v>
      </c>
      <c r="BM15" s="375">
        <f>FILOSOFIA!CQ14</f>
        <v>8.68</v>
      </c>
      <c r="BN15" s="375">
        <f>FILOSOFIA!CR14</f>
        <v>0</v>
      </c>
      <c r="BO15" s="375">
        <f t="shared" si="21"/>
        <v>5.63</v>
      </c>
      <c r="BP15" s="375" t="str">
        <f>FILOSOFIA!DB14</f>
        <v/>
      </c>
      <c r="BQ15" s="382">
        <f t="shared" si="22"/>
        <v>5.63</v>
      </c>
      <c r="BR15" s="383">
        <f>EMP!CP14</f>
        <v>8.9</v>
      </c>
      <c r="BS15" s="376">
        <f>EMP!CQ14</f>
        <v>8.5</v>
      </c>
      <c r="BT15" s="376">
        <f>EMP!CR14</f>
        <v>0</v>
      </c>
      <c r="BU15" s="376">
        <f t="shared" si="23"/>
        <v>5.8</v>
      </c>
      <c r="BV15" s="377"/>
      <c r="BW15" s="380">
        <f t="shared" si="24"/>
        <v>5.8</v>
      </c>
      <c r="BX15" s="374">
        <f>'EDUCACION PARA LA CIUDADANIA '!CP14</f>
        <v>8.21</v>
      </c>
      <c r="BY15" s="375">
        <f>'EDUCACION PARA LA CIUDADANIA '!CQ14</f>
        <v>9.06</v>
      </c>
      <c r="BZ15" s="375">
        <f>'EDUCACION PARA LA CIUDADANIA '!CR14</f>
        <v>0</v>
      </c>
      <c r="CA15" s="375">
        <f t="shared" si="25"/>
        <v>5.756666667</v>
      </c>
      <c r="CB15" s="375" t="str">
        <f>'EDUCACION PARA LA CIUDADANIA '!DB14</f>
        <v/>
      </c>
      <c r="CC15" s="380">
        <f t="shared" si="26"/>
        <v>5.756666667</v>
      </c>
      <c r="CD15" s="374">
        <f>'PAQUETES CONTABLES '!CP14</f>
        <v>7.42</v>
      </c>
      <c r="CE15" s="375">
        <f>'PAQUETES CONTABLES '!CQ14</f>
        <v>9.2</v>
      </c>
      <c r="CF15" s="375">
        <f>'PAQUETES CONTABLES '!CR14</f>
        <v>0</v>
      </c>
      <c r="CG15" s="375">
        <f t="shared" si="27"/>
        <v>5.54</v>
      </c>
      <c r="CH15" s="375" t="str">
        <f>'PAQUETES CONTABLES '!DB14</f>
        <v/>
      </c>
      <c r="CI15" s="380">
        <f t="shared" si="28"/>
        <v>5.54</v>
      </c>
      <c r="CJ15" s="374">
        <f>'TRIBUTACION '!CP14</f>
        <v>8.51</v>
      </c>
      <c r="CK15" s="375">
        <f>'TRIBUTACION '!CQ14</f>
        <v>8.06</v>
      </c>
      <c r="CL15" s="375">
        <f>'TRIBUTACION '!CR14</f>
        <v>0</v>
      </c>
      <c r="CM15" s="375">
        <f t="shared" si="29"/>
        <v>5.523333333</v>
      </c>
      <c r="CN15" s="375" t="str">
        <f>'TRIBUTACION '!DB14</f>
        <v/>
      </c>
      <c r="CO15" s="380">
        <f t="shared" si="30"/>
        <v>5.523333333</v>
      </c>
      <c r="CP15" s="61">
        <f t="shared" si="31"/>
        <v>5.956190476</v>
      </c>
      <c r="DF15" s="384" t="str">
        <f t="shared" si="32"/>
        <v/>
      </c>
    </row>
    <row r="16">
      <c r="A16" s="56">
        <v>4.0</v>
      </c>
      <c r="B16" s="124" t="str">
        <f>'SABANA CALIFICACIONES'!B15</f>
        <v/>
      </c>
      <c r="C16" s="125" t="str">
        <f>'SABANA CALIFICACIONES'!C15</f>
        <v>Aylla Murillo Kerly Kristhel</v>
      </c>
      <c r="D16" s="369">
        <f>LEN!CP15</f>
        <v>7.4</v>
      </c>
      <c r="E16" s="120">
        <f>LEN!CQ15</f>
        <v>8.93</v>
      </c>
      <c r="F16" s="370">
        <f>LEN!CR15</f>
        <v>0</v>
      </c>
      <c r="G16" s="371">
        <f t="shared" si="1"/>
        <v>5.443333333</v>
      </c>
      <c r="H16" s="120" t="str">
        <f>LEN!DB15</f>
        <v/>
      </c>
      <c r="I16" s="372">
        <f t="shared" si="2"/>
        <v>5.443333333</v>
      </c>
      <c r="J16" s="369">
        <f>MATE!CP15</f>
        <v>6.1</v>
      </c>
      <c r="K16" s="120">
        <f>MATE!CQ15</f>
        <v>8.3</v>
      </c>
      <c r="L16" s="120">
        <f>MATE!CR15</f>
        <v>0</v>
      </c>
      <c r="M16" s="120">
        <f t="shared" si="3"/>
        <v>4.8</v>
      </c>
      <c r="N16" s="120" t="str">
        <f>MATE!DB15</f>
        <v/>
      </c>
      <c r="O16" s="370">
        <f t="shared" si="4"/>
        <v>4.8</v>
      </c>
      <c r="P16" s="369">
        <f>INGLES!CP15</f>
        <v>8.44</v>
      </c>
      <c r="Q16" s="120">
        <f>INGLES!CQ15</f>
        <v>7.91</v>
      </c>
      <c r="R16" s="120">
        <f>INGLES!CR15</f>
        <v>0</v>
      </c>
      <c r="S16" s="120">
        <f t="shared" si="5"/>
        <v>5.45</v>
      </c>
      <c r="T16" s="120" t="str">
        <f>INGLES!DB15</f>
        <v/>
      </c>
      <c r="U16" s="370">
        <f t="shared" si="6"/>
        <v>5.45</v>
      </c>
      <c r="V16" s="369">
        <f>QUIMI!CP15</f>
        <v>6.18</v>
      </c>
      <c r="W16" s="120">
        <f>QUIMI!CQ15</f>
        <v>7.8</v>
      </c>
      <c r="X16" s="120">
        <f>QUIMI!CR15</f>
        <v>0</v>
      </c>
      <c r="Y16" s="120">
        <f t="shared" si="7"/>
        <v>4.66</v>
      </c>
      <c r="Z16" s="120" t="str">
        <f>QUIMI!DB15</f>
        <v/>
      </c>
      <c r="AA16" s="370">
        <f t="shared" si="8"/>
        <v>4.66</v>
      </c>
      <c r="AB16" s="369">
        <f>FISICA!CO15</f>
        <v>7.17</v>
      </c>
      <c r="AC16" s="120">
        <f>FISICA!CP15</f>
        <v>8.26</v>
      </c>
      <c r="AD16" s="120">
        <f>FISICA!CQ15</f>
        <v>7</v>
      </c>
      <c r="AE16" s="120">
        <f t="shared" si="9"/>
        <v>7.476666667</v>
      </c>
      <c r="AF16" s="120" t="str">
        <f>FISICA!DA15</f>
        <v/>
      </c>
      <c r="AG16" s="370">
        <f t="shared" si="10"/>
        <v>7.476666667</v>
      </c>
      <c r="AH16" s="369">
        <f>'ED. FISICA'!CP15</f>
        <v>8.57</v>
      </c>
      <c r="AI16" s="120">
        <f>'ED. FISICA'!CQ15</f>
        <v>9.5</v>
      </c>
      <c r="AJ16" s="120">
        <f>'ED. FISICA'!CR15</f>
        <v>0</v>
      </c>
      <c r="AK16" s="120">
        <f t="shared" si="11"/>
        <v>6.023333333</v>
      </c>
      <c r="AL16" s="120" t="str">
        <f>'ED. FISICA'!DB15</f>
        <v/>
      </c>
      <c r="AM16" s="370">
        <f t="shared" si="12"/>
        <v>6.023333333</v>
      </c>
      <c r="AN16" s="369">
        <f>'CONTABILIDAD GENERAL '!CP15</f>
        <v>6.23</v>
      </c>
      <c r="AO16" s="120">
        <f>'CONTABILIDAD GENERAL '!CQ15</f>
        <v>8.3</v>
      </c>
      <c r="AP16" s="120">
        <f>'CONTABILIDAD GENERAL '!CR15</f>
        <v>0</v>
      </c>
      <c r="AQ16" s="120">
        <f t="shared" si="13"/>
        <v>4.843333333</v>
      </c>
      <c r="AR16" s="373" t="str">
        <f>'CONTABILIDAD GENERAL '!DB15</f>
        <v/>
      </c>
      <c r="AS16" s="372">
        <f t="shared" si="14"/>
        <v>4.843333333</v>
      </c>
      <c r="AT16" s="374">
        <f>BIO!CP15</f>
        <v>7</v>
      </c>
      <c r="AU16" s="375">
        <f>BIO!CQ15</f>
        <v>8.13</v>
      </c>
      <c r="AV16" s="375">
        <f>BIO!CR15</f>
        <v>0</v>
      </c>
      <c r="AW16" s="376">
        <f t="shared" si="15"/>
        <v>5.043333333</v>
      </c>
      <c r="AX16" s="375" t="str">
        <f>BIO!DB15</f>
        <v/>
      </c>
      <c r="AY16" s="377">
        <f t="shared" si="16"/>
        <v>5.043333333</v>
      </c>
      <c r="AZ16" s="60">
        <f>HIST!CP15</f>
        <v>7.93</v>
      </c>
      <c r="BA16" s="60">
        <f>HIST!CQ15</f>
        <v>10</v>
      </c>
      <c r="BB16" s="60">
        <f>HIST!CR15</f>
        <v>0</v>
      </c>
      <c r="BC16" s="378">
        <f t="shared" si="17"/>
        <v>5.976666667</v>
      </c>
      <c r="BD16" s="379" t="str">
        <f>HIST!DB15</f>
        <v/>
      </c>
      <c r="BE16" s="377">
        <f t="shared" si="18"/>
        <v>5.976666667</v>
      </c>
      <c r="BF16" s="374">
        <f>'E. C. A '!CP15</f>
        <v>6.95</v>
      </c>
      <c r="BG16" s="375">
        <f>'E. C. A '!CQ15</f>
        <v>9.53</v>
      </c>
      <c r="BH16" s="375">
        <f>'E. C. A '!CR15</f>
        <v>0</v>
      </c>
      <c r="BI16" s="375">
        <f t="shared" si="19"/>
        <v>5.493333333</v>
      </c>
      <c r="BJ16" s="375" t="str">
        <f>'E. C. A '!DB15</f>
        <v/>
      </c>
      <c r="BK16" s="380">
        <f t="shared" si="20"/>
        <v>5.493333333</v>
      </c>
      <c r="BL16" s="381">
        <f>FILOSOFIA!CP15</f>
        <v>7.6</v>
      </c>
      <c r="BM16" s="375">
        <f>FILOSOFIA!CQ15</f>
        <v>8.6</v>
      </c>
      <c r="BN16" s="375">
        <f>FILOSOFIA!CR15</f>
        <v>0</v>
      </c>
      <c r="BO16" s="375">
        <f t="shared" si="21"/>
        <v>5.4</v>
      </c>
      <c r="BP16" s="375" t="str">
        <f>FILOSOFIA!DB15</f>
        <v/>
      </c>
      <c r="BQ16" s="382">
        <f t="shared" si="22"/>
        <v>5.4</v>
      </c>
      <c r="BR16" s="383">
        <f>EMP!CP15</f>
        <v>6.4</v>
      </c>
      <c r="BS16" s="376">
        <f>EMP!CQ15</f>
        <v>8.15</v>
      </c>
      <c r="BT16" s="376">
        <f>EMP!CR15</f>
        <v>0</v>
      </c>
      <c r="BU16" s="376">
        <f t="shared" si="23"/>
        <v>4.85</v>
      </c>
      <c r="BV16" s="377"/>
      <c r="BW16" s="380">
        <f t="shared" si="24"/>
        <v>4.85</v>
      </c>
      <c r="BX16" s="374">
        <f>'EDUCACION PARA LA CIUDADANIA '!CP15</f>
        <v>7.25</v>
      </c>
      <c r="BY16" s="375">
        <f>'EDUCACION PARA LA CIUDADANIA '!CQ15</f>
        <v>8.36</v>
      </c>
      <c r="BZ16" s="375">
        <f>'EDUCACION PARA LA CIUDADANIA '!CR15</f>
        <v>0</v>
      </c>
      <c r="CA16" s="375">
        <f t="shared" si="25"/>
        <v>5.203333333</v>
      </c>
      <c r="CB16" s="375" t="str">
        <f>'EDUCACION PARA LA CIUDADANIA '!DB15</f>
        <v/>
      </c>
      <c r="CC16" s="380">
        <f t="shared" si="26"/>
        <v>5.203333333</v>
      </c>
      <c r="CD16" s="374">
        <f>'PAQUETES CONTABLES '!CP15</f>
        <v>7</v>
      </c>
      <c r="CE16" s="375">
        <f>'PAQUETES CONTABLES '!CQ15</f>
        <v>8</v>
      </c>
      <c r="CF16" s="375">
        <f>'PAQUETES CONTABLES '!CR15</f>
        <v>0</v>
      </c>
      <c r="CG16" s="375">
        <f t="shared" si="27"/>
        <v>5</v>
      </c>
      <c r="CH16" s="375" t="str">
        <f>'PAQUETES CONTABLES '!DB15</f>
        <v/>
      </c>
      <c r="CI16" s="380">
        <f t="shared" si="28"/>
        <v>5</v>
      </c>
      <c r="CJ16" s="374">
        <f>'TRIBUTACION '!CP15</f>
        <v>7.92</v>
      </c>
      <c r="CK16" s="375">
        <f>'TRIBUTACION '!CQ15</f>
        <v>7.53</v>
      </c>
      <c r="CL16" s="375">
        <f>'TRIBUTACION '!CR15</f>
        <v>0</v>
      </c>
      <c r="CM16" s="375">
        <f t="shared" si="29"/>
        <v>5.15</v>
      </c>
      <c r="CN16" s="375" t="str">
        <f>'TRIBUTACION '!DB15</f>
        <v/>
      </c>
      <c r="CO16" s="380">
        <f t="shared" si="30"/>
        <v>5.15</v>
      </c>
      <c r="CP16" s="61">
        <f t="shared" si="31"/>
        <v>5.529047619</v>
      </c>
      <c r="DF16" s="384" t="str">
        <f t="shared" si="32"/>
        <v/>
      </c>
    </row>
    <row r="17">
      <c r="A17" s="56">
        <v>5.0</v>
      </c>
      <c r="B17" s="124" t="str">
        <f>'SABANA CALIFICACIONES'!B16</f>
        <v/>
      </c>
      <c r="C17" s="125" t="str">
        <f>'SABANA CALIFICACIONES'!C16</f>
        <v>Campuzano Meza Naydelyn Odeth</v>
      </c>
      <c r="D17" s="369">
        <f>LEN!CP16</f>
        <v>7.82</v>
      </c>
      <c r="E17" s="120">
        <f>LEN!CQ16</f>
        <v>7</v>
      </c>
      <c r="F17" s="370">
        <f>LEN!CR16</f>
        <v>0</v>
      </c>
      <c r="G17" s="371">
        <f t="shared" si="1"/>
        <v>4.94</v>
      </c>
      <c r="H17" s="120" t="str">
        <f>LEN!DB16</f>
        <v/>
      </c>
      <c r="I17" s="372">
        <f t="shared" si="2"/>
        <v>4.94</v>
      </c>
      <c r="J17" s="369">
        <f>MATE!CP16</f>
        <v>8</v>
      </c>
      <c r="K17" s="120">
        <f>MATE!CQ16</f>
        <v>7.1</v>
      </c>
      <c r="L17" s="120">
        <f>MATE!CR16</f>
        <v>0</v>
      </c>
      <c r="M17" s="120">
        <f t="shared" si="3"/>
        <v>5.033333333</v>
      </c>
      <c r="N17" s="120" t="str">
        <f>MATE!DB16</f>
        <v/>
      </c>
      <c r="O17" s="370">
        <f t="shared" si="4"/>
        <v>5.033333333</v>
      </c>
      <c r="P17" s="369">
        <f>INGLES!CP16</f>
        <v>6.98</v>
      </c>
      <c r="Q17" s="120">
        <f>INGLES!CQ16</f>
        <v>6.86</v>
      </c>
      <c r="R17" s="120">
        <f>INGLES!CR16</f>
        <v>0</v>
      </c>
      <c r="S17" s="120">
        <f t="shared" si="5"/>
        <v>4.613333333</v>
      </c>
      <c r="T17" s="120" t="str">
        <f>INGLES!DB16</f>
        <v/>
      </c>
      <c r="U17" s="370">
        <f t="shared" si="6"/>
        <v>4.613333333</v>
      </c>
      <c r="V17" s="369">
        <f>QUIMI!CP16</f>
        <v>8.93</v>
      </c>
      <c r="W17" s="120">
        <f>QUIMI!CQ16</f>
        <v>6.25</v>
      </c>
      <c r="X17" s="120">
        <f>QUIMI!CR16</f>
        <v>0</v>
      </c>
      <c r="Y17" s="120">
        <f t="shared" si="7"/>
        <v>5.06</v>
      </c>
      <c r="Z17" s="120" t="str">
        <f>QUIMI!DB16</f>
        <v/>
      </c>
      <c r="AA17" s="370">
        <f t="shared" si="8"/>
        <v>5.06</v>
      </c>
      <c r="AB17" s="369">
        <f>FISICA!CO16</f>
        <v>8</v>
      </c>
      <c r="AC17" s="120">
        <f>FISICA!CP16</f>
        <v>7.06</v>
      </c>
      <c r="AD17" s="120">
        <f>FISICA!CQ16</f>
        <v>0</v>
      </c>
      <c r="AE17" s="120">
        <f t="shared" si="9"/>
        <v>5.02</v>
      </c>
      <c r="AF17" s="120" t="str">
        <f>FISICA!DA16</f>
        <v/>
      </c>
      <c r="AG17" s="370">
        <f t="shared" si="10"/>
        <v>5.02</v>
      </c>
      <c r="AH17" s="369">
        <f>'ED. FISICA'!CP16</f>
        <v>7.85</v>
      </c>
      <c r="AI17" s="120">
        <f>'ED. FISICA'!CQ16</f>
        <v>7.6</v>
      </c>
      <c r="AJ17" s="120">
        <f>'ED. FISICA'!CR16</f>
        <v>0</v>
      </c>
      <c r="AK17" s="120">
        <f t="shared" si="11"/>
        <v>5.15</v>
      </c>
      <c r="AL17" s="120" t="str">
        <f>'ED. FISICA'!DB16</f>
        <v/>
      </c>
      <c r="AM17" s="370">
        <f t="shared" si="12"/>
        <v>5.15</v>
      </c>
      <c r="AN17" s="369">
        <f>'CONTABILIDAD GENERAL '!CP16</f>
        <v>9.05</v>
      </c>
      <c r="AO17" s="120">
        <f>'CONTABILIDAD GENERAL '!CQ16</f>
        <v>5.9</v>
      </c>
      <c r="AP17" s="120">
        <f>'CONTABILIDAD GENERAL '!CR16</f>
        <v>0</v>
      </c>
      <c r="AQ17" s="120">
        <f t="shared" si="13"/>
        <v>4.983333333</v>
      </c>
      <c r="AR17" s="373" t="str">
        <f>'CONTABILIDAD GENERAL '!DB16</f>
        <v/>
      </c>
      <c r="AS17" s="372">
        <f t="shared" si="14"/>
        <v>4.983333333</v>
      </c>
      <c r="AT17" s="374">
        <f>BIO!CP16</f>
        <v>5.72</v>
      </c>
      <c r="AU17" s="375">
        <f>BIO!CQ16</f>
        <v>7</v>
      </c>
      <c r="AV17" s="375">
        <f>BIO!CR16</f>
        <v>0</v>
      </c>
      <c r="AW17" s="376">
        <f t="shared" si="15"/>
        <v>4.24</v>
      </c>
      <c r="AX17" s="375" t="str">
        <f>BIO!DB16</f>
        <v/>
      </c>
      <c r="AY17" s="377">
        <f t="shared" si="16"/>
        <v>4.24</v>
      </c>
      <c r="AZ17" s="60">
        <f>HIST!CP16</f>
        <v>1.8</v>
      </c>
      <c r="BA17" s="60">
        <f>HIST!CQ16</f>
        <v>9.15</v>
      </c>
      <c r="BB17" s="60">
        <f>HIST!CR16</f>
        <v>0</v>
      </c>
      <c r="BC17" s="378">
        <f t="shared" si="17"/>
        <v>3.65</v>
      </c>
      <c r="BD17" s="379" t="str">
        <f>HIST!DB16</f>
        <v/>
      </c>
      <c r="BE17" s="377">
        <f t="shared" si="18"/>
        <v>3.65</v>
      </c>
      <c r="BF17" s="374">
        <f>'E. C. A '!CP16</f>
        <v>7.7</v>
      </c>
      <c r="BG17" s="375">
        <f>'E. C. A '!CQ16</f>
        <v>7.48</v>
      </c>
      <c r="BH17" s="375">
        <f>'E. C. A '!CR16</f>
        <v>0</v>
      </c>
      <c r="BI17" s="375">
        <f t="shared" si="19"/>
        <v>5.06</v>
      </c>
      <c r="BJ17" s="375" t="str">
        <f>'E. C. A '!DB16</f>
        <v/>
      </c>
      <c r="BK17" s="380">
        <f t="shared" si="20"/>
        <v>5.06</v>
      </c>
      <c r="BL17" s="381">
        <f>FILOSOFIA!CP16</f>
        <v>7.38</v>
      </c>
      <c r="BM17" s="375">
        <f>FILOSOFIA!CQ16</f>
        <v>7.36</v>
      </c>
      <c r="BN17" s="375">
        <f>FILOSOFIA!CR16</f>
        <v>0</v>
      </c>
      <c r="BO17" s="375">
        <f t="shared" si="21"/>
        <v>4.913333333</v>
      </c>
      <c r="BP17" s="375" t="str">
        <f>FILOSOFIA!DB16</f>
        <v/>
      </c>
      <c r="BQ17" s="382">
        <f t="shared" si="22"/>
        <v>4.913333333</v>
      </c>
      <c r="BR17" s="383">
        <f>EMP!CP16</f>
        <v>7.3</v>
      </c>
      <c r="BS17" s="376">
        <f>EMP!CQ16</f>
        <v>7.12</v>
      </c>
      <c r="BT17" s="376">
        <f>EMP!CR16</f>
        <v>0</v>
      </c>
      <c r="BU17" s="376">
        <f t="shared" si="23"/>
        <v>4.806666667</v>
      </c>
      <c r="BV17" s="377"/>
      <c r="BW17" s="380">
        <f t="shared" si="24"/>
        <v>4.806666667</v>
      </c>
      <c r="BX17" s="374">
        <f>'EDUCACION PARA LA CIUDADANIA '!CP16</f>
        <v>7.11</v>
      </c>
      <c r="BY17" s="375">
        <f>'EDUCACION PARA LA CIUDADANIA '!CQ16</f>
        <v>7.06</v>
      </c>
      <c r="BZ17" s="375">
        <f>'EDUCACION PARA LA CIUDADANIA '!CR16</f>
        <v>0</v>
      </c>
      <c r="CA17" s="375">
        <f t="shared" si="25"/>
        <v>4.723333333</v>
      </c>
      <c r="CB17" s="375" t="str">
        <f>'EDUCACION PARA LA CIUDADANIA '!DB16</f>
        <v/>
      </c>
      <c r="CC17" s="380">
        <f t="shared" si="26"/>
        <v>4.723333333</v>
      </c>
      <c r="CD17" s="374">
        <f>'PAQUETES CONTABLES '!CP16</f>
        <v>7.09</v>
      </c>
      <c r="CE17" s="375">
        <f>'PAQUETES CONTABLES '!CQ16</f>
        <v>7.32</v>
      </c>
      <c r="CF17" s="375">
        <f>'PAQUETES CONTABLES '!CR16</f>
        <v>0</v>
      </c>
      <c r="CG17" s="375">
        <f t="shared" si="27"/>
        <v>4.803333333</v>
      </c>
      <c r="CH17" s="375" t="str">
        <f>'PAQUETES CONTABLES '!DB16</f>
        <v/>
      </c>
      <c r="CI17" s="380">
        <f t="shared" si="28"/>
        <v>4.803333333</v>
      </c>
      <c r="CJ17" s="374">
        <f>'TRIBUTACION '!CP16</f>
        <v>7.68</v>
      </c>
      <c r="CK17" s="375">
        <f>'TRIBUTACION '!CQ16</f>
        <v>7.11</v>
      </c>
      <c r="CL17" s="375">
        <f>'TRIBUTACION '!CR16</f>
        <v>0</v>
      </c>
      <c r="CM17" s="375">
        <f t="shared" si="29"/>
        <v>4.93</v>
      </c>
      <c r="CN17" s="375" t="str">
        <f>'TRIBUTACION '!DB16</f>
        <v/>
      </c>
      <c r="CO17" s="380">
        <f t="shared" si="30"/>
        <v>4.93</v>
      </c>
      <c r="CP17" s="61">
        <f t="shared" si="31"/>
        <v>4.946190476</v>
      </c>
      <c r="DF17" s="384" t="str">
        <f t="shared" si="32"/>
        <v/>
      </c>
    </row>
    <row r="18" ht="15.0" customHeight="1">
      <c r="A18" s="56">
        <v>6.0</v>
      </c>
      <c r="B18" s="124" t="str">
        <f>'SABANA CALIFICACIONES'!B17</f>
        <v/>
      </c>
      <c r="C18" s="125" t="str">
        <f>'SABANA CALIFICACIONES'!C17</f>
        <v>Cantos Zúñiga a Hernán Snayder</v>
      </c>
      <c r="D18" s="369">
        <f>LEN!CP17</f>
        <v>8.4</v>
      </c>
      <c r="E18" s="120">
        <f>LEN!CQ17</f>
        <v>8.62</v>
      </c>
      <c r="F18" s="370">
        <f>LEN!CR17</f>
        <v>0</v>
      </c>
      <c r="G18" s="371">
        <f t="shared" si="1"/>
        <v>5.673333333</v>
      </c>
      <c r="H18" s="120" t="str">
        <f>LEN!DB17</f>
        <v/>
      </c>
      <c r="I18" s="372">
        <f t="shared" si="2"/>
        <v>5.673333333</v>
      </c>
      <c r="J18" s="369">
        <f>MATE!CP17</f>
        <v>7.66</v>
      </c>
      <c r="K18" s="120">
        <f>MATE!CQ17</f>
        <v>8.06</v>
      </c>
      <c r="L18" s="120">
        <f>MATE!CR17</f>
        <v>0</v>
      </c>
      <c r="M18" s="120">
        <f t="shared" si="3"/>
        <v>5.24</v>
      </c>
      <c r="N18" s="120" t="str">
        <f>MATE!DB17</f>
        <v/>
      </c>
      <c r="O18" s="370">
        <f t="shared" si="4"/>
        <v>5.24</v>
      </c>
      <c r="P18" s="369">
        <f>INGLES!CP17</f>
        <v>9.03</v>
      </c>
      <c r="Q18" s="120">
        <f>INGLES!CQ17</f>
        <v>8.15</v>
      </c>
      <c r="R18" s="120">
        <f>INGLES!CR17</f>
        <v>0</v>
      </c>
      <c r="S18" s="120">
        <f t="shared" si="5"/>
        <v>5.726666667</v>
      </c>
      <c r="T18" s="120" t="str">
        <f>INGLES!DB17</f>
        <v/>
      </c>
      <c r="U18" s="370">
        <f t="shared" si="6"/>
        <v>5.726666667</v>
      </c>
      <c r="V18" s="369">
        <f>QUIMI!CP17</f>
        <v>9.53</v>
      </c>
      <c r="W18" s="120">
        <f>QUIMI!CQ17</f>
        <v>7.97</v>
      </c>
      <c r="X18" s="120">
        <f>QUIMI!CR17</f>
        <v>0</v>
      </c>
      <c r="Y18" s="120">
        <f t="shared" si="7"/>
        <v>5.833333333</v>
      </c>
      <c r="Z18" s="120" t="str">
        <f>QUIMI!DB17</f>
        <v/>
      </c>
      <c r="AA18" s="370">
        <f t="shared" si="8"/>
        <v>5.833333333</v>
      </c>
      <c r="AB18" s="369">
        <f>FISICA!CO17</f>
        <v>9.51</v>
      </c>
      <c r="AC18" s="120">
        <f>FISICA!CP17</f>
        <v>9.31</v>
      </c>
      <c r="AD18" s="120">
        <f>FISICA!CQ17</f>
        <v>7</v>
      </c>
      <c r="AE18" s="120">
        <f t="shared" si="9"/>
        <v>8.606666667</v>
      </c>
      <c r="AF18" s="120" t="str">
        <f>FISICA!DA17</f>
        <v/>
      </c>
      <c r="AG18" s="370">
        <f t="shared" si="10"/>
        <v>8.606666667</v>
      </c>
      <c r="AH18" s="369">
        <f>'ED. FISICA'!CP17</f>
        <v>8.58</v>
      </c>
      <c r="AI18" s="120">
        <f>'ED. FISICA'!CQ17</f>
        <v>9.5</v>
      </c>
      <c r="AJ18" s="120">
        <f>'ED. FISICA'!CR17</f>
        <v>0</v>
      </c>
      <c r="AK18" s="120">
        <f t="shared" si="11"/>
        <v>6.026666667</v>
      </c>
      <c r="AL18" s="120" t="str">
        <f>'ED. FISICA'!DB17</f>
        <v/>
      </c>
      <c r="AM18" s="370">
        <f t="shared" si="12"/>
        <v>6.026666667</v>
      </c>
      <c r="AN18" s="369">
        <f>'CONTABILIDAD GENERAL '!CP17</f>
        <v>9.53</v>
      </c>
      <c r="AO18" s="120">
        <f>'CONTABILIDAD GENERAL '!CQ17</f>
        <v>8.85</v>
      </c>
      <c r="AP18" s="120">
        <f>'CONTABILIDAD GENERAL '!CR17</f>
        <v>0</v>
      </c>
      <c r="AQ18" s="120">
        <f t="shared" si="13"/>
        <v>6.126666667</v>
      </c>
      <c r="AR18" s="373" t="str">
        <f>'CONTABILIDAD GENERAL '!DB17</f>
        <v/>
      </c>
      <c r="AS18" s="372">
        <f t="shared" si="14"/>
        <v>6.126666667</v>
      </c>
      <c r="AT18" s="374">
        <f>BIO!CP17</f>
        <v>7.6</v>
      </c>
      <c r="AU18" s="375">
        <f>BIO!CQ17</f>
        <v>8.5</v>
      </c>
      <c r="AV18" s="375">
        <f>BIO!CR17</f>
        <v>0</v>
      </c>
      <c r="AW18" s="376">
        <f t="shared" si="15"/>
        <v>5.366666667</v>
      </c>
      <c r="AX18" s="375" t="str">
        <f>BIO!DB17</f>
        <v/>
      </c>
      <c r="AY18" s="377">
        <f t="shared" si="16"/>
        <v>5.366666667</v>
      </c>
      <c r="AZ18" s="60">
        <f>HIST!CP17</f>
        <v>9.98</v>
      </c>
      <c r="BA18" s="60">
        <f>HIST!CQ17</f>
        <v>9.15</v>
      </c>
      <c r="BB18" s="60">
        <f>HIST!CR17</f>
        <v>0</v>
      </c>
      <c r="BC18" s="378">
        <f t="shared" si="17"/>
        <v>6.376666667</v>
      </c>
      <c r="BD18" s="379" t="str">
        <f>HIST!DB17</f>
        <v/>
      </c>
      <c r="BE18" s="377">
        <f t="shared" si="18"/>
        <v>6.376666667</v>
      </c>
      <c r="BF18" s="374">
        <f>'E. C. A '!CP17</f>
        <v>9.5</v>
      </c>
      <c r="BG18" s="375">
        <f>'E. C. A '!CQ17</f>
        <v>9.3</v>
      </c>
      <c r="BH18" s="375">
        <f>'E. C. A '!CR17</f>
        <v>0</v>
      </c>
      <c r="BI18" s="375">
        <f t="shared" si="19"/>
        <v>6.266666667</v>
      </c>
      <c r="BJ18" s="375" t="str">
        <f>'E. C. A '!DB17</f>
        <v/>
      </c>
      <c r="BK18" s="380">
        <f t="shared" si="20"/>
        <v>6.266666667</v>
      </c>
      <c r="BL18" s="381">
        <f>FILOSOFIA!CP17</f>
        <v>9.04</v>
      </c>
      <c r="BM18" s="375">
        <f>FILOSOFIA!CQ17</f>
        <v>8.95</v>
      </c>
      <c r="BN18" s="375">
        <f>FILOSOFIA!CR17</f>
        <v>0</v>
      </c>
      <c r="BO18" s="375">
        <f t="shared" si="21"/>
        <v>5.996666667</v>
      </c>
      <c r="BP18" s="375" t="str">
        <f>FILOSOFIA!DB17</f>
        <v/>
      </c>
      <c r="BQ18" s="382">
        <f t="shared" si="22"/>
        <v>5.996666667</v>
      </c>
      <c r="BR18" s="383">
        <f>EMP!CP17</f>
        <v>9.07</v>
      </c>
      <c r="BS18" s="376">
        <f>EMP!CQ17</f>
        <v>9.35</v>
      </c>
      <c r="BT18" s="376">
        <f>EMP!CR17</f>
        <v>0</v>
      </c>
      <c r="BU18" s="376">
        <f t="shared" si="23"/>
        <v>6.14</v>
      </c>
      <c r="BV18" s="377"/>
      <c r="BW18" s="380">
        <f t="shared" si="24"/>
        <v>6.14</v>
      </c>
      <c r="BX18" s="374">
        <f>'EDUCACION PARA LA CIUDADANIA '!CP17</f>
        <v>8.34</v>
      </c>
      <c r="BY18" s="375">
        <f>'EDUCACION PARA LA CIUDADANIA '!CQ17</f>
        <v>8.76</v>
      </c>
      <c r="BZ18" s="375">
        <f>'EDUCACION PARA LA CIUDADANIA '!CR17</f>
        <v>0</v>
      </c>
      <c r="CA18" s="375">
        <f t="shared" si="25"/>
        <v>5.7</v>
      </c>
      <c r="CB18" s="375" t="str">
        <f>'EDUCACION PARA LA CIUDADANIA '!DB17</f>
        <v/>
      </c>
      <c r="CC18" s="380">
        <f t="shared" si="26"/>
        <v>5.7</v>
      </c>
      <c r="CD18" s="374">
        <f>'PAQUETES CONTABLES '!CP17</f>
        <v>8.92</v>
      </c>
      <c r="CE18" s="375">
        <f>'PAQUETES CONTABLES '!CQ17</f>
        <v>9.2</v>
      </c>
      <c r="CF18" s="375">
        <f>'PAQUETES CONTABLES '!CR17</f>
        <v>0</v>
      </c>
      <c r="CG18" s="375">
        <f t="shared" si="27"/>
        <v>6.04</v>
      </c>
      <c r="CH18" s="375" t="str">
        <f>'PAQUETES CONTABLES '!DB17</f>
        <v/>
      </c>
      <c r="CI18" s="380">
        <f t="shared" si="28"/>
        <v>6.04</v>
      </c>
      <c r="CJ18" s="374">
        <f>'TRIBUTACION '!CP17</f>
        <v>8.11</v>
      </c>
      <c r="CK18" s="375">
        <f>'TRIBUTACION '!CQ17</f>
        <v>8.61</v>
      </c>
      <c r="CL18" s="375">
        <f>'TRIBUTACION '!CR17</f>
        <v>0</v>
      </c>
      <c r="CM18" s="375">
        <f t="shared" si="29"/>
        <v>5.573333333</v>
      </c>
      <c r="CN18" s="375" t="str">
        <f>'TRIBUTACION '!DB17</f>
        <v/>
      </c>
      <c r="CO18" s="380">
        <f t="shared" si="30"/>
        <v>5.573333333</v>
      </c>
      <c r="CP18" s="61">
        <f t="shared" si="31"/>
        <v>6.178095238</v>
      </c>
      <c r="DF18" s="384" t="str">
        <f t="shared" si="32"/>
        <v/>
      </c>
    </row>
    <row r="19">
      <c r="A19" s="56">
        <v>7.0</v>
      </c>
      <c r="B19" s="124" t="str">
        <f>'SABANA CALIFICACIONES'!B18</f>
        <v/>
      </c>
      <c r="C19" s="125" t="str">
        <f>'SABANA CALIFICACIONES'!C18</f>
        <v>Carranza Dumes Genesis Daniela</v>
      </c>
      <c r="D19" s="369">
        <f>LEN!CP18</f>
        <v>9.15</v>
      </c>
      <c r="E19" s="120">
        <f>LEN!CQ18</f>
        <v>7.27</v>
      </c>
      <c r="F19" s="370">
        <f>LEN!CR18</f>
        <v>0</v>
      </c>
      <c r="G19" s="371">
        <f t="shared" si="1"/>
        <v>5.473333333</v>
      </c>
      <c r="H19" s="120" t="str">
        <f>LEN!DB18</f>
        <v/>
      </c>
      <c r="I19" s="372">
        <f t="shared" si="2"/>
        <v>5.473333333</v>
      </c>
      <c r="J19" s="369">
        <f>MATE!CP18</f>
        <v>9</v>
      </c>
      <c r="K19" s="120">
        <f>MATE!CQ18</f>
        <v>7.1</v>
      </c>
      <c r="L19" s="120">
        <f>MATE!CR18</f>
        <v>0</v>
      </c>
      <c r="M19" s="120">
        <f t="shared" si="3"/>
        <v>5.366666667</v>
      </c>
      <c r="N19" s="120" t="str">
        <f>MATE!DB18</f>
        <v/>
      </c>
      <c r="O19" s="370">
        <f t="shared" si="4"/>
        <v>5.366666667</v>
      </c>
      <c r="P19" s="369">
        <f>INGLES!CP18</f>
        <v>8.81</v>
      </c>
      <c r="Q19" s="120">
        <f>INGLES!CQ18</f>
        <v>7.1</v>
      </c>
      <c r="R19" s="120">
        <f>INGLES!CR18</f>
        <v>0</v>
      </c>
      <c r="S19" s="120">
        <f t="shared" si="5"/>
        <v>5.303333333</v>
      </c>
      <c r="T19" s="120" t="str">
        <f>INGLES!DB18</f>
        <v/>
      </c>
      <c r="U19" s="370">
        <f t="shared" si="6"/>
        <v>5.303333333</v>
      </c>
      <c r="V19" s="369">
        <f>QUIMI!CP18</f>
        <v>8.93</v>
      </c>
      <c r="W19" s="120">
        <f>QUIMI!CQ18</f>
        <v>6.75</v>
      </c>
      <c r="X19" s="120">
        <f>QUIMI!CR18</f>
        <v>0</v>
      </c>
      <c r="Y19" s="120">
        <f t="shared" si="7"/>
        <v>5.226666667</v>
      </c>
      <c r="Z19" s="120" t="str">
        <f>QUIMI!DB18</f>
        <v/>
      </c>
      <c r="AA19" s="370">
        <f t="shared" si="8"/>
        <v>5.226666667</v>
      </c>
      <c r="AB19" s="369">
        <f>FISICA!CO18</f>
        <v>8.91</v>
      </c>
      <c r="AC19" s="120">
        <f>FISICA!CP18</f>
        <v>7.41</v>
      </c>
      <c r="AD19" s="120">
        <f>FISICA!CQ18</f>
        <v>4.9</v>
      </c>
      <c r="AE19" s="120">
        <f t="shared" si="9"/>
        <v>7.073333333</v>
      </c>
      <c r="AF19" s="120" t="str">
        <f>FISICA!DA18</f>
        <v/>
      </c>
      <c r="AG19" s="370">
        <f t="shared" si="10"/>
        <v>7.073333333</v>
      </c>
      <c r="AH19" s="369">
        <f>'ED. FISICA'!CP18</f>
        <v>9.38</v>
      </c>
      <c r="AI19" s="120">
        <f>'ED. FISICA'!CQ18</f>
        <v>8.3</v>
      </c>
      <c r="AJ19" s="120">
        <f>'ED. FISICA'!CR18</f>
        <v>0</v>
      </c>
      <c r="AK19" s="120">
        <f t="shared" si="11"/>
        <v>5.893333333</v>
      </c>
      <c r="AL19" s="120" t="str">
        <f>'ED. FISICA'!DB18</f>
        <v/>
      </c>
      <c r="AM19" s="370">
        <f t="shared" si="12"/>
        <v>5.893333333</v>
      </c>
      <c r="AN19" s="369">
        <f>'CONTABILIDAD GENERAL '!CP18</f>
        <v>9.44</v>
      </c>
      <c r="AO19" s="120">
        <f>'CONTABILIDAD GENERAL '!CQ18</f>
        <v>7.45</v>
      </c>
      <c r="AP19" s="120">
        <f>'CONTABILIDAD GENERAL '!CR18</f>
        <v>0</v>
      </c>
      <c r="AQ19" s="120">
        <f t="shared" si="13"/>
        <v>5.63</v>
      </c>
      <c r="AR19" s="373" t="str">
        <f>'CONTABILIDAD GENERAL '!DB18</f>
        <v/>
      </c>
      <c r="AS19" s="372">
        <f t="shared" si="14"/>
        <v>5.63</v>
      </c>
      <c r="AT19" s="374">
        <f>BIO!CP18</f>
        <v>7.18</v>
      </c>
      <c r="AU19" s="375">
        <f>BIO!CQ18</f>
        <v>7.22</v>
      </c>
      <c r="AV19" s="375">
        <f>BIO!CR18</f>
        <v>0</v>
      </c>
      <c r="AW19" s="376">
        <f t="shared" si="15"/>
        <v>4.8</v>
      </c>
      <c r="AX19" s="375" t="str">
        <f>BIO!DB18</f>
        <v/>
      </c>
      <c r="AY19" s="377">
        <f t="shared" si="16"/>
        <v>4.8</v>
      </c>
      <c r="AZ19" s="60">
        <f>HIST!CP18</f>
        <v>9.85</v>
      </c>
      <c r="BA19" s="60">
        <f>HIST!CQ18</f>
        <v>7</v>
      </c>
      <c r="BB19" s="60">
        <f>HIST!CR18</f>
        <v>0</v>
      </c>
      <c r="BC19" s="378">
        <f t="shared" si="17"/>
        <v>5.616666667</v>
      </c>
      <c r="BD19" s="379" t="str">
        <f>HIST!DB18</f>
        <v/>
      </c>
      <c r="BE19" s="377">
        <f t="shared" si="18"/>
        <v>5.616666667</v>
      </c>
      <c r="BF19" s="374">
        <f>'E. C. A '!CP18</f>
        <v>9.37</v>
      </c>
      <c r="BG19" s="375">
        <f>'E. C. A '!CQ18</f>
        <v>8.33</v>
      </c>
      <c r="BH19" s="375">
        <f>'E. C. A '!CR18</f>
        <v>0</v>
      </c>
      <c r="BI19" s="375">
        <f t="shared" si="19"/>
        <v>5.9</v>
      </c>
      <c r="BJ19" s="375" t="str">
        <f>'E. C. A '!DB18</f>
        <v/>
      </c>
      <c r="BK19" s="380">
        <f t="shared" si="20"/>
        <v>5.9</v>
      </c>
      <c r="BL19" s="381">
        <f>FILOSOFIA!CP18</f>
        <v>9.73</v>
      </c>
      <c r="BM19" s="375">
        <f>FILOSOFIA!CQ18</f>
        <v>7.4</v>
      </c>
      <c r="BN19" s="375">
        <f>FILOSOFIA!CR18</f>
        <v>0</v>
      </c>
      <c r="BO19" s="375">
        <f t="shared" si="21"/>
        <v>5.71</v>
      </c>
      <c r="BP19" s="375" t="str">
        <f>FILOSOFIA!DB18</f>
        <v/>
      </c>
      <c r="BQ19" s="382">
        <f t="shared" si="22"/>
        <v>5.71</v>
      </c>
      <c r="BR19" s="383">
        <f>EMP!CP18</f>
        <v>7.84</v>
      </c>
      <c r="BS19" s="376">
        <f>EMP!CQ18</f>
        <v>7.62</v>
      </c>
      <c r="BT19" s="376">
        <f>EMP!CR18</f>
        <v>0</v>
      </c>
      <c r="BU19" s="376">
        <f t="shared" si="23"/>
        <v>5.153333333</v>
      </c>
      <c r="BV19" s="377"/>
      <c r="BW19" s="380">
        <f t="shared" si="24"/>
        <v>5.153333333</v>
      </c>
      <c r="BX19" s="374">
        <f>'EDUCACION PARA LA CIUDADANIA '!CP18</f>
        <v>8.91</v>
      </c>
      <c r="BY19" s="375">
        <f>'EDUCACION PARA LA CIUDADANIA '!CQ18</f>
        <v>7.86</v>
      </c>
      <c r="BZ19" s="375">
        <f>'EDUCACION PARA LA CIUDADANIA '!CR18</f>
        <v>0</v>
      </c>
      <c r="CA19" s="375">
        <f t="shared" si="25"/>
        <v>5.59</v>
      </c>
      <c r="CB19" s="375" t="str">
        <f>'EDUCACION PARA LA CIUDADANIA '!DB18</f>
        <v/>
      </c>
      <c r="CC19" s="380">
        <f t="shared" si="26"/>
        <v>5.59</v>
      </c>
      <c r="CD19" s="374">
        <f>'PAQUETES CONTABLES '!CP18</f>
        <v>8.59</v>
      </c>
      <c r="CE19" s="375">
        <f>'PAQUETES CONTABLES '!CQ18</f>
        <v>7.3</v>
      </c>
      <c r="CF19" s="375">
        <f>'PAQUETES CONTABLES '!CR18</f>
        <v>0</v>
      </c>
      <c r="CG19" s="375">
        <f t="shared" si="27"/>
        <v>5.296666667</v>
      </c>
      <c r="CH19" s="375" t="str">
        <f>'PAQUETES CONTABLES '!DB18</f>
        <v/>
      </c>
      <c r="CI19" s="380">
        <f t="shared" si="28"/>
        <v>5.296666667</v>
      </c>
      <c r="CJ19" s="374">
        <f>'TRIBUTACION '!CP18</f>
        <v>7.98</v>
      </c>
      <c r="CK19" s="375">
        <f>'TRIBUTACION '!CQ18</f>
        <v>7.1</v>
      </c>
      <c r="CL19" s="375">
        <f>'TRIBUTACION '!CR18</f>
        <v>0</v>
      </c>
      <c r="CM19" s="375">
        <f t="shared" si="29"/>
        <v>5.026666667</v>
      </c>
      <c r="CN19" s="375" t="str">
        <f>'TRIBUTACION '!DB18</f>
        <v/>
      </c>
      <c r="CO19" s="380">
        <f t="shared" si="30"/>
        <v>5.026666667</v>
      </c>
      <c r="CP19" s="61">
        <f t="shared" si="31"/>
        <v>5.641428571</v>
      </c>
      <c r="DF19" s="384" t="str">
        <f t="shared" si="32"/>
        <v/>
      </c>
    </row>
    <row r="20">
      <c r="A20" s="56">
        <v>8.0</v>
      </c>
      <c r="B20" s="124" t="str">
        <f>'SABANA CALIFICACIONES'!B19</f>
        <v/>
      </c>
      <c r="C20" s="125" t="str">
        <f>'SABANA CALIFICACIONES'!C19</f>
        <v>Castro De La Rosa Cristopher Ruben</v>
      </c>
      <c r="D20" s="369">
        <f>LEN!CP19</f>
        <v>7</v>
      </c>
      <c r="E20" s="120">
        <f>LEN!CQ19</f>
        <v>7</v>
      </c>
      <c r="F20" s="370">
        <f>LEN!CR19</f>
        <v>0</v>
      </c>
      <c r="G20" s="371">
        <f t="shared" si="1"/>
        <v>4.666666667</v>
      </c>
      <c r="H20" s="120" t="str">
        <f>LEN!DB19</f>
        <v/>
      </c>
      <c r="I20" s="372">
        <f t="shared" si="2"/>
        <v>4.666666667</v>
      </c>
      <c r="J20" s="369">
        <f>MATE!CP19</f>
        <v>8</v>
      </c>
      <c r="K20" s="120">
        <f>MATE!CQ19</f>
        <v>7.1</v>
      </c>
      <c r="L20" s="120">
        <f>MATE!CR19</f>
        <v>0</v>
      </c>
      <c r="M20" s="120">
        <f t="shared" si="3"/>
        <v>5.033333333</v>
      </c>
      <c r="N20" s="120" t="str">
        <f>MATE!DB19</f>
        <v/>
      </c>
      <c r="O20" s="370">
        <f t="shared" si="4"/>
        <v>5.033333333</v>
      </c>
      <c r="P20" s="369">
        <f>INGLES!CP19</f>
        <v>7.2</v>
      </c>
      <c r="Q20" s="120">
        <f>INGLES!CQ19</f>
        <v>5.63</v>
      </c>
      <c r="R20" s="120">
        <f>INGLES!CR19</f>
        <v>0</v>
      </c>
      <c r="S20" s="120">
        <f t="shared" si="5"/>
        <v>4.276666667</v>
      </c>
      <c r="T20" s="120" t="str">
        <f>INGLES!DB19</f>
        <v/>
      </c>
      <c r="U20" s="370">
        <f t="shared" si="6"/>
        <v>4.276666667</v>
      </c>
      <c r="V20" s="369">
        <f>QUIMI!CP19</f>
        <v>4.96</v>
      </c>
      <c r="W20" s="120">
        <f>QUIMI!CQ19</f>
        <v>4.55</v>
      </c>
      <c r="X20" s="120">
        <f>QUIMI!CR19</f>
        <v>0</v>
      </c>
      <c r="Y20" s="120">
        <f t="shared" si="7"/>
        <v>3.17</v>
      </c>
      <c r="Z20" s="120" t="str">
        <f>QUIMI!DB19</f>
        <v/>
      </c>
      <c r="AA20" s="370">
        <f t="shared" si="8"/>
        <v>3.17</v>
      </c>
      <c r="AB20" s="369">
        <f>FISICA!CO19</f>
        <v>6.83</v>
      </c>
      <c r="AC20" s="120">
        <f>FISICA!CP19</f>
        <v>6.25</v>
      </c>
      <c r="AD20" s="120">
        <f>FISICA!CQ19</f>
        <v>4.9</v>
      </c>
      <c r="AE20" s="120">
        <f t="shared" si="9"/>
        <v>5.993333333</v>
      </c>
      <c r="AF20" s="120" t="str">
        <f>FISICA!DA19</f>
        <v/>
      </c>
      <c r="AG20" s="370">
        <f t="shared" si="10"/>
        <v>5.993333333</v>
      </c>
      <c r="AH20" s="369">
        <f>'ED. FISICA'!CP19</f>
        <v>8.31</v>
      </c>
      <c r="AI20" s="120">
        <f>'ED. FISICA'!CQ19</f>
        <v>8.3</v>
      </c>
      <c r="AJ20" s="120">
        <f>'ED. FISICA'!CR19</f>
        <v>0</v>
      </c>
      <c r="AK20" s="120">
        <f t="shared" si="11"/>
        <v>5.536666667</v>
      </c>
      <c r="AL20" s="120" t="str">
        <f>'ED. FISICA'!DB19</f>
        <v/>
      </c>
      <c r="AM20" s="370">
        <f t="shared" si="12"/>
        <v>5.536666667</v>
      </c>
      <c r="AN20" s="369">
        <f>'CONTABILIDAD GENERAL '!CP19</f>
        <v>5.2</v>
      </c>
      <c r="AO20" s="120">
        <f>'CONTABILIDAD GENERAL '!CQ19</f>
        <v>7.1</v>
      </c>
      <c r="AP20" s="120">
        <f>'CONTABILIDAD GENERAL '!CR19</f>
        <v>0</v>
      </c>
      <c r="AQ20" s="120">
        <f t="shared" si="13"/>
        <v>4.1</v>
      </c>
      <c r="AR20" s="373" t="str">
        <f>'CONTABILIDAD GENERAL '!DB19</f>
        <v/>
      </c>
      <c r="AS20" s="372">
        <f t="shared" si="14"/>
        <v>4.1</v>
      </c>
      <c r="AT20" s="374">
        <f>BIO!CP19</f>
        <v>6.77</v>
      </c>
      <c r="AU20" s="375">
        <f>BIO!CQ19</f>
        <v>4.85</v>
      </c>
      <c r="AV20" s="375">
        <f>BIO!CR19</f>
        <v>0</v>
      </c>
      <c r="AW20" s="376">
        <f t="shared" si="15"/>
        <v>3.873333333</v>
      </c>
      <c r="AX20" s="375" t="str">
        <f>BIO!DB19</f>
        <v/>
      </c>
      <c r="AY20" s="377">
        <f t="shared" si="16"/>
        <v>3.873333333</v>
      </c>
      <c r="AZ20" s="60">
        <f>HIST!CP19</f>
        <v>7.17</v>
      </c>
      <c r="BA20" s="60">
        <f>HIST!CQ19</f>
        <v>7</v>
      </c>
      <c r="BB20" s="60">
        <f>HIST!CR19</f>
        <v>0</v>
      </c>
      <c r="BC20" s="378">
        <f t="shared" si="17"/>
        <v>4.723333333</v>
      </c>
      <c r="BD20" s="379" t="str">
        <f>HIST!DB19</f>
        <v/>
      </c>
      <c r="BE20" s="377">
        <f t="shared" si="18"/>
        <v>4.723333333</v>
      </c>
      <c r="BF20" s="374">
        <f>'E. C. A '!CP19</f>
        <v>7</v>
      </c>
      <c r="BG20" s="375">
        <f>'E. C. A '!CQ19</f>
        <v>7.63</v>
      </c>
      <c r="BH20" s="375">
        <f>'E. C. A '!CR19</f>
        <v>0</v>
      </c>
      <c r="BI20" s="375">
        <f t="shared" si="19"/>
        <v>4.876666667</v>
      </c>
      <c r="BJ20" s="375" t="str">
        <f>'E. C. A '!DB19</f>
        <v/>
      </c>
      <c r="BK20" s="380">
        <f t="shared" si="20"/>
        <v>4.876666667</v>
      </c>
      <c r="BL20" s="381">
        <f>FILOSOFIA!CP19</f>
        <v>8.05</v>
      </c>
      <c r="BM20" s="375">
        <f>FILOSOFIA!CQ19</f>
        <v>7.36</v>
      </c>
      <c r="BN20" s="375">
        <f>FILOSOFIA!CR19</f>
        <v>0</v>
      </c>
      <c r="BO20" s="375">
        <f t="shared" si="21"/>
        <v>5.136666667</v>
      </c>
      <c r="BP20" s="375" t="str">
        <f>FILOSOFIA!DB19</f>
        <v/>
      </c>
      <c r="BQ20" s="382">
        <f t="shared" si="22"/>
        <v>5.136666667</v>
      </c>
      <c r="BR20" s="383">
        <f>EMP!CP19</f>
        <v>7.3</v>
      </c>
      <c r="BS20" s="376">
        <f>EMP!CQ19</f>
        <v>7.3</v>
      </c>
      <c r="BT20" s="376">
        <f>EMP!CR19</f>
        <v>0</v>
      </c>
      <c r="BU20" s="376">
        <f t="shared" si="23"/>
        <v>4.866666667</v>
      </c>
      <c r="BV20" s="377"/>
      <c r="BW20" s="380">
        <f t="shared" si="24"/>
        <v>4.866666667</v>
      </c>
      <c r="BX20" s="374">
        <f>'EDUCACION PARA LA CIUDADANIA '!CP19</f>
        <v>8.05</v>
      </c>
      <c r="BY20" s="375">
        <f>'EDUCACION PARA LA CIUDADANIA '!CQ19</f>
        <v>7.05</v>
      </c>
      <c r="BZ20" s="375">
        <f>'EDUCACION PARA LA CIUDADANIA '!CR19</f>
        <v>0</v>
      </c>
      <c r="CA20" s="375">
        <f t="shared" si="25"/>
        <v>5.033333333</v>
      </c>
      <c r="CB20" s="375" t="str">
        <f>'EDUCACION PARA LA CIUDADANIA '!DB19</f>
        <v/>
      </c>
      <c r="CC20" s="380">
        <f t="shared" si="26"/>
        <v>5.033333333</v>
      </c>
      <c r="CD20" s="374">
        <f>'PAQUETES CONTABLES '!CP19</f>
        <v>6.14</v>
      </c>
      <c r="CE20" s="375">
        <f>'PAQUETES CONTABLES '!CQ19</f>
        <v>7.3</v>
      </c>
      <c r="CF20" s="375">
        <f>'PAQUETES CONTABLES '!CR19</f>
        <v>0</v>
      </c>
      <c r="CG20" s="375">
        <f t="shared" si="27"/>
        <v>4.48</v>
      </c>
      <c r="CH20" s="375" t="str">
        <f>'PAQUETES CONTABLES '!DB19</f>
        <v/>
      </c>
      <c r="CI20" s="380">
        <f t="shared" si="28"/>
        <v>4.48</v>
      </c>
      <c r="CJ20" s="374">
        <f>'TRIBUTACION '!CP19</f>
        <v>4.14</v>
      </c>
      <c r="CK20" s="375">
        <f>'TRIBUTACION '!CQ19</f>
        <v>6.63</v>
      </c>
      <c r="CL20" s="375">
        <f>'TRIBUTACION '!CR19</f>
        <v>0</v>
      </c>
      <c r="CM20" s="375">
        <f t="shared" si="29"/>
        <v>3.59</v>
      </c>
      <c r="CN20" s="375" t="str">
        <f>'TRIBUTACION '!DB19</f>
        <v/>
      </c>
      <c r="CO20" s="380">
        <f t="shared" si="30"/>
        <v>3.59</v>
      </c>
      <c r="CP20" s="61">
        <f t="shared" si="31"/>
        <v>4.791904762</v>
      </c>
      <c r="DF20" s="384" t="str">
        <f t="shared" si="32"/>
        <v/>
      </c>
    </row>
    <row r="21" ht="15.75" customHeight="1">
      <c r="A21" s="56">
        <v>9.0</v>
      </c>
      <c r="B21" s="124" t="str">
        <f>'SABANA CALIFICACIONES'!B20</f>
        <v/>
      </c>
      <c r="C21" s="125" t="str">
        <f>'SABANA CALIFICACIONES'!C20</f>
        <v>Chamba Maurad Joshelyn Juleixi</v>
      </c>
      <c r="D21" s="369">
        <f>LEN!CP20</f>
        <v>7.02</v>
      </c>
      <c r="E21" s="120">
        <f>LEN!CQ20</f>
        <v>7.45</v>
      </c>
      <c r="F21" s="370">
        <f>LEN!CR20</f>
        <v>0</v>
      </c>
      <c r="G21" s="371">
        <f t="shared" si="1"/>
        <v>4.823333333</v>
      </c>
      <c r="H21" s="120" t="str">
        <f>LEN!DB20</f>
        <v/>
      </c>
      <c r="I21" s="372">
        <f t="shared" si="2"/>
        <v>4.823333333</v>
      </c>
      <c r="J21" s="369">
        <f>MATE!CP20</f>
        <v>6.61</v>
      </c>
      <c r="K21" s="120">
        <f>MATE!CQ20</f>
        <v>7.83</v>
      </c>
      <c r="L21" s="120">
        <f>MATE!CR20</f>
        <v>0</v>
      </c>
      <c r="M21" s="120">
        <f t="shared" si="3"/>
        <v>4.813333333</v>
      </c>
      <c r="N21" s="120" t="str">
        <f>MATE!DB20</f>
        <v/>
      </c>
      <c r="O21" s="370">
        <f t="shared" si="4"/>
        <v>4.813333333</v>
      </c>
      <c r="P21" s="369">
        <f>INGLES!CP20</f>
        <v>7.31</v>
      </c>
      <c r="Q21" s="120">
        <f>INGLES!CQ20</f>
        <v>7.45</v>
      </c>
      <c r="R21" s="120">
        <f>INGLES!CR20</f>
        <v>0</v>
      </c>
      <c r="S21" s="120">
        <f t="shared" si="5"/>
        <v>4.92</v>
      </c>
      <c r="T21" s="120" t="str">
        <f>INGLES!DB20</f>
        <v/>
      </c>
      <c r="U21" s="370">
        <f t="shared" si="6"/>
        <v>4.92</v>
      </c>
      <c r="V21" s="369">
        <f>QUIMI!CP20</f>
        <v>4.06</v>
      </c>
      <c r="W21" s="120">
        <f>QUIMI!CQ20</f>
        <v>7.45</v>
      </c>
      <c r="X21" s="120">
        <f>QUIMI!CR20</f>
        <v>0</v>
      </c>
      <c r="Y21" s="120">
        <f t="shared" si="7"/>
        <v>3.836666667</v>
      </c>
      <c r="Z21" s="120" t="str">
        <f>QUIMI!DB20</f>
        <v/>
      </c>
      <c r="AA21" s="370">
        <f t="shared" si="8"/>
        <v>3.836666667</v>
      </c>
      <c r="AB21" s="369">
        <f>FISICA!CO20</f>
        <v>6.83</v>
      </c>
      <c r="AC21" s="120">
        <f>FISICA!CP20</f>
        <v>7.45</v>
      </c>
      <c r="AD21" s="120">
        <f>FISICA!CQ20</f>
        <v>4.9</v>
      </c>
      <c r="AE21" s="120">
        <f t="shared" si="9"/>
        <v>6.393333333</v>
      </c>
      <c r="AF21" s="120" t="str">
        <f>FISICA!DA20</f>
        <v/>
      </c>
      <c r="AG21" s="370">
        <f t="shared" si="10"/>
        <v>6.393333333</v>
      </c>
      <c r="AH21" s="369">
        <f>'ED. FISICA'!CP20</f>
        <v>8.31</v>
      </c>
      <c r="AI21" s="120">
        <f>'ED. FISICA'!CQ20</f>
        <v>9.5</v>
      </c>
      <c r="AJ21" s="120">
        <f>'ED. FISICA'!CR20</f>
        <v>0</v>
      </c>
      <c r="AK21" s="120">
        <f t="shared" si="11"/>
        <v>5.936666667</v>
      </c>
      <c r="AL21" s="120" t="str">
        <f>'ED. FISICA'!DB20</f>
        <v/>
      </c>
      <c r="AM21" s="370">
        <f t="shared" si="12"/>
        <v>5.936666667</v>
      </c>
      <c r="AN21" s="369">
        <f>'CONTABILIDAD GENERAL '!CP20</f>
        <v>6</v>
      </c>
      <c r="AO21" s="120">
        <f>'CONTABILIDAD GENERAL '!CQ20</f>
        <v>8.61</v>
      </c>
      <c r="AP21" s="120">
        <f>'CONTABILIDAD GENERAL '!CR20</f>
        <v>0</v>
      </c>
      <c r="AQ21" s="120">
        <f t="shared" si="13"/>
        <v>4.87</v>
      </c>
      <c r="AR21" s="373" t="str">
        <f>'CONTABILIDAD GENERAL '!DB20</f>
        <v/>
      </c>
      <c r="AS21" s="372">
        <f t="shared" si="14"/>
        <v>4.87</v>
      </c>
      <c r="AT21" s="374">
        <f>BIO!CP20</f>
        <v>6.1</v>
      </c>
      <c r="AU21" s="375">
        <f>BIO!CQ20</f>
        <v>7.45</v>
      </c>
      <c r="AV21" s="375">
        <f>BIO!CR20</f>
        <v>0</v>
      </c>
      <c r="AW21" s="376">
        <f t="shared" si="15"/>
        <v>4.516666667</v>
      </c>
      <c r="AX21" s="375" t="str">
        <f>BIO!DB20</f>
        <v/>
      </c>
      <c r="AY21" s="377">
        <f t="shared" si="16"/>
        <v>4.516666667</v>
      </c>
      <c r="AZ21" s="60">
        <f>HIST!CP20</f>
        <v>1.8</v>
      </c>
      <c r="BA21" s="60">
        <f>HIST!CQ20</f>
        <v>7</v>
      </c>
      <c r="BB21" s="60">
        <f>HIST!CR20</f>
        <v>0</v>
      </c>
      <c r="BC21" s="378">
        <f t="shared" si="17"/>
        <v>2.933333333</v>
      </c>
      <c r="BD21" s="379" t="str">
        <f>HIST!DB20</f>
        <v/>
      </c>
      <c r="BE21" s="377">
        <f t="shared" si="18"/>
        <v>2.933333333</v>
      </c>
      <c r="BF21" s="374">
        <f>'E. C. A '!CP20</f>
        <v>7</v>
      </c>
      <c r="BG21" s="375">
        <f>'E. C. A '!CQ20</f>
        <v>8.53</v>
      </c>
      <c r="BH21" s="375">
        <f>'E. C. A '!CR20</f>
        <v>0</v>
      </c>
      <c r="BI21" s="375">
        <f t="shared" si="19"/>
        <v>5.176666667</v>
      </c>
      <c r="BJ21" s="375" t="str">
        <f>'E. C. A '!DB20</f>
        <v/>
      </c>
      <c r="BK21" s="380">
        <f t="shared" si="20"/>
        <v>5.176666667</v>
      </c>
      <c r="BL21" s="381">
        <f>FILOSOFIA!CP20</f>
        <v>6.88</v>
      </c>
      <c r="BM21" s="375">
        <f>FILOSOFIA!CQ20</f>
        <v>8.68</v>
      </c>
      <c r="BN21" s="375">
        <f>FILOSOFIA!CR20</f>
        <v>0</v>
      </c>
      <c r="BO21" s="375">
        <f t="shared" si="21"/>
        <v>5.186666667</v>
      </c>
      <c r="BP21" s="375" t="str">
        <f>FILOSOFIA!DB20</f>
        <v/>
      </c>
      <c r="BQ21" s="382">
        <f t="shared" si="22"/>
        <v>5.186666667</v>
      </c>
      <c r="BR21" s="383">
        <f>EMP!CP20</f>
        <v>6.57</v>
      </c>
      <c r="BS21" s="376">
        <f>EMP!CQ20</f>
        <v>7.97</v>
      </c>
      <c r="BT21" s="376">
        <f>EMP!CR20</f>
        <v>0</v>
      </c>
      <c r="BU21" s="376">
        <f t="shared" si="23"/>
        <v>4.846666667</v>
      </c>
      <c r="BV21" s="377"/>
      <c r="BW21" s="380">
        <f t="shared" si="24"/>
        <v>4.846666667</v>
      </c>
      <c r="BX21" s="374">
        <f>'EDUCACION PARA LA CIUDADANIA '!CP20</f>
        <v>7.2</v>
      </c>
      <c r="BY21" s="375">
        <f>'EDUCACION PARA LA CIUDADANIA '!CQ20</f>
        <v>7.68</v>
      </c>
      <c r="BZ21" s="375">
        <f>'EDUCACION PARA LA CIUDADANIA '!CR20</f>
        <v>0</v>
      </c>
      <c r="CA21" s="375">
        <f t="shared" si="25"/>
        <v>4.96</v>
      </c>
      <c r="CB21" s="375" t="str">
        <f>'EDUCACION PARA LA CIUDADANIA '!DB20</f>
        <v/>
      </c>
      <c r="CC21" s="380">
        <f t="shared" si="26"/>
        <v>4.96</v>
      </c>
      <c r="CD21" s="374">
        <f>'PAQUETES CONTABLES '!CP20</f>
        <v>5.64</v>
      </c>
      <c r="CE21" s="375">
        <f>'PAQUETES CONTABLES '!CQ20</f>
        <v>8</v>
      </c>
      <c r="CF21" s="375">
        <f>'PAQUETES CONTABLES '!CR20</f>
        <v>0</v>
      </c>
      <c r="CG21" s="375">
        <f t="shared" si="27"/>
        <v>4.546666667</v>
      </c>
      <c r="CH21" s="375" t="str">
        <f>'PAQUETES CONTABLES '!DB20</f>
        <v/>
      </c>
      <c r="CI21" s="380">
        <f t="shared" si="28"/>
        <v>4.546666667</v>
      </c>
      <c r="CJ21" s="374">
        <f>'TRIBUTACION '!CP20</f>
        <v>6.98</v>
      </c>
      <c r="CK21" s="375">
        <f>'TRIBUTACION '!CQ20</f>
        <v>7.23</v>
      </c>
      <c r="CL21" s="375">
        <f>'TRIBUTACION '!CR20</f>
        <v>0</v>
      </c>
      <c r="CM21" s="375">
        <f t="shared" si="29"/>
        <v>4.736666667</v>
      </c>
      <c r="CN21" s="375" t="str">
        <f>'TRIBUTACION '!DB20</f>
        <v/>
      </c>
      <c r="CO21" s="380">
        <f t="shared" si="30"/>
        <v>4.736666667</v>
      </c>
      <c r="CP21" s="61">
        <f t="shared" si="31"/>
        <v>5.081428571</v>
      </c>
      <c r="DF21" s="384" t="str">
        <f t="shared" si="32"/>
        <v/>
      </c>
    </row>
    <row r="22" ht="15.75" customHeight="1">
      <c r="A22" s="56">
        <v>10.0</v>
      </c>
      <c r="B22" s="124" t="str">
        <f>'SABANA CALIFICACIONES'!B21</f>
        <v/>
      </c>
      <c r="C22" s="125" t="str">
        <f>'SABANA CALIFICACIONES'!C21</f>
        <v>Cedeño Sanchez Josué</v>
      </c>
      <c r="D22" s="369">
        <f>LEN!CP21</f>
        <v>7.02</v>
      </c>
      <c r="E22" s="120">
        <f>LEN!CQ21</f>
        <v>7</v>
      </c>
      <c r="F22" s="370">
        <f>LEN!CR21</f>
        <v>0</v>
      </c>
      <c r="G22" s="371">
        <f t="shared" si="1"/>
        <v>4.673333333</v>
      </c>
      <c r="H22" s="120" t="str">
        <f>LEN!DB21</f>
        <v/>
      </c>
      <c r="I22" s="372">
        <f t="shared" si="2"/>
        <v>4.673333333</v>
      </c>
      <c r="J22" s="369">
        <f>MATE!CP21</f>
        <v>6</v>
      </c>
      <c r="K22" s="120">
        <f>MATE!CQ21</f>
        <v>7.1</v>
      </c>
      <c r="L22" s="120">
        <f>MATE!CR21</f>
        <v>0</v>
      </c>
      <c r="M22" s="120">
        <f t="shared" si="3"/>
        <v>4.366666667</v>
      </c>
      <c r="N22" s="120" t="str">
        <f>MATE!DB21</f>
        <v/>
      </c>
      <c r="O22" s="370">
        <f t="shared" si="4"/>
        <v>4.366666667</v>
      </c>
      <c r="P22" s="369">
        <f>INGLES!CP21</f>
        <v>6.95</v>
      </c>
      <c r="Q22" s="120">
        <f>INGLES!CQ21</f>
        <v>5.86</v>
      </c>
      <c r="R22" s="120">
        <f>INGLES!CR21</f>
        <v>0</v>
      </c>
      <c r="S22" s="120">
        <f t="shared" si="5"/>
        <v>4.27</v>
      </c>
      <c r="T22" s="120" t="str">
        <f>INGLES!DB21</f>
        <v/>
      </c>
      <c r="U22" s="370">
        <f t="shared" si="6"/>
        <v>4.27</v>
      </c>
      <c r="V22" s="369">
        <f>QUIMI!CP21</f>
        <v>4.03</v>
      </c>
      <c r="W22" s="120">
        <f>QUIMI!CQ21</f>
        <v>4.55</v>
      </c>
      <c r="X22" s="120">
        <f>QUIMI!CR21</f>
        <v>0</v>
      </c>
      <c r="Y22" s="120">
        <f t="shared" si="7"/>
        <v>2.86</v>
      </c>
      <c r="Z22" s="120" t="str">
        <f>QUIMI!DB21</f>
        <v/>
      </c>
      <c r="AA22" s="370">
        <f t="shared" si="8"/>
        <v>2.86</v>
      </c>
      <c r="AB22" s="369">
        <f>FISICA!CO21</f>
        <v>5.9</v>
      </c>
      <c r="AC22" s="120">
        <f>FISICA!CP21</f>
        <v>6.25</v>
      </c>
      <c r="AD22" s="120">
        <f>FISICA!CQ21</f>
        <v>4.9</v>
      </c>
      <c r="AE22" s="120">
        <f t="shared" si="9"/>
        <v>5.683333333</v>
      </c>
      <c r="AF22" s="120" t="str">
        <f>FISICA!DA21</f>
        <v/>
      </c>
      <c r="AG22" s="370">
        <f t="shared" si="10"/>
        <v>5.683333333</v>
      </c>
      <c r="AH22" s="369">
        <f>'ED. FISICA'!CP21</f>
        <v>8.46</v>
      </c>
      <c r="AI22" s="120">
        <f>'ED. FISICA'!CQ21</f>
        <v>8.3</v>
      </c>
      <c r="AJ22" s="120">
        <f>'ED. FISICA'!CR21</f>
        <v>0</v>
      </c>
      <c r="AK22" s="120">
        <f t="shared" si="11"/>
        <v>5.586666667</v>
      </c>
      <c r="AL22" s="120" t="str">
        <f>'ED. FISICA'!DB21</f>
        <v/>
      </c>
      <c r="AM22" s="370">
        <f t="shared" si="12"/>
        <v>5.586666667</v>
      </c>
      <c r="AN22" s="369">
        <f>'CONTABILIDAD GENERAL '!CP21</f>
        <v>5.13</v>
      </c>
      <c r="AO22" s="120">
        <f>'CONTABILIDAD GENERAL '!CQ21</f>
        <v>4.1</v>
      </c>
      <c r="AP22" s="120">
        <f>'CONTABILIDAD GENERAL '!CR21</f>
        <v>0</v>
      </c>
      <c r="AQ22" s="120">
        <f t="shared" si="13"/>
        <v>3.076666667</v>
      </c>
      <c r="AR22" s="373" t="str">
        <f>'CONTABILIDAD GENERAL '!DB21</f>
        <v/>
      </c>
      <c r="AS22" s="372">
        <f t="shared" si="14"/>
        <v>3.076666667</v>
      </c>
      <c r="AT22" s="374">
        <f>BIO!CP21</f>
        <v>6.29</v>
      </c>
      <c r="AU22" s="375">
        <f>BIO!CQ21</f>
        <v>4.55</v>
      </c>
      <c r="AV22" s="375">
        <f>BIO!CR21</f>
        <v>0</v>
      </c>
      <c r="AW22" s="376">
        <f t="shared" si="15"/>
        <v>3.613333333</v>
      </c>
      <c r="AX22" s="375" t="str">
        <f>BIO!DB21</f>
        <v/>
      </c>
      <c r="AY22" s="377">
        <f t="shared" si="16"/>
        <v>3.613333333</v>
      </c>
      <c r="AZ22" s="60">
        <f>HIST!CP21</f>
        <v>7.17</v>
      </c>
      <c r="BA22" s="60">
        <f>HIST!CQ21</f>
        <v>7.85</v>
      </c>
      <c r="BB22" s="60">
        <f>HIST!CR21</f>
        <v>0</v>
      </c>
      <c r="BC22" s="378">
        <f t="shared" si="17"/>
        <v>5.006666667</v>
      </c>
      <c r="BD22" s="379" t="str">
        <f>HIST!DB21</f>
        <v/>
      </c>
      <c r="BE22" s="377">
        <f t="shared" si="18"/>
        <v>5.006666667</v>
      </c>
      <c r="BF22" s="374">
        <f>'E. C. A '!CP21</f>
        <v>7</v>
      </c>
      <c r="BG22" s="375">
        <f>'E. C. A '!CQ21</f>
        <v>7.4</v>
      </c>
      <c r="BH22" s="375">
        <f>'E. C. A '!CR21</f>
        <v>0</v>
      </c>
      <c r="BI22" s="375">
        <f t="shared" si="19"/>
        <v>4.8</v>
      </c>
      <c r="BJ22" s="375" t="str">
        <f>'E. C. A '!DB21</f>
        <v/>
      </c>
      <c r="BK22" s="380">
        <f t="shared" si="20"/>
        <v>4.8</v>
      </c>
      <c r="BL22" s="381">
        <f>FILOSOFIA!CP21</f>
        <v>6.88</v>
      </c>
      <c r="BM22" s="375">
        <f>FILOSOFIA!CQ21</f>
        <v>0.6</v>
      </c>
      <c r="BN22" s="375">
        <f>FILOSOFIA!CR21</f>
        <v>0</v>
      </c>
      <c r="BO22" s="375">
        <f t="shared" si="21"/>
        <v>2.493333333</v>
      </c>
      <c r="BP22" s="375" t="str">
        <f>FILOSOFIA!DB21</f>
        <v/>
      </c>
      <c r="BQ22" s="382">
        <f t="shared" si="22"/>
        <v>2.493333333</v>
      </c>
      <c r="BR22" s="383">
        <f>EMP!CP21</f>
        <v>6.44</v>
      </c>
      <c r="BS22" s="376">
        <f>EMP!CQ21</f>
        <v>7.47</v>
      </c>
      <c r="BT22" s="376">
        <f>EMP!CR21</f>
        <v>0</v>
      </c>
      <c r="BU22" s="376">
        <f t="shared" si="23"/>
        <v>4.636666667</v>
      </c>
      <c r="BV22" s="377"/>
      <c r="BW22" s="380">
        <f t="shared" si="24"/>
        <v>4.636666667</v>
      </c>
      <c r="BX22" s="374">
        <f>'EDUCACION PARA LA CIUDADANIA '!CP21</f>
        <v>7</v>
      </c>
      <c r="BY22" s="375">
        <f>'EDUCACION PARA LA CIUDADANIA '!CQ21</f>
        <v>0.6</v>
      </c>
      <c r="BZ22" s="375">
        <f>'EDUCACION PARA LA CIUDADANIA '!CR21</f>
        <v>0</v>
      </c>
      <c r="CA22" s="375">
        <f t="shared" si="25"/>
        <v>2.533333333</v>
      </c>
      <c r="CB22" s="375" t="str">
        <f>'EDUCACION PARA LA CIUDADANIA '!DB21</f>
        <v/>
      </c>
      <c r="CC22" s="380">
        <f t="shared" si="26"/>
        <v>2.533333333</v>
      </c>
      <c r="CD22" s="374">
        <f>'PAQUETES CONTABLES '!CP21</f>
        <v>6.09</v>
      </c>
      <c r="CE22" s="375">
        <f>'PAQUETES CONTABLES '!CQ21</f>
        <v>7.17</v>
      </c>
      <c r="CF22" s="375">
        <f>'PAQUETES CONTABLES '!CR21</f>
        <v>0</v>
      </c>
      <c r="CG22" s="375">
        <f t="shared" si="27"/>
        <v>4.42</v>
      </c>
      <c r="CH22" s="375" t="str">
        <f>'PAQUETES CONTABLES '!DB21</f>
        <v/>
      </c>
      <c r="CI22" s="380">
        <f t="shared" si="28"/>
        <v>4.42</v>
      </c>
      <c r="CJ22" s="374">
        <f>'TRIBUTACION '!CP21</f>
        <v>6</v>
      </c>
      <c r="CK22" s="375">
        <f>'TRIBUTACION '!CQ21</f>
        <v>6.48</v>
      </c>
      <c r="CL22" s="375">
        <f>'TRIBUTACION '!CR21</f>
        <v>0</v>
      </c>
      <c r="CM22" s="375">
        <f t="shared" si="29"/>
        <v>4.16</v>
      </c>
      <c r="CN22" s="375" t="str">
        <f>'TRIBUTACION '!DB21</f>
        <v/>
      </c>
      <c r="CO22" s="380">
        <f t="shared" si="30"/>
        <v>4.16</v>
      </c>
      <c r="CP22" s="61">
        <f t="shared" si="31"/>
        <v>4.582380952</v>
      </c>
      <c r="DF22" s="384" t="str">
        <f t="shared" si="32"/>
        <v/>
      </c>
    </row>
    <row r="23" ht="15.75" customHeight="1">
      <c r="A23" s="56">
        <v>11.0</v>
      </c>
      <c r="B23" s="124" t="str">
        <f>'SABANA CALIFICACIONES'!B22</f>
        <v/>
      </c>
      <c r="C23" s="125" t="str">
        <f>'SABANA CALIFICACIONES'!C22</f>
        <v>Espinoza Martinez Stefano Juliano</v>
      </c>
      <c r="D23" s="369">
        <f>LEN!CP22</f>
        <v>10</v>
      </c>
      <c r="E23" s="120">
        <f>LEN!CQ22</f>
        <v>10</v>
      </c>
      <c r="F23" s="370">
        <f>LEN!CR22</f>
        <v>0</v>
      </c>
      <c r="G23" s="371">
        <f t="shared" si="1"/>
        <v>6.666666667</v>
      </c>
      <c r="H23" s="120" t="str">
        <f>LEN!DB22</f>
        <v/>
      </c>
      <c r="I23" s="372">
        <f t="shared" si="2"/>
        <v>6.666666667</v>
      </c>
      <c r="J23" s="369">
        <f>MATE!CP22</f>
        <v>9.15</v>
      </c>
      <c r="K23" s="120">
        <f>MATE!CQ22</f>
        <v>9.76</v>
      </c>
      <c r="L23" s="120">
        <f>MATE!CR22</f>
        <v>0</v>
      </c>
      <c r="M23" s="120">
        <f t="shared" si="3"/>
        <v>6.303333333</v>
      </c>
      <c r="N23" s="120" t="str">
        <f>MATE!DB22</f>
        <v/>
      </c>
      <c r="O23" s="370">
        <f t="shared" si="4"/>
        <v>6.303333333</v>
      </c>
      <c r="P23" s="369">
        <f>INGLES!CP22</f>
        <v>9.55</v>
      </c>
      <c r="Q23" s="120">
        <f>INGLES!CQ22</f>
        <v>8.91</v>
      </c>
      <c r="R23" s="120">
        <f>INGLES!CR22</f>
        <v>0</v>
      </c>
      <c r="S23" s="120">
        <f t="shared" si="5"/>
        <v>6.153333333</v>
      </c>
      <c r="T23" s="120" t="str">
        <f>INGLES!DB22</f>
        <v/>
      </c>
      <c r="U23" s="370">
        <f t="shared" si="6"/>
        <v>6.153333333</v>
      </c>
      <c r="V23" s="369">
        <f>QUIMI!CP22</f>
        <v>9.46</v>
      </c>
      <c r="W23" s="120">
        <f>QUIMI!CQ22</f>
        <v>9.55</v>
      </c>
      <c r="X23" s="120">
        <f>QUIMI!CR22</f>
        <v>0</v>
      </c>
      <c r="Y23" s="120">
        <f t="shared" si="7"/>
        <v>6.336666667</v>
      </c>
      <c r="Z23" s="120" t="str">
        <f>QUIMI!DB22</f>
        <v/>
      </c>
      <c r="AA23" s="370">
        <f t="shared" si="8"/>
        <v>6.336666667</v>
      </c>
      <c r="AB23" s="369">
        <f>FISICA!CO22</f>
        <v>10</v>
      </c>
      <c r="AC23" s="120">
        <f>FISICA!CP22</f>
        <v>9.31</v>
      </c>
      <c r="AD23" s="120">
        <f>FISICA!CQ22</f>
        <v>7</v>
      </c>
      <c r="AE23" s="120">
        <f t="shared" si="9"/>
        <v>8.77</v>
      </c>
      <c r="AF23" s="120" t="str">
        <f>FISICA!DA22</f>
        <v/>
      </c>
      <c r="AG23" s="370">
        <f t="shared" si="10"/>
        <v>8.77</v>
      </c>
      <c r="AH23" s="369">
        <f>'ED. FISICA'!CP22</f>
        <v>9.53</v>
      </c>
      <c r="AI23" s="120">
        <f>'ED. FISICA'!CQ22</f>
        <v>9.5</v>
      </c>
      <c r="AJ23" s="120">
        <f>'ED. FISICA'!CR22</f>
        <v>0</v>
      </c>
      <c r="AK23" s="120">
        <f t="shared" si="11"/>
        <v>6.343333333</v>
      </c>
      <c r="AL23" s="120" t="str">
        <f>'ED. FISICA'!DB22</f>
        <v/>
      </c>
      <c r="AM23" s="370">
        <f t="shared" si="12"/>
        <v>6.343333333</v>
      </c>
      <c r="AN23" s="369">
        <f>'CONTABILIDAD GENERAL '!CP22</f>
        <v>9.7</v>
      </c>
      <c r="AO23" s="120">
        <f>'CONTABILIDAD GENERAL '!CQ22</f>
        <v>10</v>
      </c>
      <c r="AP23" s="120">
        <f>'CONTABILIDAD GENERAL '!CR22</f>
        <v>0</v>
      </c>
      <c r="AQ23" s="120">
        <f t="shared" si="13"/>
        <v>6.566666667</v>
      </c>
      <c r="AR23" s="373" t="str">
        <f>'CONTABILIDAD GENERAL '!DB22</f>
        <v/>
      </c>
      <c r="AS23" s="372">
        <f t="shared" si="14"/>
        <v>6.566666667</v>
      </c>
      <c r="AT23" s="374">
        <f>BIO!CP22</f>
        <v>8.97</v>
      </c>
      <c r="AU23" s="375">
        <f>BIO!CQ22</f>
        <v>9.15</v>
      </c>
      <c r="AV23" s="375">
        <f>BIO!CR22</f>
        <v>0</v>
      </c>
      <c r="AW23" s="376">
        <f t="shared" si="15"/>
        <v>6.04</v>
      </c>
      <c r="AX23" s="375" t="str">
        <f>BIO!DB22</f>
        <v/>
      </c>
      <c r="AY23" s="377">
        <f t="shared" si="16"/>
        <v>6.04</v>
      </c>
      <c r="AZ23" s="60">
        <f>HIST!CP22</f>
        <v>7.95</v>
      </c>
      <c r="BA23" s="60">
        <f>HIST!CQ22</f>
        <v>10</v>
      </c>
      <c r="BB23" s="60">
        <f>HIST!CR22</f>
        <v>0</v>
      </c>
      <c r="BC23" s="378">
        <f t="shared" si="17"/>
        <v>5.983333333</v>
      </c>
      <c r="BD23" s="379" t="str">
        <f>HIST!DB22</f>
        <v/>
      </c>
      <c r="BE23" s="377">
        <f t="shared" si="18"/>
        <v>5.983333333</v>
      </c>
      <c r="BF23" s="374">
        <f>'E. C. A '!CP22</f>
        <v>9.52</v>
      </c>
      <c r="BG23" s="375">
        <f>'E. C. A '!CQ22</f>
        <v>9.76</v>
      </c>
      <c r="BH23" s="375">
        <f>'E. C. A '!CR22</f>
        <v>0</v>
      </c>
      <c r="BI23" s="375">
        <f t="shared" si="19"/>
        <v>6.426666667</v>
      </c>
      <c r="BJ23" s="375" t="str">
        <f>'E. C. A '!DB22</f>
        <v/>
      </c>
      <c r="BK23" s="380">
        <f t="shared" si="20"/>
        <v>6.426666667</v>
      </c>
      <c r="BL23" s="381">
        <f>FILOSOFIA!CP22</f>
        <v>10</v>
      </c>
      <c r="BM23" s="375">
        <f>FILOSOFIA!CQ22</f>
        <v>10</v>
      </c>
      <c r="BN23" s="375">
        <f>FILOSOFIA!CR22</f>
        <v>0</v>
      </c>
      <c r="BO23" s="375">
        <f t="shared" si="21"/>
        <v>6.666666667</v>
      </c>
      <c r="BP23" s="375" t="str">
        <f>FILOSOFIA!DB22</f>
        <v/>
      </c>
      <c r="BQ23" s="382">
        <f t="shared" si="22"/>
        <v>6.666666667</v>
      </c>
      <c r="BR23" s="383">
        <f>EMP!CP22</f>
        <v>9.89</v>
      </c>
      <c r="BS23" s="376">
        <f>EMP!CQ22</f>
        <v>10</v>
      </c>
      <c r="BT23" s="376">
        <f>EMP!CR22</f>
        <v>0</v>
      </c>
      <c r="BU23" s="376">
        <f t="shared" si="23"/>
        <v>6.63</v>
      </c>
      <c r="BV23" s="377"/>
      <c r="BW23" s="380">
        <f t="shared" si="24"/>
        <v>6.63</v>
      </c>
      <c r="BX23" s="374">
        <f>'EDUCACION PARA LA CIUDADANIA '!CP22</f>
        <v>10</v>
      </c>
      <c r="BY23" s="375">
        <f>'EDUCACION PARA LA CIUDADANIA '!CQ22</f>
        <v>10</v>
      </c>
      <c r="BZ23" s="375">
        <f>'EDUCACION PARA LA CIUDADANIA '!CR22</f>
        <v>0</v>
      </c>
      <c r="CA23" s="375">
        <f t="shared" si="25"/>
        <v>6.666666667</v>
      </c>
      <c r="CB23" s="375" t="str">
        <f>'EDUCACION PARA LA CIUDADANIA '!DB22</f>
        <v/>
      </c>
      <c r="CC23" s="380">
        <f t="shared" si="26"/>
        <v>6.666666667</v>
      </c>
      <c r="CD23" s="374">
        <f>'PAQUETES CONTABLES '!CP22</f>
        <v>9.54</v>
      </c>
      <c r="CE23" s="375">
        <f>'PAQUETES CONTABLES '!CQ22</f>
        <v>10</v>
      </c>
      <c r="CF23" s="375">
        <f>'PAQUETES CONTABLES '!CR22</f>
        <v>0</v>
      </c>
      <c r="CG23" s="375">
        <f t="shared" si="27"/>
        <v>6.513333333</v>
      </c>
      <c r="CH23" s="375" t="str">
        <f>'PAQUETES CONTABLES '!DB22</f>
        <v/>
      </c>
      <c r="CI23" s="380">
        <f t="shared" si="28"/>
        <v>6.513333333</v>
      </c>
      <c r="CJ23" s="374">
        <f>'TRIBUTACION '!CP22</f>
        <v>9.72</v>
      </c>
      <c r="CK23" s="375">
        <f>'TRIBUTACION '!CQ22</f>
        <v>9.85</v>
      </c>
      <c r="CL23" s="375">
        <f>'TRIBUTACION '!CR22</f>
        <v>0</v>
      </c>
      <c r="CM23" s="375">
        <f t="shared" si="29"/>
        <v>6.523333333</v>
      </c>
      <c r="CN23" s="375" t="str">
        <f>'TRIBUTACION '!DB22</f>
        <v/>
      </c>
      <c r="CO23" s="380">
        <f t="shared" si="30"/>
        <v>6.523333333</v>
      </c>
      <c r="CP23" s="61">
        <f t="shared" si="31"/>
        <v>6.743333333</v>
      </c>
      <c r="DF23" s="384" t="str">
        <f t="shared" si="32"/>
        <v/>
      </c>
    </row>
    <row r="24" ht="15.75" customHeight="1">
      <c r="A24" s="56">
        <v>12.0</v>
      </c>
      <c r="B24" s="124" t="str">
        <f>'SABANA CALIFICACIONES'!B23</f>
        <v/>
      </c>
      <c r="C24" s="125" t="str">
        <f>'SABANA CALIFICACIONES'!C23</f>
        <v>Espinoza Morante Melany Ginger</v>
      </c>
      <c r="D24" s="369">
        <f>LEN!CP23</f>
        <v>9.23</v>
      </c>
      <c r="E24" s="120">
        <f>LEN!CQ23</f>
        <v>9.65</v>
      </c>
      <c r="F24" s="370">
        <f>LEN!CR23</f>
        <v>0</v>
      </c>
      <c r="G24" s="371">
        <f t="shared" si="1"/>
        <v>6.293333333</v>
      </c>
      <c r="H24" s="120" t="str">
        <f>LEN!DB23</f>
        <v/>
      </c>
      <c r="I24" s="372">
        <f t="shared" si="2"/>
        <v>6.293333333</v>
      </c>
      <c r="J24" s="369">
        <f>MATE!CP23</f>
        <v>8.26</v>
      </c>
      <c r="K24" s="120">
        <f>MATE!CQ23</f>
        <v>7.68</v>
      </c>
      <c r="L24" s="120">
        <f>MATE!CR23</f>
        <v>0</v>
      </c>
      <c r="M24" s="120">
        <f t="shared" si="3"/>
        <v>5.313333333</v>
      </c>
      <c r="N24" s="120" t="str">
        <f>MATE!DB23</f>
        <v/>
      </c>
      <c r="O24" s="370">
        <f t="shared" si="4"/>
        <v>5.313333333</v>
      </c>
      <c r="P24" s="369">
        <f>INGLES!CP23</f>
        <v>8.78</v>
      </c>
      <c r="Q24" s="120">
        <f>INGLES!CQ23</f>
        <v>8.06</v>
      </c>
      <c r="R24" s="120">
        <f>INGLES!CR23</f>
        <v>0</v>
      </c>
      <c r="S24" s="120">
        <f t="shared" si="5"/>
        <v>5.613333333</v>
      </c>
      <c r="T24" s="120" t="str">
        <f>INGLES!DB23</f>
        <v/>
      </c>
      <c r="U24" s="370">
        <f t="shared" si="6"/>
        <v>5.613333333</v>
      </c>
      <c r="V24" s="369">
        <f>QUIMI!CP23</f>
        <v>9.34</v>
      </c>
      <c r="W24" s="120">
        <f>QUIMI!CQ23</f>
        <v>7.85</v>
      </c>
      <c r="X24" s="120">
        <f>QUIMI!CR23</f>
        <v>0</v>
      </c>
      <c r="Y24" s="120">
        <f t="shared" si="7"/>
        <v>5.73</v>
      </c>
      <c r="Z24" s="120" t="str">
        <f>QUIMI!DB23</f>
        <v/>
      </c>
      <c r="AA24" s="370">
        <f t="shared" si="8"/>
        <v>5.73</v>
      </c>
      <c r="AB24" s="369">
        <f>FISICA!CO23</f>
        <v>8.88</v>
      </c>
      <c r="AC24" s="120">
        <f>FISICA!CP23</f>
        <v>7.45</v>
      </c>
      <c r="AD24" s="120">
        <f>FISICA!CQ23</f>
        <v>6.53</v>
      </c>
      <c r="AE24" s="120">
        <f t="shared" si="9"/>
        <v>7.62</v>
      </c>
      <c r="AF24" s="120" t="str">
        <f>FISICA!DA23</f>
        <v/>
      </c>
      <c r="AG24" s="370">
        <f t="shared" si="10"/>
        <v>7.62</v>
      </c>
      <c r="AH24" s="369">
        <f>'ED. FISICA'!CP23</f>
        <v>9.11</v>
      </c>
      <c r="AI24" s="120">
        <f>'ED. FISICA'!CQ23</f>
        <v>9.5</v>
      </c>
      <c r="AJ24" s="120">
        <f>'ED. FISICA'!CR23</f>
        <v>0</v>
      </c>
      <c r="AK24" s="120">
        <f t="shared" si="11"/>
        <v>6.203333333</v>
      </c>
      <c r="AL24" s="120" t="str">
        <f>'ED. FISICA'!DB23</f>
        <v/>
      </c>
      <c r="AM24" s="370">
        <f t="shared" si="12"/>
        <v>6.203333333</v>
      </c>
      <c r="AN24" s="369">
        <f>'CONTABILIDAD GENERAL '!CP23</f>
        <v>9.4</v>
      </c>
      <c r="AO24" s="120">
        <f>'CONTABILIDAD GENERAL '!CQ23</f>
        <v>9.52</v>
      </c>
      <c r="AP24" s="120">
        <f>'CONTABILIDAD GENERAL '!CR23</f>
        <v>0</v>
      </c>
      <c r="AQ24" s="120">
        <f t="shared" si="13"/>
        <v>6.306666667</v>
      </c>
      <c r="AR24" s="373" t="str">
        <f>'CONTABILIDAD GENERAL '!DB23</f>
        <v/>
      </c>
      <c r="AS24" s="372">
        <f t="shared" si="14"/>
        <v>6.306666667</v>
      </c>
      <c r="AT24" s="374">
        <f>BIO!CP23</f>
        <v>9.23</v>
      </c>
      <c r="AU24" s="375">
        <f>BIO!CQ23</f>
        <v>10</v>
      </c>
      <c r="AV24" s="375">
        <f>BIO!CR23</f>
        <v>0</v>
      </c>
      <c r="AW24" s="376">
        <f t="shared" si="15"/>
        <v>6.41</v>
      </c>
      <c r="AX24" s="375" t="str">
        <f>BIO!DB23</f>
        <v/>
      </c>
      <c r="AY24" s="377">
        <f t="shared" si="16"/>
        <v>6.41</v>
      </c>
      <c r="AZ24" s="60">
        <f>HIST!CP23</f>
        <v>9.58</v>
      </c>
      <c r="BA24" s="60">
        <f>HIST!CQ23</f>
        <v>10</v>
      </c>
      <c r="BB24" s="60">
        <f>HIST!CR23</f>
        <v>0</v>
      </c>
      <c r="BC24" s="378">
        <f t="shared" si="17"/>
        <v>6.526666667</v>
      </c>
      <c r="BD24" s="379" t="str">
        <f>HIST!DB23</f>
        <v/>
      </c>
      <c r="BE24" s="377">
        <f t="shared" si="18"/>
        <v>6.526666667</v>
      </c>
      <c r="BF24" s="374">
        <f>'E. C. A '!CP23</f>
        <v>9.08</v>
      </c>
      <c r="BG24" s="375">
        <f>'E. C. A '!CQ23</f>
        <v>9.38</v>
      </c>
      <c r="BH24" s="375">
        <f>'E. C. A '!CR23</f>
        <v>0</v>
      </c>
      <c r="BI24" s="375">
        <f t="shared" si="19"/>
        <v>6.153333333</v>
      </c>
      <c r="BJ24" s="375" t="str">
        <f>'E. C. A '!DB23</f>
        <v/>
      </c>
      <c r="BK24" s="380">
        <f t="shared" si="20"/>
        <v>6.153333333</v>
      </c>
      <c r="BL24" s="381">
        <f>FILOSOFIA!CP23</f>
        <v>9.34</v>
      </c>
      <c r="BM24" s="375">
        <f>FILOSOFIA!CQ23</f>
        <v>9.53</v>
      </c>
      <c r="BN24" s="375">
        <f>FILOSOFIA!CR23</f>
        <v>0</v>
      </c>
      <c r="BO24" s="375">
        <f t="shared" si="21"/>
        <v>6.29</v>
      </c>
      <c r="BP24" s="375" t="str">
        <f>FILOSOFIA!DB23</f>
        <v/>
      </c>
      <c r="BQ24" s="382">
        <f t="shared" si="22"/>
        <v>6.29</v>
      </c>
      <c r="BR24" s="383">
        <f>EMP!CP23</f>
        <v>8.97</v>
      </c>
      <c r="BS24" s="376">
        <f>EMP!CQ23</f>
        <v>9.3</v>
      </c>
      <c r="BT24" s="376">
        <f>EMP!CR23</f>
        <v>0</v>
      </c>
      <c r="BU24" s="376">
        <f t="shared" si="23"/>
        <v>6.09</v>
      </c>
      <c r="BV24" s="377"/>
      <c r="BW24" s="380">
        <f t="shared" si="24"/>
        <v>6.09</v>
      </c>
      <c r="BX24" s="374">
        <f>'EDUCACION PARA LA CIUDADANIA '!CP23</f>
        <v>8.18</v>
      </c>
      <c r="BY24" s="375">
        <f>'EDUCACION PARA LA CIUDADANIA '!CQ23</f>
        <v>8.91</v>
      </c>
      <c r="BZ24" s="375">
        <f>'EDUCACION PARA LA CIUDADANIA '!CR23</f>
        <v>0</v>
      </c>
      <c r="CA24" s="375">
        <f t="shared" si="25"/>
        <v>5.696666667</v>
      </c>
      <c r="CB24" s="375" t="str">
        <f>'EDUCACION PARA LA CIUDADANIA '!DB23</f>
        <v/>
      </c>
      <c r="CC24" s="380">
        <f t="shared" si="26"/>
        <v>5.696666667</v>
      </c>
      <c r="CD24" s="374">
        <f>'PAQUETES CONTABLES '!CP23</f>
        <v>9.27</v>
      </c>
      <c r="CE24" s="375">
        <f>'PAQUETES CONTABLES '!CQ23</f>
        <v>8.82</v>
      </c>
      <c r="CF24" s="375">
        <f>'PAQUETES CONTABLES '!CR23</f>
        <v>0</v>
      </c>
      <c r="CG24" s="375">
        <f t="shared" si="27"/>
        <v>6.03</v>
      </c>
      <c r="CH24" s="375" t="str">
        <f>'PAQUETES CONTABLES '!DB23</f>
        <v/>
      </c>
      <c r="CI24" s="380">
        <f t="shared" si="28"/>
        <v>6.03</v>
      </c>
      <c r="CJ24" s="374">
        <f>'TRIBUTACION '!CP23</f>
        <v>8.01</v>
      </c>
      <c r="CK24" s="375">
        <f>'TRIBUTACION '!CQ23</f>
        <v>9.23</v>
      </c>
      <c r="CL24" s="375">
        <f>'TRIBUTACION '!CR23</f>
        <v>0</v>
      </c>
      <c r="CM24" s="375">
        <f t="shared" si="29"/>
        <v>5.746666667</v>
      </c>
      <c r="CN24" s="375" t="str">
        <f>'TRIBUTACION '!DB23</f>
        <v/>
      </c>
      <c r="CO24" s="380">
        <f t="shared" si="30"/>
        <v>5.746666667</v>
      </c>
      <c r="CP24" s="61">
        <f t="shared" si="31"/>
        <v>6.123333333</v>
      </c>
      <c r="DF24" s="384" t="str">
        <f t="shared" si="32"/>
        <v/>
      </c>
    </row>
    <row r="25" ht="15.75" customHeight="1">
      <c r="A25" s="56">
        <v>13.0</v>
      </c>
      <c r="B25" s="124" t="str">
        <f>'SABANA CALIFICACIONES'!B24</f>
        <v/>
      </c>
      <c r="C25" s="125" t="str">
        <f>'SABANA CALIFICACIONES'!C24</f>
        <v>Garrido franco Génesis Lissette</v>
      </c>
      <c r="D25" s="369">
        <f>LEN!CP24</f>
        <v>8.8</v>
      </c>
      <c r="E25" s="120">
        <f>LEN!CQ24</f>
        <v>9.52</v>
      </c>
      <c r="F25" s="370">
        <f>LEN!CR24</f>
        <v>0</v>
      </c>
      <c r="G25" s="371">
        <f t="shared" si="1"/>
        <v>6.106666667</v>
      </c>
      <c r="H25" s="120" t="str">
        <f>LEN!DB24</f>
        <v/>
      </c>
      <c r="I25" s="372">
        <f t="shared" si="2"/>
        <v>6.106666667</v>
      </c>
      <c r="J25" s="369">
        <f>MATE!CP24</f>
        <v>9</v>
      </c>
      <c r="K25" s="120">
        <f>MATE!CQ24</f>
        <v>8.76</v>
      </c>
      <c r="L25" s="120">
        <f>MATE!CR24</f>
        <v>0</v>
      </c>
      <c r="M25" s="120">
        <f t="shared" si="3"/>
        <v>5.92</v>
      </c>
      <c r="N25" s="120" t="str">
        <f>MATE!DB24</f>
        <v/>
      </c>
      <c r="O25" s="370">
        <f t="shared" si="4"/>
        <v>5.92</v>
      </c>
      <c r="P25" s="369">
        <f>INGLES!CP24</f>
        <v>9.07</v>
      </c>
      <c r="Q25" s="120">
        <f>INGLES!CQ24</f>
        <v>7.45</v>
      </c>
      <c r="R25" s="120">
        <f>INGLES!CR24</f>
        <v>0</v>
      </c>
      <c r="S25" s="120">
        <f t="shared" si="5"/>
        <v>5.506666667</v>
      </c>
      <c r="T25" s="120" t="str">
        <f>INGLES!DB24</f>
        <v/>
      </c>
      <c r="U25" s="370">
        <f t="shared" si="6"/>
        <v>5.506666667</v>
      </c>
      <c r="V25" s="369">
        <f>QUIMI!CP24</f>
        <v>8.33</v>
      </c>
      <c r="W25" s="120">
        <f>QUIMI!CQ24</f>
        <v>8.05</v>
      </c>
      <c r="X25" s="120">
        <f>QUIMI!CR24</f>
        <v>0</v>
      </c>
      <c r="Y25" s="120">
        <f t="shared" si="7"/>
        <v>5.46</v>
      </c>
      <c r="Z25" s="120" t="str">
        <f>QUIMI!DB24</f>
        <v/>
      </c>
      <c r="AA25" s="370">
        <f t="shared" si="8"/>
        <v>5.46</v>
      </c>
      <c r="AB25" s="369">
        <f>FISICA!CO24</f>
        <v>9.38</v>
      </c>
      <c r="AC25" s="120">
        <f>FISICA!CP24</f>
        <v>8.15</v>
      </c>
      <c r="AD25" s="120">
        <f>FISICA!CQ24</f>
        <v>7</v>
      </c>
      <c r="AE25" s="120">
        <f t="shared" si="9"/>
        <v>8.176666667</v>
      </c>
      <c r="AF25" s="120" t="str">
        <f>FISICA!DA24</f>
        <v/>
      </c>
      <c r="AG25" s="370">
        <f t="shared" si="10"/>
        <v>8.176666667</v>
      </c>
      <c r="AH25" s="369">
        <f>'ED. FISICA'!CP24</f>
        <v>9.38</v>
      </c>
      <c r="AI25" s="120">
        <f>'ED. FISICA'!CQ24</f>
        <v>9.5</v>
      </c>
      <c r="AJ25" s="120">
        <f>'ED. FISICA'!CR24</f>
        <v>0</v>
      </c>
      <c r="AK25" s="120">
        <f t="shared" si="11"/>
        <v>6.293333333</v>
      </c>
      <c r="AL25" s="120" t="str">
        <f>'ED. FISICA'!DB24</f>
        <v/>
      </c>
      <c r="AM25" s="370">
        <f t="shared" si="12"/>
        <v>6.293333333</v>
      </c>
      <c r="AN25" s="369">
        <f>'CONTABILIDAD GENERAL '!CP24</f>
        <v>9.42</v>
      </c>
      <c r="AO25" s="120">
        <f>'CONTABILIDAD GENERAL '!CQ24</f>
        <v>8.85</v>
      </c>
      <c r="AP25" s="120">
        <f>'CONTABILIDAD GENERAL '!CR24</f>
        <v>0</v>
      </c>
      <c r="AQ25" s="120">
        <f t="shared" si="13"/>
        <v>6.09</v>
      </c>
      <c r="AR25" s="373" t="str">
        <f>'CONTABILIDAD GENERAL '!DB24</f>
        <v/>
      </c>
      <c r="AS25" s="372">
        <f t="shared" si="14"/>
        <v>6.09</v>
      </c>
      <c r="AT25" s="374">
        <f>BIO!CP24</f>
        <v>8.15</v>
      </c>
      <c r="AU25" s="375">
        <f>BIO!CQ24</f>
        <v>8.5</v>
      </c>
      <c r="AV25" s="375">
        <f>BIO!CR24</f>
        <v>0</v>
      </c>
      <c r="AW25" s="376">
        <f t="shared" si="15"/>
        <v>5.55</v>
      </c>
      <c r="AX25" s="375" t="str">
        <f>BIO!DB24</f>
        <v/>
      </c>
      <c r="AY25" s="377">
        <f t="shared" si="16"/>
        <v>5.55</v>
      </c>
      <c r="AZ25" s="60">
        <f>HIST!CP24</f>
        <v>9.85</v>
      </c>
      <c r="BA25" s="60">
        <f>HIST!CQ24</f>
        <v>10</v>
      </c>
      <c r="BB25" s="60">
        <f>HIST!CR24</f>
        <v>0</v>
      </c>
      <c r="BC25" s="378">
        <f t="shared" si="17"/>
        <v>6.616666667</v>
      </c>
      <c r="BD25" s="379" t="str">
        <f>HIST!DB24</f>
        <v/>
      </c>
      <c r="BE25" s="377">
        <f t="shared" si="18"/>
        <v>6.616666667</v>
      </c>
      <c r="BF25" s="374">
        <f>'E. C. A '!CP24</f>
        <v>8.85</v>
      </c>
      <c r="BG25" s="375">
        <f>'E. C. A '!CQ24</f>
        <v>9.15</v>
      </c>
      <c r="BH25" s="375">
        <f>'E. C. A '!CR24</f>
        <v>0</v>
      </c>
      <c r="BI25" s="375">
        <f t="shared" si="19"/>
        <v>6</v>
      </c>
      <c r="BJ25" s="375" t="str">
        <f>'E. C. A '!DB24</f>
        <v/>
      </c>
      <c r="BK25" s="380">
        <f t="shared" si="20"/>
        <v>6</v>
      </c>
      <c r="BL25" s="381">
        <f>FILOSOFIA!CP24</f>
        <v>8.38</v>
      </c>
      <c r="BM25" s="375">
        <f>FILOSOFIA!CQ24</f>
        <v>8.6</v>
      </c>
      <c r="BN25" s="375">
        <f>FILOSOFIA!CR24</f>
        <v>0</v>
      </c>
      <c r="BO25" s="375">
        <f t="shared" si="21"/>
        <v>5.66</v>
      </c>
      <c r="BP25" s="375" t="str">
        <f>FILOSOFIA!DB24</f>
        <v/>
      </c>
      <c r="BQ25" s="382">
        <f t="shared" si="22"/>
        <v>5.66</v>
      </c>
      <c r="BR25" s="383">
        <f>EMP!CP24</f>
        <v>9.85</v>
      </c>
      <c r="BS25" s="376">
        <f>EMP!CQ24</f>
        <v>10</v>
      </c>
      <c r="BT25" s="376">
        <f>EMP!CR24</f>
        <v>0</v>
      </c>
      <c r="BU25" s="376">
        <f t="shared" si="23"/>
        <v>6.616666667</v>
      </c>
      <c r="BV25" s="377"/>
      <c r="BW25" s="380">
        <f t="shared" si="24"/>
        <v>6.616666667</v>
      </c>
      <c r="BX25" s="374">
        <f>'EDUCACION PARA LA CIUDADANIA '!CP24</f>
        <v>8.33</v>
      </c>
      <c r="BY25" s="375">
        <f>'EDUCACION PARA LA CIUDADANIA '!CQ24</f>
        <v>8.41</v>
      </c>
      <c r="BZ25" s="375">
        <f>'EDUCACION PARA LA CIUDADANIA '!CR24</f>
        <v>0</v>
      </c>
      <c r="CA25" s="375">
        <f t="shared" si="25"/>
        <v>5.58</v>
      </c>
      <c r="CB25" s="375" t="str">
        <f>'EDUCACION PARA LA CIUDADANIA '!DB24</f>
        <v/>
      </c>
      <c r="CC25" s="380">
        <f t="shared" si="26"/>
        <v>5.58</v>
      </c>
      <c r="CD25" s="374">
        <f>'PAQUETES CONTABLES '!CP24</f>
        <v>9.15</v>
      </c>
      <c r="CE25" s="375">
        <f>'PAQUETES CONTABLES '!CQ24</f>
        <v>9.85</v>
      </c>
      <c r="CF25" s="375">
        <f>'PAQUETES CONTABLES '!CR24</f>
        <v>0</v>
      </c>
      <c r="CG25" s="375">
        <f t="shared" si="27"/>
        <v>6.333333333</v>
      </c>
      <c r="CH25" s="375" t="str">
        <f>'PAQUETES CONTABLES '!DB24</f>
        <v/>
      </c>
      <c r="CI25" s="380">
        <f t="shared" si="28"/>
        <v>6.333333333</v>
      </c>
      <c r="CJ25" s="374">
        <f>'TRIBUTACION '!CP24</f>
        <v>8.56</v>
      </c>
      <c r="CK25" s="375">
        <f>'TRIBUTACION '!CQ24</f>
        <v>7.83</v>
      </c>
      <c r="CL25" s="375">
        <f>'TRIBUTACION '!CR24</f>
        <v>0</v>
      </c>
      <c r="CM25" s="375">
        <f t="shared" si="29"/>
        <v>5.463333333</v>
      </c>
      <c r="CN25" s="375" t="str">
        <f>'TRIBUTACION '!DB24</f>
        <v/>
      </c>
      <c r="CO25" s="380">
        <f t="shared" si="30"/>
        <v>5.463333333</v>
      </c>
      <c r="CP25" s="61">
        <f t="shared" si="31"/>
        <v>6.297142857</v>
      </c>
      <c r="DF25" s="384" t="str">
        <f t="shared" si="32"/>
        <v/>
      </c>
    </row>
    <row r="26" ht="15.0" customHeight="1">
      <c r="A26" s="56">
        <v>14.0</v>
      </c>
      <c r="B26" s="124" t="str">
        <f>'SABANA CALIFICACIONES'!B25</f>
        <v/>
      </c>
      <c r="C26" s="125" t="str">
        <f>'SABANA CALIFICACIONES'!C25</f>
        <v>Gonzalez Gonzalez Jean Carlos</v>
      </c>
      <c r="D26" s="369">
        <f>LEN!CP25</f>
        <v>7</v>
      </c>
      <c r="E26" s="120">
        <f>LEN!CQ25</f>
        <v>8.2</v>
      </c>
      <c r="F26" s="370">
        <f>LEN!CR25</f>
        <v>0</v>
      </c>
      <c r="G26" s="371">
        <f t="shared" si="1"/>
        <v>5.066666667</v>
      </c>
      <c r="H26" s="120" t="str">
        <f>LEN!DB25</f>
        <v/>
      </c>
      <c r="I26" s="372">
        <f t="shared" si="2"/>
        <v>5.066666667</v>
      </c>
      <c r="J26" s="369">
        <f>MATE!CP25</f>
        <v>6.15</v>
      </c>
      <c r="K26" s="120">
        <f>MATE!CQ25</f>
        <v>8.3</v>
      </c>
      <c r="L26" s="120">
        <f>MATE!CR25</f>
        <v>0</v>
      </c>
      <c r="M26" s="120">
        <f t="shared" si="3"/>
        <v>4.816666667</v>
      </c>
      <c r="N26" s="120" t="str">
        <f>MATE!DB25</f>
        <v/>
      </c>
      <c r="O26" s="370">
        <f t="shared" si="4"/>
        <v>4.816666667</v>
      </c>
      <c r="P26" s="369">
        <f>INGLES!CP25</f>
        <v>7.31</v>
      </c>
      <c r="Q26" s="120">
        <f>INGLES!CQ25</f>
        <v>7.06</v>
      </c>
      <c r="R26" s="120">
        <f>INGLES!CR25</f>
        <v>0</v>
      </c>
      <c r="S26" s="120">
        <f t="shared" si="5"/>
        <v>4.79</v>
      </c>
      <c r="T26" s="120" t="str">
        <f>INGLES!DB25</f>
        <v/>
      </c>
      <c r="U26" s="370">
        <f t="shared" si="6"/>
        <v>4.79</v>
      </c>
      <c r="V26" s="369">
        <f>QUIMI!CP25</f>
        <v>6.71</v>
      </c>
      <c r="W26" s="120">
        <f>QUIMI!CQ25</f>
        <v>7.45</v>
      </c>
      <c r="X26" s="120">
        <f>QUIMI!CR25</f>
        <v>0</v>
      </c>
      <c r="Y26" s="120">
        <f t="shared" si="7"/>
        <v>4.72</v>
      </c>
      <c r="Z26" s="120" t="str">
        <f>QUIMI!DB25</f>
        <v/>
      </c>
      <c r="AA26" s="370">
        <f t="shared" si="8"/>
        <v>4.72</v>
      </c>
      <c r="AB26" s="369">
        <f>FISICA!CO25</f>
        <v>5.9</v>
      </c>
      <c r="AC26" s="120">
        <f>FISICA!CP25</f>
        <v>7.45</v>
      </c>
      <c r="AD26" s="120">
        <f>FISICA!CQ25</f>
        <v>0</v>
      </c>
      <c r="AE26" s="120">
        <f t="shared" si="9"/>
        <v>4.45</v>
      </c>
      <c r="AF26" s="120" t="str">
        <f>FISICA!DA25</f>
        <v/>
      </c>
      <c r="AG26" s="370">
        <f t="shared" si="10"/>
        <v>4.45</v>
      </c>
      <c r="AH26" s="369">
        <f>'ED. FISICA'!CP25</f>
        <v>8.93</v>
      </c>
      <c r="AI26" s="120">
        <f>'ED. FISICA'!CQ25</f>
        <v>9.5</v>
      </c>
      <c r="AJ26" s="120">
        <f>'ED. FISICA'!CR25</f>
        <v>0</v>
      </c>
      <c r="AK26" s="120">
        <f t="shared" si="11"/>
        <v>6.143333333</v>
      </c>
      <c r="AL26" s="120" t="str">
        <f>'ED. FISICA'!DB25</f>
        <v/>
      </c>
      <c r="AM26" s="370">
        <f t="shared" si="12"/>
        <v>6.143333333</v>
      </c>
      <c r="AN26" s="369">
        <f>'CONTABILIDAD GENERAL '!CP25</f>
        <v>8.24</v>
      </c>
      <c r="AO26" s="120">
        <f>'CONTABILIDAD GENERAL '!CQ25</f>
        <v>8.3</v>
      </c>
      <c r="AP26" s="120">
        <f>'CONTABILIDAD GENERAL '!CR25</f>
        <v>0</v>
      </c>
      <c r="AQ26" s="120">
        <f t="shared" si="13"/>
        <v>5.513333333</v>
      </c>
      <c r="AR26" s="373" t="str">
        <f>'CONTABILIDAD GENERAL '!DB25</f>
        <v/>
      </c>
      <c r="AS26" s="372">
        <f t="shared" si="14"/>
        <v>5.513333333</v>
      </c>
      <c r="AT26" s="374">
        <f>BIO!CP25</f>
        <v>5.61</v>
      </c>
      <c r="AU26" s="375">
        <f>BIO!CQ25</f>
        <v>7.45</v>
      </c>
      <c r="AV26" s="375">
        <f>BIO!CR25</f>
        <v>0</v>
      </c>
      <c r="AW26" s="376">
        <f t="shared" si="15"/>
        <v>4.353333333</v>
      </c>
      <c r="AX26" s="375" t="str">
        <f>BIO!DB25</f>
        <v/>
      </c>
      <c r="AY26" s="377">
        <f t="shared" si="16"/>
        <v>4.353333333</v>
      </c>
      <c r="AZ26" s="60">
        <f>HIST!CP25</f>
        <v>8.72</v>
      </c>
      <c r="BA26" s="60">
        <f>HIST!CQ25</f>
        <v>8.15</v>
      </c>
      <c r="BB26" s="60">
        <f>HIST!CR25</f>
        <v>0</v>
      </c>
      <c r="BC26" s="378">
        <f t="shared" si="17"/>
        <v>5.623333333</v>
      </c>
      <c r="BD26" s="379" t="str">
        <f>HIST!DB25</f>
        <v/>
      </c>
      <c r="BE26" s="377">
        <f t="shared" si="18"/>
        <v>5.623333333</v>
      </c>
      <c r="BF26" s="374">
        <f>'E. C. A '!CP25</f>
        <v>7</v>
      </c>
      <c r="BG26" s="375">
        <f>'E. C. A '!CQ25</f>
        <v>8.91</v>
      </c>
      <c r="BH26" s="375">
        <f>'E. C. A '!CR25</f>
        <v>0</v>
      </c>
      <c r="BI26" s="375">
        <f t="shared" si="19"/>
        <v>5.303333333</v>
      </c>
      <c r="BJ26" s="375" t="str">
        <f>'E. C. A '!DB25</f>
        <v/>
      </c>
      <c r="BK26" s="380">
        <f t="shared" si="20"/>
        <v>5.303333333</v>
      </c>
      <c r="BL26" s="381">
        <f>FILOSOFIA!CP25</f>
        <v>7.2</v>
      </c>
      <c r="BM26" s="375">
        <f>FILOSOFIA!CQ25</f>
        <v>8.56</v>
      </c>
      <c r="BN26" s="375">
        <f>FILOSOFIA!CR25</f>
        <v>0</v>
      </c>
      <c r="BO26" s="375">
        <f t="shared" si="21"/>
        <v>5.253333333</v>
      </c>
      <c r="BP26" s="375" t="str">
        <f>FILOSOFIA!DB25</f>
        <v/>
      </c>
      <c r="BQ26" s="382">
        <f t="shared" si="22"/>
        <v>5.253333333</v>
      </c>
      <c r="BR26" s="383">
        <f>EMP!CP25</f>
        <v>6.24</v>
      </c>
      <c r="BS26" s="376">
        <f>EMP!CQ25</f>
        <v>8.35</v>
      </c>
      <c r="BT26" s="376">
        <f>EMP!CR25</f>
        <v>0</v>
      </c>
      <c r="BU26" s="376">
        <f t="shared" si="23"/>
        <v>4.863333333</v>
      </c>
      <c r="BV26" s="377"/>
      <c r="BW26" s="380">
        <f t="shared" si="24"/>
        <v>4.863333333</v>
      </c>
      <c r="BX26" s="374">
        <f>'EDUCACION PARA LA CIUDADANIA '!CP25</f>
        <v>7.38</v>
      </c>
      <c r="BY26" s="375">
        <f>'EDUCACION PARA LA CIUDADANIA '!CQ25</f>
        <v>8.33</v>
      </c>
      <c r="BZ26" s="375">
        <f>'EDUCACION PARA LA CIUDADANIA '!CR25</f>
        <v>0</v>
      </c>
      <c r="CA26" s="375">
        <f t="shared" si="25"/>
        <v>5.236666667</v>
      </c>
      <c r="CB26" s="375" t="str">
        <f>'EDUCACION PARA LA CIUDADANIA '!DB25</f>
        <v/>
      </c>
      <c r="CC26" s="380">
        <f t="shared" si="26"/>
        <v>5.236666667</v>
      </c>
      <c r="CD26" s="374">
        <f>'PAQUETES CONTABLES '!CP25</f>
        <v>6.14</v>
      </c>
      <c r="CE26" s="375">
        <f>'PAQUETES CONTABLES '!CQ25</f>
        <v>8.37</v>
      </c>
      <c r="CF26" s="375">
        <f>'PAQUETES CONTABLES '!CR25</f>
        <v>0</v>
      </c>
      <c r="CG26" s="375">
        <f t="shared" si="27"/>
        <v>4.836666667</v>
      </c>
      <c r="CH26" s="375" t="str">
        <f>'PAQUETES CONTABLES '!DB25</f>
        <v/>
      </c>
      <c r="CI26" s="380">
        <f t="shared" si="28"/>
        <v>4.836666667</v>
      </c>
      <c r="CJ26" s="374">
        <f>'TRIBUTACION '!CP25</f>
        <v>6.42</v>
      </c>
      <c r="CK26" s="375">
        <f>'TRIBUTACION '!CQ25</f>
        <v>8.53</v>
      </c>
      <c r="CL26" s="375">
        <f>'TRIBUTACION '!CR25</f>
        <v>0</v>
      </c>
      <c r="CM26" s="375">
        <f t="shared" si="29"/>
        <v>4.983333333</v>
      </c>
      <c r="CN26" s="375" t="str">
        <f>'TRIBUTACION '!DB25</f>
        <v/>
      </c>
      <c r="CO26" s="380">
        <f t="shared" si="30"/>
        <v>4.983333333</v>
      </c>
      <c r="CP26" s="61">
        <f t="shared" si="31"/>
        <v>4.978571429</v>
      </c>
      <c r="DF26" s="384" t="str">
        <f t="shared" si="32"/>
        <v/>
      </c>
    </row>
    <row r="27" ht="15.75" customHeight="1">
      <c r="A27" s="56">
        <v>15.0</v>
      </c>
      <c r="B27" s="124" t="str">
        <f>'SABANA CALIFICACIONES'!B26</f>
        <v/>
      </c>
      <c r="C27" s="125" t="str">
        <f>'SABANA CALIFICACIONES'!C26</f>
        <v>Guevara Benites Jean Pierre</v>
      </c>
      <c r="D27" s="369">
        <f>LEN!CP26</f>
        <v>9.48</v>
      </c>
      <c r="E27" s="120">
        <f>LEN!CQ26</f>
        <v>8.5</v>
      </c>
      <c r="F27" s="370">
        <f>LEN!CR26</f>
        <v>0</v>
      </c>
      <c r="G27" s="371">
        <f t="shared" si="1"/>
        <v>5.993333333</v>
      </c>
      <c r="H27" s="120" t="str">
        <f>LEN!DB26</f>
        <v/>
      </c>
      <c r="I27" s="372">
        <f t="shared" si="2"/>
        <v>5.993333333</v>
      </c>
      <c r="J27" s="369">
        <f>MATE!CP26</f>
        <v>7.69</v>
      </c>
      <c r="K27" s="120">
        <f>MATE!CQ26</f>
        <v>8.53</v>
      </c>
      <c r="L27" s="120">
        <f>MATE!CR26</f>
        <v>0</v>
      </c>
      <c r="M27" s="120">
        <f t="shared" si="3"/>
        <v>5.406666667</v>
      </c>
      <c r="N27" s="120" t="str">
        <f>MATE!DB26</f>
        <v/>
      </c>
      <c r="O27" s="370">
        <f t="shared" si="4"/>
        <v>5.406666667</v>
      </c>
      <c r="P27" s="369">
        <f>INGLES!CP26</f>
        <v>8.79</v>
      </c>
      <c r="Q27" s="120">
        <f>INGLES!CQ26</f>
        <v>8.91</v>
      </c>
      <c r="R27" s="120">
        <f>INGLES!CR26</f>
        <v>0</v>
      </c>
      <c r="S27" s="120">
        <f t="shared" si="5"/>
        <v>5.9</v>
      </c>
      <c r="T27" s="120" t="str">
        <f>INGLES!DB26</f>
        <v/>
      </c>
      <c r="U27" s="370">
        <f t="shared" si="6"/>
        <v>5.9</v>
      </c>
      <c r="V27" s="369">
        <f>QUIMI!CP26</f>
        <v>8.5</v>
      </c>
      <c r="W27" s="120">
        <f>QUIMI!CQ26</f>
        <v>7</v>
      </c>
      <c r="X27" s="120">
        <f>QUIMI!CR26</f>
        <v>0</v>
      </c>
      <c r="Y27" s="120">
        <f t="shared" si="7"/>
        <v>5.166666667</v>
      </c>
      <c r="Z27" s="120" t="str">
        <f>QUIMI!DB26</f>
        <v/>
      </c>
      <c r="AA27" s="370">
        <f t="shared" si="8"/>
        <v>5.166666667</v>
      </c>
      <c r="AB27" s="369">
        <f>FISICA!CO26</f>
        <v>8.72</v>
      </c>
      <c r="AC27" s="120">
        <f>FISICA!CP26</f>
        <v>8.5</v>
      </c>
      <c r="AD27" s="120">
        <f>FISICA!CQ26</f>
        <v>7</v>
      </c>
      <c r="AE27" s="120">
        <f t="shared" si="9"/>
        <v>8.073333333</v>
      </c>
      <c r="AF27" s="120" t="str">
        <f>FISICA!DA26</f>
        <v/>
      </c>
      <c r="AG27" s="370">
        <f t="shared" si="10"/>
        <v>8.073333333</v>
      </c>
      <c r="AH27" s="369">
        <f>'ED. FISICA'!CP26</f>
        <v>9.19</v>
      </c>
      <c r="AI27" s="120">
        <f>'ED. FISICA'!CQ26</f>
        <v>9.5</v>
      </c>
      <c r="AJ27" s="120">
        <f>'ED. FISICA'!CR26</f>
        <v>0</v>
      </c>
      <c r="AK27" s="120">
        <f t="shared" si="11"/>
        <v>6.23</v>
      </c>
      <c r="AL27" s="120" t="str">
        <f>'ED. FISICA'!DB26</f>
        <v/>
      </c>
      <c r="AM27" s="370">
        <f t="shared" si="12"/>
        <v>6.23</v>
      </c>
      <c r="AN27" s="369">
        <f>'CONTABILIDAD GENERAL '!CP26</f>
        <v>8.89</v>
      </c>
      <c r="AO27" s="120">
        <f>'CONTABILIDAD GENERAL '!CQ26</f>
        <v>9.15</v>
      </c>
      <c r="AP27" s="120">
        <f>'CONTABILIDAD GENERAL '!CR26</f>
        <v>0</v>
      </c>
      <c r="AQ27" s="120">
        <f t="shared" si="13"/>
        <v>6.013333333</v>
      </c>
      <c r="AR27" s="373" t="str">
        <f>'CONTABILIDAD GENERAL '!DB26</f>
        <v/>
      </c>
      <c r="AS27" s="372">
        <f t="shared" si="14"/>
        <v>6.013333333</v>
      </c>
      <c r="AT27" s="374">
        <f>BIO!CP26</f>
        <v>7.95</v>
      </c>
      <c r="AU27" s="375">
        <f>BIO!CQ26</f>
        <v>6.54</v>
      </c>
      <c r="AV27" s="375">
        <f>BIO!CR26</f>
        <v>0</v>
      </c>
      <c r="AW27" s="376">
        <f t="shared" si="15"/>
        <v>4.83</v>
      </c>
      <c r="AX27" s="375" t="str">
        <f>BIO!DB26</f>
        <v/>
      </c>
      <c r="AY27" s="377">
        <f t="shared" si="16"/>
        <v>4.83</v>
      </c>
      <c r="AZ27" s="60">
        <f>HIST!CP26</f>
        <v>8.8</v>
      </c>
      <c r="BA27" s="60">
        <f>HIST!CQ26</f>
        <v>8.6</v>
      </c>
      <c r="BB27" s="60">
        <f>HIST!CR26</f>
        <v>0</v>
      </c>
      <c r="BC27" s="378">
        <f t="shared" si="17"/>
        <v>5.8</v>
      </c>
      <c r="BD27" s="379" t="str">
        <f>HIST!DB26</f>
        <v/>
      </c>
      <c r="BE27" s="377">
        <f t="shared" si="18"/>
        <v>5.8</v>
      </c>
      <c r="BF27" s="374">
        <f>'E. C. A '!CP26</f>
        <v>8.28</v>
      </c>
      <c r="BG27" s="375">
        <f>'E. C. A '!CQ26</f>
        <v>8.91</v>
      </c>
      <c r="BH27" s="375">
        <f>'E. C. A '!CR26</f>
        <v>0</v>
      </c>
      <c r="BI27" s="375">
        <f t="shared" si="19"/>
        <v>5.73</v>
      </c>
      <c r="BJ27" s="375" t="str">
        <f>'E. C. A '!DB26</f>
        <v/>
      </c>
      <c r="BK27" s="380">
        <f t="shared" si="20"/>
        <v>5.73</v>
      </c>
      <c r="BL27" s="381">
        <f>FILOSOFIA!CP26</f>
        <v>7.99</v>
      </c>
      <c r="BM27" s="375">
        <f>FILOSOFIA!CQ26</f>
        <v>9.15</v>
      </c>
      <c r="BN27" s="375">
        <f>FILOSOFIA!CR26</f>
        <v>0</v>
      </c>
      <c r="BO27" s="375">
        <f t="shared" si="21"/>
        <v>5.713333333</v>
      </c>
      <c r="BP27" s="375" t="str">
        <f>FILOSOFIA!DB26</f>
        <v/>
      </c>
      <c r="BQ27" s="382">
        <f t="shared" si="22"/>
        <v>5.713333333</v>
      </c>
      <c r="BR27" s="383">
        <f>EMP!CP26</f>
        <v>9.1</v>
      </c>
      <c r="BS27" s="376">
        <f>EMP!CQ26</f>
        <v>9.17</v>
      </c>
      <c r="BT27" s="376">
        <f>EMP!CR26</f>
        <v>0</v>
      </c>
      <c r="BU27" s="376">
        <f t="shared" si="23"/>
        <v>6.09</v>
      </c>
      <c r="BV27" s="377"/>
      <c r="BW27" s="380">
        <f t="shared" si="24"/>
        <v>6.09</v>
      </c>
      <c r="BX27" s="374">
        <f>'EDUCACION PARA LA CIUDADANIA '!CP26</f>
        <v>8.37</v>
      </c>
      <c r="BY27" s="375">
        <f>'EDUCACION PARA LA CIUDADANIA '!CQ26</f>
        <v>9.3</v>
      </c>
      <c r="BZ27" s="375">
        <f>'EDUCACION PARA LA CIUDADANIA '!CR26</f>
        <v>0</v>
      </c>
      <c r="CA27" s="375">
        <f t="shared" si="25"/>
        <v>5.89</v>
      </c>
      <c r="CB27" s="375" t="str">
        <f>'EDUCACION PARA LA CIUDADANIA '!DB26</f>
        <v/>
      </c>
      <c r="CC27" s="380">
        <f t="shared" si="26"/>
        <v>5.89</v>
      </c>
      <c r="CD27" s="374">
        <f>'PAQUETES CONTABLES '!CP26</f>
        <v>8.45</v>
      </c>
      <c r="CE27" s="375">
        <f>'PAQUETES CONTABLES '!CQ26</f>
        <v>9.5</v>
      </c>
      <c r="CF27" s="375">
        <f>'PAQUETES CONTABLES '!CR26</f>
        <v>0</v>
      </c>
      <c r="CG27" s="375">
        <f t="shared" si="27"/>
        <v>5.983333333</v>
      </c>
      <c r="CH27" s="375" t="str">
        <f>'PAQUETES CONTABLES '!DB26</f>
        <v/>
      </c>
      <c r="CI27" s="380">
        <f t="shared" si="28"/>
        <v>5.983333333</v>
      </c>
      <c r="CJ27" s="374">
        <f>'TRIBUTACION '!CP26</f>
        <v>7.94</v>
      </c>
      <c r="CK27" s="375">
        <f>'TRIBUTACION '!CQ26</f>
        <v>9.35</v>
      </c>
      <c r="CL27" s="375">
        <f>'TRIBUTACION '!CR26</f>
        <v>0</v>
      </c>
      <c r="CM27" s="375">
        <f t="shared" si="29"/>
        <v>5.763333333</v>
      </c>
      <c r="CN27" s="375" t="str">
        <f>'TRIBUTACION '!DB26</f>
        <v/>
      </c>
      <c r="CO27" s="380">
        <f t="shared" si="30"/>
        <v>5.763333333</v>
      </c>
      <c r="CP27" s="61">
        <f t="shared" si="31"/>
        <v>6.122857143</v>
      </c>
      <c r="DF27" s="384" t="str">
        <f t="shared" si="32"/>
        <v/>
      </c>
    </row>
    <row r="28" ht="15.75" customHeight="1">
      <c r="A28" s="56">
        <v>16.0</v>
      </c>
      <c r="B28" s="124" t="str">
        <f>'SABANA CALIFICACIONES'!B27</f>
        <v/>
      </c>
      <c r="C28" s="125" t="str">
        <f>'SABANA CALIFICACIONES'!C27</f>
        <v>Mero Carcamo Adriana Carolina</v>
      </c>
      <c r="D28" s="369">
        <f>LEN!CP27</f>
        <v>7.9</v>
      </c>
      <c r="E28" s="120">
        <f>LEN!CQ27</f>
        <v>7</v>
      </c>
      <c r="F28" s="370">
        <f>LEN!CR27</f>
        <v>0</v>
      </c>
      <c r="G28" s="371">
        <f t="shared" si="1"/>
        <v>4.966666667</v>
      </c>
      <c r="H28" s="120" t="str">
        <f>LEN!DB27</f>
        <v/>
      </c>
      <c r="I28" s="372">
        <f t="shared" si="2"/>
        <v>4.966666667</v>
      </c>
      <c r="J28" s="369">
        <f>MATE!CP27</f>
        <v>7.08</v>
      </c>
      <c r="K28" s="120">
        <f>MATE!CQ27</f>
        <v>7.1</v>
      </c>
      <c r="L28" s="120">
        <f>MATE!CR27</f>
        <v>0</v>
      </c>
      <c r="M28" s="120">
        <f t="shared" si="3"/>
        <v>4.726666667</v>
      </c>
      <c r="N28" s="120" t="str">
        <f>MATE!DB27</f>
        <v/>
      </c>
      <c r="O28" s="370">
        <f t="shared" si="4"/>
        <v>4.726666667</v>
      </c>
      <c r="P28" s="369">
        <f>INGLES!CP27</f>
        <v>8.69</v>
      </c>
      <c r="Q28" s="120">
        <f>INGLES!CQ27</f>
        <v>7.1</v>
      </c>
      <c r="R28" s="120">
        <f>INGLES!CR27</f>
        <v>0</v>
      </c>
      <c r="S28" s="120">
        <f t="shared" si="5"/>
        <v>5.263333333</v>
      </c>
      <c r="T28" s="120" t="str">
        <f>INGLES!DB27</f>
        <v/>
      </c>
      <c r="U28" s="370">
        <f t="shared" si="6"/>
        <v>5.263333333</v>
      </c>
      <c r="V28" s="369">
        <f>QUIMI!CP27</f>
        <v>7.91</v>
      </c>
      <c r="W28" s="120">
        <f>QUIMI!CQ27</f>
        <v>6.42</v>
      </c>
      <c r="X28" s="120">
        <f>QUIMI!CR27</f>
        <v>0</v>
      </c>
      <c r="Y28" s="120">
        <f t="shared" si="7"/>
        <v>4.776666667</v>
      </c>
      <c r="Z28" s="120" t="str">
        <f>QUIMI!DB27</f>
        <v/>
      </c>
      <c r="AA28" s="370">
        <f t="shared" si="8"/>
        <v>4.776666667</v>
      </c>
      <c r="AB28" s="369">
        <f>FISICA!CO27</f>
        <v>7.06</v>
      </c>
      <c r="AC28" s="120">
        <f>FISICA!CP27</f>
        <v>7.06</v>
      </c>
      <c r="AD28" s="120">
        <f>FISICA!CQ27</f>
        <v>7</v>
      </c>
      <c r="AE28" s="120">
        <f t="shared" si="9"/>
        <v>7.04</v>
      </c>
      <c r="AF28" s="120" t="str">
        <f>FISICA!DA27</f>
        <v/>
      </c>
      <c r="AG28" s="370">
        <f t="shared" si="10"/>
        <v>7.04</v>
      </c>
      <c r="AH28" s="369">
        <f>'ED. FISICA'!CP27</f>
        <v>8.93</v>
      </c>
      <c r="AI28" s="120">
        <f>'ED. FISICA'!CQ27</f>
        <v>8.3</v>
      </c>
      <c r="AJ28" s="120">
        <f>'ED. FISICA'!CR27</f>
        <v>0</v>
      </c>
      <c r="AK28" s="120">
        <f t="shared" si="11"/>
        <v>5.743333333</v>
      </c>
      <c r="AL28" s="120" t="str">
        <f>'ED. FISICA'!DB27</f>
        <v/>
      </c>
      <c r="AM28" s="370">
        <f t="shared" si="12"/>
        <v>5.743333333</v>
      </c>
      <c r="AN28" s="369">
        <f>'CONTABILIDAD GENERAL '!CP27</f>
        <v>9.12</v>
      </c>
      <c r="AO28" s="120">
        <f>'CONTABILIDAD GENERAL '!CQ27</f>
        <v>8.1</v>
      </c>
      <c r="AP28" s="120">
        <f>'CONTABILIDAD GENERAL '!CR27</f>
        <v>0</v>
      </c>
      <c r="AQ28" s="120">
        <f t="shared" si="13"/>
        <v>5.74</v>
      </c>
      <c r="AR28" s="373" t="str">
        <f>'CONTABILIDAD GENERAL '!DB27</f>
        <v/>
      </c>
      <c r="AS28" s="372">
        <f t="shared" si="14"/>
        <v>5.74</v>
      </c>
      <c r="AT28" s="374">
        <f>BIO!CP27</f>
        <v>8.17</v>
      </c>
      <c r="AU28" s="375">
        <f>BIO!CQ27</f>
        <v>7.59</v>
      </c>
      <c r="AV28" s="375">
        <f>BIO!CR27</f>
        <v>0</v>
      </c>
      <c r="AW28" s="376">
        <f t="shared" si="15"/>
        <v>5.253333333</v>
      </c>
      <c r="AX28" s="375" t="str">
        <f>BIO!DB27</f>
        <v/>
      </c>
      <c r="AY28" s="377">
        <f t="shared" si="16"/>
        <v>5.253333333</v>
      </c>
      <c r="AZ28" s="60">
        <f>HIST!CP27</f>
        <v>9.4</v>
      </c>
      <c r="BA28" s="60">
        <f>HIST!CQ27</f>
        <v>10</v>
      </c>
      <c r="BB28" s="60">
        <f>HIST!CR27</f>
        <v>0</v>
      </c>
      <c r="BC28" s="378">
        <f t="shared" si="17"/>
        <v>6.466666667</v>
      </c>
      <c r="BD28" s="379" t="str">
        <f>HIST!DB27</f>
        <v/>
      </c>
      <c r="BE28" s="377">
        <f t="shared" si="18"/>
        <v>6.466666667</v>
      </c>
      <c r="BF28" s="374">
        <f>'E. C. A '!CP27</f>
        <v>7.02</v>
      </c>
      <c r="BG28" s="375">
        <f>'E. C. A '!CQ27</f>
        <v>7.71</v>
      </c>
      <c r="BH28" s="375">
        <f>'E. C. A '!CR27</f>
        <v>0</v>
      </c>
      <c r="BI28" s="375">
        <f t="shared" si="19"/>
        <v>4.91</v>
      </c>
      <c r="BJ28" s="375" t="str">
        <f>'E. C. A '!DB27</f>
        <v/>
      </c>
      <c r="BK28" s="380">
        <f t="shared" si="20"/>
        <v>4.91</v>
      </c>
      <c r="BL28" s="381">
        <f>FILOSOFIA!CP27</f>
        <v>7.58</v>
      </c>
      <c r="BM28" s="375">
        <f>FILOSOFIA!CQ27</f>
        <v>7.33</v>
      </c>
      <c r="BN28" s="375">
        <f>FILOSOFIA!CR27</f>
        <v>0</v>
      </c>
      <c r="BO28" s="375">
        <f t="shared" si="21"/>
        <v>4.97</v>
      </c>
      <c r="BP28" s="375" t="str">
        <f>FILOSOFIA!DB27</f>
        <v/>
      </c>
      <c r="BQ28" s="382">
        <f t="shared" si="22"/>
        <v>4.97</v>
      </c>
      <c r="BR28" s="383">
        <f>EMP!CP27</f>
        <v>6.94</v>
      </c>
      <c r="BS28" s="376">
        <f>EMP!CQ27</f>
        <v>7.3</v>
      </c>
      <c r="BT28" s="376">
        <f>EMP!CR27</f>
        <v>0</v>
      </c>
      <c r="BU28" s="376">
        <f t="shared" si="23"/>
        <v>4.746666667</v>
      </c>
      <c r="BV28" s="377"/>
      <c r="BW28" s="380">
        <f t="shared" si="24"/>
        <v>4.746666667</v>
      </c>
      <c r="BX28" s="374">
        <f>'EDUCACION PARA LA CIUDADANIA '!CP27</f>
        <v>7.5</v>
      </c>
      <c r="BY28" s="375">
        <f>'EDUCACION PARA LA CIUDADANIA '!CQ27</f>
        <v>7.51</v>
      </c>
      <c r="BZ28" s="375">
        <f>'EDUCACION PARA LA CIUDADANIA '!CR27</f>
        <v>0</v>
      </c>
      <c r="CA28" s="375">
        <f t="shared" si="25"/>
        <v>5.003333333</v>
      </c>
      <c r="CB28" s="375" t="str">
        <f>'EDUCACION PARA LA CIUDADANIA '!DB27</f>
        <v/>
      </c>
      <c r="CC28" s="380">
        <f t="shared" si="26"/>
        <v>5.003333333</v>
      </c>
      <c r="CD28" s="374">
        <f>'PAQUETES CONTABLES '!CP27</f>
        <v>7.04</v>
      </c>
      <c r="CE28" s="375">
        <f>'PAQUETES CONTABLES '!CQ27</f>
        <v>7.32</v>
      </c>
      <c r="CF28" s="375">
        <f>'PAQUETES CONTABLES '!CR27</f>
        <v>0</v>
      </c>
      <c r="CG28" s="375">
        <f t="shared" si="27"/>
        <v>4.786666667</v>
      </c>
      <c r="CH28" s="375" t="str">
        <f>'PAQUETES CONTABLES '!DB27</f>
        <v/>
      </c>
      <c r="CI28" s="380">
        <f t="shared" si="28"/>
        <v>4.786666667</v>
      </c>
      <c r="CJ28" s="374">
        <f>'TRIBUTACION '!CP27</f>
        <v>8.11</v>
      </c>
      <c r="CK28" s="375">
        <f>'TRIBUTACION '!CQ27</f>
        <v>7.1</v>
      </c>
      <c r="CL28" s="375">
        <f>'TRIBUTACION '!CR27</f>
        <v>0</v>
      </c>
      <c r="CM28" s="375">
        <f t="shared" si="29"/>
        <v>5.07</v>
      </c>
      <c r="CN28" s="375" t="str">
        <f>'TRIBUTACION '!DB27</f>
        <v/>
      </c>
      <c r="CO28" s="380">
        <f t="shared" si="30"/>
        <v>5.07</v>
      </c>
      <c r="CP28" s="61">
        <f t="shared" si="31"/>
        <v>5.323333333</v>
      </c>
      <c r="DF28" s="384" t="str">
        <f t="shared" si="32"/>
        <v/>
      </c>
    </row>
    <row r="29" ht="15.75" customHeight="1">
      <c r="A29" s="56">
        <v>17.0</v>
      </c>
      <c r="B29" s="124" t="str">
        <f>'SABANA CALIFICACIONES'!B28</f>
        <v/>
      </c>
      <c r="C29" s="125" t="str">
        <f>'SABANA CALIFICACIONES'!C28</f>
        <v>Moreira Villamar Darwin Matias</v>
      </c>
      <c r="D29" s="369">
        <f>LEN!CP28</f>
        <v>9.43</v>
      </c>
      <c r="E29" s="120">
        <f>LEN!CQ28</f>
        <v>9.3</v>
      </c>
      <c r="F29" s="370">
        <f>LEN!CR28</f>
        <v>0</v>
      </c>
      <c r="G29" s="371">
        <f t="shared" si="1"/>
        <v>6.243333333</v>
      </c>
      <c r="H29" s="120" t="str">
        <f>LEN!DB28</f>
        <v/>
      </c>
      <c r="I29" s="372">
        <f t="shared" si="2"/>
        <v>6.243333333</v>
      </c>
      <c r="J29" s="369">
        <f>MATE!CP28</f>
        <v>7.64</v>
      </c>
      <c r="K29" s="120">
        <f>MATE!CQ28</f>
        <v>7.83</v>
      </c>
      <c r="L29" s="120">
        <f>MATE!CR28</f>
        <v>0</v>
      </c>
      <c r="M29" s="120">
        <f t="shared" si="3"/>
        <v>5.156666667</v>
      </c>
      <c r="N29" s="120" t="str">
        <f>MATE!DB28</f>
        <v/>
      </c>
      <c r="O29" s="370">
        <f t="shared" si="4"/>
        <v>5.156666667</v>
      </c>
      <c r="P29" s="369">
        <f>INGLES!CP28</f>
        <v>9.42</v>
      </c>
      <c r="Q29" s="120">
        <f>INGLES!CQ28</f>
        <v>9</v>
      </c>
      <c r="R29" s="120">
        <f>INGLES!CR28</f>
        <v>0</v>
      </c>
      <c r="S29" s="120">
        <f t="shared" si="5"/>
        <v>6.14</v>
      </c>
      <c r="T29" s="120" t="str">
        <f>INGLES!DB28</f>
        <v/>
      </c>
      <c r="U29" s="370">
        <f t="shared" si="6"/>
        <v>6.14</v>
      </c>
      <c r="V29" s="369">
        <f>QUIMI!CP28</f>
        <v>9.19</v>
      </c>
      <c r="W29" s="120">
        <f>QUIMI!CQ28</f>
        <v>9.67</v>
      </c>
      <c r="X29" s="120">
        <f>QUIMI!CR28</f>
        <v>0</v>
      </c>
      <c r="Y29" s="120">
        <f t="shared" si="7"/>
        <v>6.286666667</v>
      </c>
      <c r="Z29" s="120" t="str">
        <f>QUIMI!DB28</f>
        <v/>
      </c>
      <c r="AA29" s="370">
        <f t="shared" si="8"/>
        <v>6.286666667</v>
      </c>
      <c r="AB29" s="369">
        <f>FISICA!CO28</f>
        <v>9.72</v>
      </c>
      <c r="AC29" s="120">
        <f>FISICA!CP28</f>
        <v>9.2</v>
      </c>
      <c r="AD29" s="120">
        <f>FISICA!CQ28</f>
        <v>7</v>
      </c>
      <c r="AE29" s="120">
        <f t="shared" si="9"/>
        <v>8.64</v>
      </c>
      <c r="AF29" s="120" t="str">
        <f>FISICA!DA28</f>
        <v/>
      </c>
      <c r="AG29" s="370">
        <f t="shared" si="10"/>
        <v>8.64</v>
      </c>
      <c r="AH29" s="369">
        <f>'ED. FISICA'!CP28</f>
        <v>9.49</v>
      </c>
      <c r="AI29" s="120">
        <f>'ED. FISICA'!CQ28</f>
        <v>9.5</v>
      </c>
      <c r="AJ29" s="120">
        <f>'ED. FISICA'!CR28</f>
        <v>0</v>
      </c>
      <c r="AK29" s="120">
        <f t="shared" si="11"/>
        <v>6.33</v>
      </c>
      <c r="AL29" s="120" t="str">
        <f>'ED. FISICA'!DB28</f>
        <v/>
      </c>
      <c r="AM29" s="370">
        <f t="shared" si="12"/>
        <v>6.33</v>
      </c>
      <c r="AN29" s="369">
        <f>'CONTABILIDAD GENERAL '!CP28</f>
        <v>7.82</v>
      </c>
      <c r="AO29" s="120">
        <f>'CONTABILIDAD GENERAL '!CQ28</f>
        <v>9</v>
      </c>
      <c r="AP29" s="120">
        <f>'CONTABILIDAD GENERAL '!CR28</f>
        <v>0</v>
      </c>
      <c r="AQ29" s="120">
        <f t="shared" si="13"/>
        <v>5.606666667</v>
      </c>
      <c r="AR29" s="373" t="str">
        <f>'CONTABILIDAD GENERAL '!DB28</f>
        <v/>
      </c>
      <c r="AS29" s="372">
        <f t="shared" si="14"/>
        <v>5.606666667</v>
      </c>
      <c r="AT29" s="374">
        <f>BIO!CP28</f>
        <v>9.8</v>
      </c>
      <c r="AU29" s="375">
        <f>BIO!CQ28</f>
        <v>9.12</v>
      </c>
      <c r="AV29" s="375">
        <f>BIO!CR28</f>
        <v>0</v>
      </c>
      <c r="AW29" s="376">
        <f t="shared" si="15"/>
        <v>6.306666667</v>
      </c>
      <c r="AX29" s="375" t="str">
        <f>BIO!DB28</f>
        <v/>
      </c>
      <c r="AY29" s="377">
        <f t="shared" si="16"/>
        <v>6.306666667</v>
      </c>
      <c r="AZ29" s="60">
        <f>HIST!CP28</f>
        <v>9.95</v>
      </c>
      <c r="BA29" s="60">
        <f>HIST!CQ28</f>
        <v>10</v>
      </c>
      <c r="BB29" s="60">
        <f>HIST!CR28</f>
        <v>0</v>
      </c>
      <c r="BC29" s="378">
        <f t="shared" si="17"/>
        <v>6.65</v>
      </c>
      <c r="BD29" s="379" t="str">
        <f>HIST!DB28</f>
        <v/>
      </c>
      <c r="BE29" s="377">
        <f t="shared" si="18"/>
        <v>6.65</v>
      </c>
      <c r="BF29" s="374">
        <f>'E. C. A '!CP28</f>
        <v>9.63</v>
      </c>
      <c r="BG29" s="375">
        <f>'E. C. A '!CQ28</f>
        <v>10</v>
      </c>
      <c r="BH29" s="375">
        <f>'E. C. A '!CR28</f>
        <v>0</v>
      </c>
      <c r="BI29" s="375">
        <f t="shared" si="19"/>
        <v>6.543333333</v>
      </c>
      <c r="BJ29" s="375" t="str">
        <f>'E. C. A '!DB28</f>
        <v/>
      </c>
      <c r="BK29" s="380">
        <f t="shared" si="20"/>
        <v>6.543333333</v>
      </c>
      <c r="BL29" s="381">
        <f>FILOSOFIA!CP28</f>
        <v>9.25</v>
      </c>
      <c r="BM29" s="375">
        <f>FILOSOFIA!CQ28</f>
        <v>9.85</v>
      </c>
      <c r="BN29" s="375">
        <f>FILOSOFIA!CR28</f>
        <v>0</v>
      </c>
      <c r="BO29" s="375">
        <f t="shared" si="21"/>
        <v>6.366666667</v>
      </c>
      <c r="BP29" s="375" t="str">
        <f>FILOSOFIA!DB28</f>
        <v/>
      </c>
      <c r="BQ29" s="382">
        <f t="shared" si="22"/>
        <v>6.366666667</v>
      </c>
      <c r="BR29" s="383">
        <f>EMP!CP28</f>
        <v>9.65</v>
      </c>
      <c r="BS29" s="376">
        <f>EMP!CQ28</f>
        <v>10</v>
      </c>
      <c r="BT29" s="376">
        <f>EMP!CR28</f>
        <v>0</v>
      </c>
      <c r="BU29" s="376">
        <f t="shared" si="23"/>
        <v>6.55</v>
      </c>
      <c r="BV29" s="377"/>
      <c r="BW29" s="380">
        <f t="shared" si="24"/>
        <v>6.55</v>
      </c>
      <c r="BX29" s="374">
        <f>'EDUCACION PARA LA CIUDADANIA '!CP28</f>
        <v>9.02</v>
      </c>
      <c r="BY29" s="375">
        <f>'EDUCACION PARA LA CIUDADANIA '!CQ28</f>
        <v>10</v>
      </c>
      <c r="BZ29" s="375">
        <f>'EDUCACION PARA LA CIUDADANIA '!CR28</f>
        <v>0</v>
      </c>
      <c r="CA29" s="375">
        <f t="shared" si="25"/>
        <v>6.34</v>
      </c>
      <c r="CB29" s="375" t="str">
        <f>'EDUCACION PARA LA CIUDADANIA '!DB28</f>
        <v/>
      </c>
      <c r="CC29" s="380">
        <f t="shared" si="26"/>
        <v>6.34</v>
      </c>
      <c r="CD29" s="374">
        <f>'PAQUETES CONTABLES '!CP28</f>
        <v>9.65</v>
      </c>
      <c r="CE29" s="375">
        <f>'PAQUETES CONTABLES '!CQ28</f>
        <v>10</v>
      </c>
      <c r="CF29" s="375">
        <f>'PAQUETES CONTABLES '!CR28</f>
        <v>0</v>
      </c>
      <c r="CG29" s="375">
        <f t="shared" si="27"/>
        <v>6.55</v>
      </c>
      <c r="CH29" s="375" t="str">
        <f>'PAQUETES CONTABLES '!DB28</f>
        <v/>
      </c>
      <c r="CI29" s="380">
        <f t="shared" si="28"/>
        <v>6.55</v>
      </c>
      <c r="CJ29" s="374">
        <f>'TRIBUTACION '!CP28</f>
        <v>8.66</v>
      </c>
      <c r="CK29" s="375">
        <f>'TRIBUTACION '!CQ28</f>
        <v>9.23</v>
      </c>
      <c r="CL29" s="375">
        <f>'TRIBUTACION '!CR28</f>
        <v>0</v>
      </c>
      <c r="CM29" s="375">
        <f t="shared" si="29"/>
        <v>5.963333333</v>
      </c>
      <c r="CN29" s="375" t="str">
        <f>'TRIBUTACION '!DB28</f>
        <v/>
      </c>
      <c r="CO29" s="380">
        <f t="shared" si="30"/>
        <v>5.963333333</v>
      </c>
      <c r="CP29" s="61">
        <f t="shared" si="31"/>
        <v>6.478095238</v>
      </c>
      <c r="DF29" s="384" t="str">
        <f t="shared" si="32"/>
        <v/>
      </c>
    </row>
    <row r="30" ht="15.75" customHeight="1">
      <c r="A30" s="56">
        <v>18.0</v>
      </c>
      <c r="B30" s="124" t="str">
        <f>'SABANA CALIFICACIONES'!B29</f>
        <v/>
      </c>
      <c r="C30" s="125" t="str">
        <f>'SABANA CALIFICACIONES'!C29</f>
        <v>Peña Macias Enrique Alexander</v>
      </c>
      <c r="D30" s="369">
        <f>LEN!CP29</f>
        <v>9.7</v>
      </c>
      <c r="E30" s="120">
        <f>LEN!CQ29</f>
        <v>9</v>
      </c>
      <c r="F30" s="370">
        <f>LEN!CR29</f>
        <v>0</v>
      </c>
      <c r="G30" s="371">
        <f t="shared" si="1"/>
        <v>6.233333333</v>
      </c>
      <c r="H30" s="120" t="str">
        <f>LEN!DB29</f>
        <v/>
      </c>
      <c r="I30" s="372">
        <f t="shared" si="2"/>
        <v>6.233333333</v>
      </c>
      <c r="J30" s="369">
        <f>MATE!CP29</f>
        <v>7.71</v>
      </c>
      <c r="K30" s="120">
        <f>MATE!CQ29</f>
        <v>9.38</v>
      </c>
      <c r="L30" s="120">
        <f>MATE!CR29</f>
        <v>0</v>
      </c>
      <c r="M30" s="120">
        <f t="shared" si="3"/>
        <v>5.696666667</v>
      </c>
      <c r="N30" s="120" t="str">
        <f>MATE!DB29</f>
        <v/>
      </c>
      <c r="O30" s="370">
        <f t="shared" si="4"/>
        <v>5.696666667</v>
      </c>
      <c r="P30" s="369">
        <f>INGLES!CP29</f>
        <v>8.74</v>
      </c>
      <c r="Q30" s="120">
        <f>INGLES!CQ29</f>
        <v>8.76</v>
      </c>
      <c r="R30" s="120">
        <f>INGLES!CR29</f>
        <v>0</v>
      </c>
      <c r="S30" s="120">
        <f t="shared" si="5"/>
        <v>5.833333333</v>
      </c>
      <c r="T30" s="120" t="str">
        <f>INGLES!DB29</f>
        <v/>
      </c>
      <c r="U30" s="370">
        <f t="shared" si="6"/>
        <v>5.833333333</v>
      </c>
      <c r="V30" s="369">
        <f>QUIMI!CP29</f>
        <v>8.61</v>
      </c>
      <c r="W30" s="120">
        <f>QUIMI!CQ29</f>
        <v>8.45</v>
      </c>
      <c r="X30" s="120">
        <f>QUIMI!CR29</f>
        <v>0</v>
      </c>
      <c r="Y30" s="120">
        <f t="shared" si="7"/>
        <v>5.686666667</v>
      </c>
      <c r="Z30" s="120" t="str">
        <f>QUIMI!DB29</f>
        <v/>
      </c>
      <c r="AA30" s="370">
        <f t="shared" si="8"/>
        <v>5.686666667</v>
      </c>
      <c r="AB30" s="369">
        <f>FISICA!CO29</f>
        <v>9.41</v>
      </c>
      <c r="AC30" s="120">
        <f>FISICA!CP29</f>
        <v>9.31</v>
      </c>
      <c r="AD30" s="120">
        <f>FISICA!CQ29</f>
        <v>7</v>
      </c>
      <c r="AE30" s="120">
        <f t="shared" si="9"/>
        <v>8.573333333</v>
      </c>
      <c r="AF30" s="120" t="str">
        <f>FISICA!DA29</f>
        <v/>
      </c>
      <c r="AG30" s="370">
        <f t="shared" si="10"/>
        <v>8.573333333</v>
      </c>
      <c r="AH30" s="369">
        <f>'ED. FISICA'!CP29</f>
        <v>8.94</v>
      </c>
      <c r="AI30" s="120">
        <f>'ED. FISICA'!CQ29</f>
        <v>9.5</v>
      </c>
      <c r="AJ30" s="120">
        <f>'ED. FISICA'!CR29</f>
        <v>0</v>
      </c>
      <c r="AK30" s="120">
        <f t="shared" si="11"/>
        <v>6.146666667</v>
      </c>
      <c r="AL30" s="120" t="str">
        <f>'ED. FISICA'!DB29</f>
        <v/>
      </c>
      <c r="AM30" s="370">
        <f t="shared" si="12"/>
        <v>6.146666667</v>
      </c>
      <c r="AN30" s="369">
        <f>'CONTABILIDAD GENERAL '!CP29</f>
        <v>9.43</v>
      </c>
      <c r="AO30" s="120">
        <f>'CONTABILIDAD GENERAL '!CQ29</f>
        <v>8.25</v>
      </c>
      <c r="AP30" s="120">
        <f>'CONTABILIDAD GENERAL '!CR29</f>
        <v>0</v>
      </c>
      <c r="AQ30" s="120">
        <f t="shared" si="13"/>
        <v>5.893333333</v>
      </c>
      <c r="AR30" s="373" t="str">
        <f>'CONTABILIDAD GENERAL '!DB29</f>
        <v/>
      </c>
      <c r="AS30" s="372">
        <f t="shared" si="14"/>
        <v>5.893333333</v>
      </c>
      <c r="AT30" s="374">
        <f>BIO!CP29</f>
        <v>8.3</v>
      </c>
      <c r="AU30" s="375">
        <f>BIO!CQ29</f>
        <v>8.33</v>
      </c>
      <c r="AV30" s="375">
        <f>BIO!CR29</f>
        <v>0</v>
      </c>
      <c r="AW30" s="376">
        <f t="shared" si="15"/>
        <v>5.543333333</v>
      </c>
      <c r="AX30" s="375" t="str">
        <f>BIO!DB29</f>
        <v/>
      </c>
      <c r="AY30" s="377">
        <f t="shared" si="16"/>
        <v>5.543333333</v>
      </c>
      <c r="AZ30" s="60">
        <f>HIST!CP29</f>
        <v>9.88</v>
      </c>
      <c r="BA30" s="60">
        <f>HIST!CQ29</f>
        <v>10</v>
      </c>
      <c r="BB30" s="60">
        <f>HIST!CR29</f>
        <v>0</v>
      </c>
      <c r="BC30" s="378">
        <f t="shared" si="17"/>
        <v>6.626666667</v>
      </c>
      <c r="BD30" s="379" t="str">
        <f>HIST!DB29</f>
        <v/>
      </c>
      <c r="BE30" s="377">
        <f t="shared" si="18"/>
        <v>6.626666667</v>
      </c>
      <c r="BF30" s="374">
        <f>'E. C. A '!CP29</f>
        <v>9.88</v>
      </c>
      <c r="BG30" s="375">
        <f>'E. C. A '!CQ29</f>
        <v>9.53</v>
      </c>
      <c r="BH30" s="375">
        <f>'E. C. A '!CR29</f>
        <v>0</v>
      </c>
      <c r="BI30" s="375">
        <f t="shared" si="19"/>
        <v>6.47</v>
      </c>
      <c r="BJ30" s="375" t="str">
        <f>'E. C. A '!DB29</f>
        <v/>
      </c>
      <c r="BK30" s="380">
        <f t="shared" si="20"/>
        <v>6.47</v>
      </c>
      <c r="BL30" s="381">
        <f>FILOSOFIA!CP29</f>
        <v>9.29</v>
      </c>
      <c r="BM30" s="375">
        <f>FILOSOFIA!CQ29</f>
        <v>10</v>
      </c>
      <c r="BN30" s="375">
        <f>FILOSOFIA!CR29</f>
        <v>0</v>
      </c>
      <c r="BO30" s="375">
        <f t="shared" si="21"/>
        <v>6.43</v>
      </c>
      <c r="BP30" s="375" t="str">
        <f>FILOSOFIA!DB29</f>
        <v/>
      </c>
      <c r="BQ30" s="382">
        <f t="shared" si="22"/>
        <v>6.43</v>
      </c>
      <c r="BR30" s="383">
        <f>EMP!CP29</f>
        <v>8.88</v>
      </c>
      <c r="BS30" s="376">
        <f>EMP!CQ29</f>
        <v>9</v>
      </c>
      <c r="BT30" s="376">
        <f>EMP!CR29</f>
        <v>0</v>
      </c>
      <c r="BU30" s="376">
        <f t="shared" si="23"/>
        <v>5.96</v>
      </c>
      <c r="BV30" s="377"/>
      <c r="BW30" s="380">
        <f t="shared" si="24"/>
        <v>5.96</v>
      </c>
      <c r="BX30" s="374">
        <f>'EDUCACION PARA LA CIUDADANIA '!CP29</f>
        <v>9.88</v>
      </c>
      <c r="BY30" s="375">
        <f>'EDUCACION PARA LA CIUDADANIA '!CQ29</f>
        <v>9.53</v>
      </c>
      <c r="BZ30" s="375">
        <f>'EDUCACION PARA LA CIUDADANIA '!CR29</f>
        <v>0</v>
      </c>
      <c r="CA30" s="375">
        <f t="shared" si="25"/>
        <v>6.47</v>
      </c>
      <c r="CB30" s="375" t="str">
        <f>'EDUCACION PARA LA CIUDADANIA '!DB29</f>
        <v/>
      </c>
      <c r="CC30" s="380">
        <f t="shared" si="26"/>
        <v>6.47</v>
      </c>
      <c r="CD30" s="374">
        <f>'PAQUETES CONTABLES '!CP29</f>
        <v>8.62</v>
      </c>
      <c r="CE30" s="375">
        <f>'PAQUETES CONTABLES '!CQ29</f>
        <v>9.35</v>
      </c>
      <c r="CF30" s="375">
        <f>'PAQUETES CONTABLES '!CR29</f>
        <v>0</v>
      </c>
      <c r="CG30" s="375">
        <f t="shared" si="27"/>
        <v>5.99</v>
      </c>
      <c r="CH30" s="375" t="str">
        <f>'PAQUETES CONTABLES '!DB29</f>
        <v/>
      </c>
      <c r="CI30" s="380">
        <f t="shared" si="28"/>
        <v>5.99</v>
      </c>
      <c r="CJ30" s="374">
        <f>'TRIBUTACION '!CP29</f>
        <v>9.3</v>
      </c>
      <c r="CK30" s="375">
        <f>'TRIBUTACION '!CQ29</f>
        <v>9.85</v>
      </c>
      <c r="CL30" s="375">
        <f>'TRIBUTACION '!CR29</f>
        <v>0</v>
      </c>
      <c r="CM30" s="375">
        <f t="shared" si="29"/>
        <v>6.383333333</v>
      </c>
      <c r="CN30" s="375" t="str">
        <f>'TRIBUTACION '!DB29</f>
        <v/>
      </c>
      <c r="CO30" s="380">
        <f t="shared" si="30"/>
        <v>6.383333333</v>
      </c>
      <c r="CP30" s="61">
        <f t="shared" si="31"/>
        <v>6.304285714</v>
      </c>
      <c r="DF30" s="384" t="str">
        <f t="shared" si="32"/>
        <v/>
      </c>
    </row>
    <row r="31" ht="15.75" customHeight="1">
      <c r="A31" s="56">
        <v>19.0</v>
      </c>
      <c r="B31" s="124" t="str">
        <f>'SABANA CALIFICACIONES'!B30</f>
        <v/>
      </c>
      <c r="C31" s="125" t="str">
        <f>'SABANA CALIFICACIONES'!C30</f>
        <v>Roman Arreaga Stefani Asley</v>
      </c>
      <c r="D31" s="369">
        <f>LEN!CP30</f>
        <v>9.39</v>
      </c>
      <c r="E31" s="120">
        <f>LEN!CQ30</f>
        <v>9.38</v>
      </c>
      <c r="F31" s="370">
        <f>LEN!CR30</f>
        <v>0</v>
      </c>
      <c r="G31" s="371">
        <f t="shared" si="1"/>
        <v>6.256666667</v>
      </c>
      <c r="H31" s="120" t="str">
        <f>LEN!DB30</f>
        <v/>
      </c>
      <c r="I31" s="372">
        <f t="shared" si="2"/>
        <v>6.256666667</v>
      </c>
      <c r="J31" s="369">
        <f>MATE!CP30</f>
        <v>7.37</v>
      </c>
      <c r="K31" s="120">
        <f>MATE!CQ30</f>
        <v>8.06</v>
      </c>
      <c r="L31" s="120">
        <f>MATE!CR30</f>
        <v>0</v>
      </c>
      <c r="M31" s="120">
        <f t="shared" si="3"/>
        <v>5.143333333</v>
      </c>
      <c r="N31" s="120" t="str">
        <f>MATE!DB30</f>
        <v/>
      </c>
      <c r="O31" s="370">
        <f t="shared" si="4"/>
        <v>5.143333333</v>
      </c>
      <c r="P31" s="369">
        <f>INGLES!CP30</f>
        <v>9.12</v>
      </c>
      <c r="Q31" s="120">
        <f>INGLES!CQ30</f>
        <v>9.61</v>
      </c>
      <c r="R31" s="120">
        <f>INGLES!CR30</f>
        <v>0</v>
      </c>
      <c r="S31" s="120">
        <f t="shared" si="5"/>
        <v>6.243333333</v>
      </c>
      <c r="T31" s="120" t="str">
        <f>INGLES!DB30</f>
        <v/>
      </c>
      <c r="U31" s="370">
        <f t="shared" si="6"/>
        <v>6.243333333</v>
      </c>
      <c r="V31" s="369">
        <f>QUIMI!CP30</f>
        <v>8.68</v>
      </c>
      <c r="W31" s="120">
        <f>QUIMI!CQ30</f>
        <v>7.8</v>
      </c>
      <c r="X31" s="120">
        <f>QUIMI!CR30</f>
        <v>0</v>
      </c>
      <c r="Y31" s="120">
        <f t="shared" si="7"/>
        <v>5.493333333</v>
      </c>
      <c r="Z31" s="120" t="str">
        <f>QUIMI!DB30</f>
        <v/>
      </c>
      <c r="AA31" s="370">
        <f t="shared" si="8"/>
        <v>5.493333333</v>
      </c>
      <c r="AB31" s="369">
        <f>FISICA!CO30</f>
        <v>9.45</v>
      </c>
      <c r="AC31" s="120">
        <f>FISICA!CP30</f>
        <v>9</v>
      </c>
      <c r="AD31" s="120">
        <f>FISICA!CQ30</f>
        <v>4.9</v>
      </c>
      <c r="AE31" s="120">
        <f t="shared" si="9"/>
        <v>7.783333333</v>
      </c>
      <c r="AF31" s="120" t="str">
        <f>FISICA!DA30</f>
        <v/>
      </c>
      <c r="AG31" s="370">
        <f t="shared" si="10"/>
        <v>7.783333333</v>
      </c>
      <c r="AH31" s="369">
        <f>'ED. FISICA'!CP30</f>
        <v>8.98</v>
      </c>
      <c r="AI31" s="120">
        <f>'ED. FISICA'!CQ30</f>
        <v>9.5</v>
      </c>
      <c r="AJ31" s="120">
        <f>'ED. FISICA'!CR30</f>
        <v>0</v>
      </c>
      <c r="AK31" s="120">
        <f t="shared" si="11"/>
        <v>6.16</v>
      </c>
      <c r="AL31" s="120" t="str">
        <f>'ED. FISICA'!DB30</f>
        <v/>
      </c>
      <c r="AM31" s="370">
        <f t="shared" si="12"/>
        <v>6.16</v>
      </c>
      <c r="AN31" s="369">
        <f>'CONTABILIDAD GENERAL '!CP30</f>
        <v>9.73</v>
      </c>
      <c r="AO31" s="120">
        <f>'CONTABILIDAD GENERAL '!CQ30</f>
        <v>9.17</v>
      </c>
      <c r="AP31" s="120">
        <f>'CONTABILIDAD GENERAL '!CR30</f>
        <v>0</v>
      </c>
      <c r="AQ31" s="120">
        <f t="shared" si="13"/>
        <v>6.3</v>
      </c>
      <c r="AR31" s="373" t="str">
        <f>'CONTABILIDAD GENERAL '!DB30</f>
        <v/>
      </c>
      <c r="AS31" s="372">
        <f t="shared" si="14"/>
        <v>6.3</v>
      </c>
      <c r="AT31" s="374">
        <f>BIO!CP30</f>
        <v>8.74</v>
      </c>
      <c r="AU31" s="375">
        <f>BIO!CQ30</f>
        <v>8.88</v>
      </c>
      <c r="AV31" s="375">
        <f>BIO!CR30</f>
        <v>0</v>
      </c>
      <c r="AW31" s="376">
        <f t="shared" si="15"/>
        <v>5.873333333</v>
      </c>
      <c r="AX31" s="375" t="str">
        <f>BIO!DB30</f>
        <v/>
      </c>
      <c r="AY31" s="377">
        <f t="shared" si="16"/>
        <v>5.873333333</v>
      </c>
      <c r="AZ31" s="60">
        <f>HIST!CP30</f>
        <v>9.92</v>
      </c>
      <c r="BA31" s="60">
        <f>HIST!CQ30</f>
        <v>10</v>
      </c>
      <c r="BB31" s="60">
        <f>HIST!CR30</f>
        <v>0</v>
      </c>
      <c r="BC31" s="378">
        <f t="shared" si="17"/>
        <v>6.64</v>
      </c>
      <c r="BD31" s="379" t="str">
        <f>HIST!DB30</f>
        <v/>
      </c>
      <c r="BE31" s="377">
        <f t="shared" si="18"/>
        <v>6.64</v>
      </c>
      <c r="BF31" s="374">
        <f>'E. C. A '!CP30</f>
        <v>9.27</v>
      </c>
      <c r="BG31" s="375">
        <f>'E. C. A '!CQ30</f>
        <v>9.53</v>
      </c>
      <c r="BH31" s="375">
        <f>'E. C. A '!CR30</f>
        <v>0</v>
      </c>
      <c r="BI31" s="375">
        <f t="shared" si="19"/>
        <v>6.266666667</v>
      </c>
      <c r="BJ31" s="375" t="str">
        <f>'E. C. A '!DB30</f>
        <v/>
      </c>
      <c r="BK31" s="380">
        <f t="shared" si="20"/>
        <v>6.266666667</v>
      </c>
      <c r="BL31" s="381">
        <f>FILOSOFIA!CP30</f>
        <v>8.75</v>
      </c>
      <c r="BM31" s="375">
        <f>FILOSOFIA!CQ30</f>
        <v>10</v>
      </c>
      <c r="BN31" s="375">
        <f>FILOSOFIA!CR30</f>
        <v>0</v>
      </c>
      <c r="BO31" s="375">
        <f t="shared" si="21"/>
        <v>6.25</v>
      </c>
      <c r="BP31" s="375" t="str">
        <f>FILOSOFIA!DB30</f>
        <v/>
      </c>
      <c r="BQ31" s="382">
        <f t="shared" si="22"/>
        <v>6.25</v>
      </c>
      <c r="BR31" s="383">
        <f>EMP!CP30</f>
        <v>8.71</v>
      </c>
      <c r="BS31" s="376">
        <f>EMP!CQ30</f>
        <v>9.17</v>
      </c>
      <c r="BT31" s="376">
        <f>EMP!CR30</f>
        <v>0</v>
      </c>
      <c r="BU31" s="376">
        <f t="shared" si="23"/>
        <v>5.96</v>
      </c>
      <c r="BV31" s="377"/>
      <c r="BW31" s="380">
        <f t="shared" si="24"/>
        <v>5.96</v>
      </c>
      <c r="BX31" s="374">
        <f>'EDUCACION PARA LA CIUDADANIA '!CP30</f>
        <v>8.87</v>
      </c>
      <c r="BY31" s="375">
        <f>'EDUCACION PARA LA CIUDADANIA '!CQ30</f>
        <v>9.3</v>
      </c>
      <c r="BZ31" s="375">
        <f>'EDUCACION PARA LA CIUDADANIA '!CR30</f>
        <v>0</v>
      </c>
      <c r="CA31" s="375">
        <f t="shared" si="25"/>
        <v>6.056666667</v>
      </c>
      <c r="CB31" s="375" t="str">
        <f>'EDUCACION PARA LA CIUDADANIA '!DB30</f>
        <v/>
      </c>
      <c r="CC31" s="380">
        <f t="shared" si="26"/>
        <v>6.056666667</v>
      </c>
      <c r="CD31" s="374">
        <f>'PAQUETES CONTABLES '!CP30</f>
        <v>8.07</v>
      </c>
      <c r="CE31" s="375">
        <f>'PAQUETES CONTABLES '!CQ30</f>
        <v>9.05</v>
      </c>
      <c r="CF31" s="375">
        <f>'PAQUETES CONTABLES '!CR30</f>
        <v>0</v>
      </c>
      <c r="CG31" s="375">
        <f t="shared" si="27"/>
        <v>5.706666667</v>
      </c>
      <c r="CH31" s="375" t="str">
        <f>'PAQUETES CONTABLES '!DB30</f>
        <v/>
      </c>
      <c r="CI31" s="380">
        <f t="shared" si="28"/>
        <v>5.706666667</v>
      </c>
      <c r="CJ31" s="374">
        <f>'TRIBUTACION '!CP30</f>
        <v>8.92</v>
      </c>
      <c r="CK31" s="375">
        <f>'TRIBUTACION '!CQ30</f>
        <v>7.6</v>
      </c>
      <c r="CL31" s="375">
        <f>'TRIBUTACION '!CR30</f>
        <v>0</v>
      </c>
      <c r="CM31" s="375">
        <f t="shared" si="29"/>
        <v>5.506666667</v>
      </c>
      <c r="CN31" s="375" t="str">
        <f>'TRIBUTACION '!DB30</f>
        <v/>
      </c>
      <c r="CO31" s="380">
        <f t="shared" si="30"/>
        <v>5.506666667</v>
      </c>
      <c r="CP31" s="61">
        <f t="shared" si="31"/>
        <v>6.148571429</v>
      </c>
      <c r="DF31" s="384" t="str">
        <f t="shared" si="32"/>
        <v/>
      </c>
    </row>
    <row r="32" ht="15.75" customHeight="1">
      <c r="A32" s="56">
        <v>20.0</v>
      </c>
      <c r="B32" s="124" t="str">
        <f>'SABANA CALIFICACIONES'!B31</f>
        <v/>
      </c>
      <c r="C32" s="125" t="str">
        <f>'SABANA CALIFICACIONES'!C31</f>
        <v>Sánchez Ponce Sandra Stefania</v>
      </c>
      <c r="D32" s="369">
        <f>LEN!CP31</f>
        <v>9.55</v>
      </c>
      <c r="E32" s="120">
        <f>LEN!CQ31</f>
        <v>10</v>
      </c>
      <c r="F32" s="370">
        <f>LEN!CR31</f>
        <v>0</v>
      </c>
      <c r="G32" s="371">
        <f t="shared" si="1"/>
        <v>6.516666667</v>
      </c>
      <c r="H32" s="120" t="str">
        <f>LEN!DB31</f>
        <v/>
      </c>
      <c r="I32" s="372">
        <f t="shared" si="2"/>
        <v>6.516666667</v>
      </c>
      <c r="J32" s="369">
        <f>MATE!CP31</f>
        <v>10</v>
      </c>
      <c r="K32" s="120">
        <f>MATE!CQ31</f>
        <v>10</v>
      </c>
      <c r="L32" s="120">
        <f>MATE!CR31</f>
        <v>0</v>
      </c>
      <c r="M32" s="120">
        <f t="shared" si="3"/>
        <v>6.666666667</v>
      </c>
      <c r="N32" s="120" t="str">
        <f>MATE!DB31</f>
        <v/>
      </c>
      <c r="O32" s="370">
        <f t="shared" si="4"/>
        <v>6.666666667</v>
      </c>
      <c r="P32" s="369">
        <f>INGLES!CP31</f>
        <v>9.43</v>
      </c>
      <c r="Q32" s="120">
        <f>INGLES!CQ31</f>
        <v>9.76</v>
      </c>
      <c r="R32" s="120">
        <f>INGLES!CR31</f>
        <v>0</v>
      </c>
      <c r="S32" s="120">
        <f t="shared" si="5"/>
        <v>6.396666667</v>
      </c>
      <c r="T32" s="120" t="str">
        <f>INGLES!DB31</f>
        <v/>
      </c>
      <c r="U32" s="370">
        <f t="shared" si="6"/>
        <v>6.396666667</v>
      </c>
      <c r="V32" s="369">
        <f>QUIMI!CP31</f>
        <v>10</v>
      </c>
      <c r="W32" s="120">
        <f>QUIMI!CQ31</f>
        <v>10</v>
      </c>
      <c r="X32" s="120">
        <f>QUIMI!CR31</f>
        <v>0</v>
      </c>
      <c r="Y32" s="120">
        <f t="shared" si="7"/>
        <v>6.666666667</v>
      </c>
      <c r="Z32" s="120" t="str">
        <f>QUIMI!DB31</f>
        <v/>
      </c>
      <c r="AA32" s="370">
        <f t="shared" si="8"/>
        <v>6.666666667</v>
      </c>
      <c r="AB32" s="369">
        <f>FISICA!CO31</f>
        <v>9.53</v>
      </c>
      <c r="AC32" s="120">
        <f>FISICA!CP31</f>
        <v>9.85</v>
      </c>
      <c r="AD32" s="120">
        <f>FISICA!CQ31</f>
        <v>7</v>
      </c>
      <c r="AE32" s="120">
        <f t="shared" si="9"/>
        <v>8.793333333</v>
      </c>
      <c r="AF32" s="120" t="str">
        <f>FISICA!DA31</f>
        <v/>
      </c>
      <c r="AG32" s="370">
        <f t="shared" si="10"/>
        <v>8.793333333</v>
      </c>
      <c r="AH32" s="369">
        <f>'ED. FISICA'!CP31</f>
        <v>10</v>
      </c>
      <c r="AI32" s="120">
        <f>'ED. FISICA'!CQ31</f>
        <v>9.5</v>
      </c>
      <c r="AJ32" s="120">
        <f>'ED. FISICA'!CR31</f>
        <v>0</v>
      </c>
      <c r="AK32" s="120">
        <f t="shared" si="11"/>
        <v>6.5</v>
      </c>
      <c r="AL32" s="120" t="str">
        <f>'ED. FISICA'!DB31</f>
        <v/>
      </c>
      <c r="AM32" s="370">
        <f t="shared" si="12"/>
        <v>6.5</v>
      </c>
      <c r="AN32" s="369">
        <f>'CONTABILIDAD GENERAL '!CP31</f>
        <v>10</v>
      </c>
      <c r="AO32" s="120">
        <f>'CONTABILIDAD GENERAL '!CQ31</f>
        <v>10</v>
      </c>
      <c r="AP32" s="120">
        <f>'CONTABILIDAD GENERAL '!CR31</f>
        <v>0</v>
      </c>
      <c r="AQ32" s="120">
        <f t="shared" si="13"/>
        <v>6.666666667</v>
      </c>
      <c r="AR32" s="373" t="str">
        <f>'CONTABILIDAD GENERAL '!DB31</f>
        <v/>
      </c>
      <c r="AS32" s="372">
        <f t="shared" si="14"/>
        <v>6.666666667</v>
      </c>
      <c r="AT32" s="374">
        <f>BIO!CP31</f>
        <v>10</v>
      </c>
      <c r="AU32" s="375">
        <f>BIO!CQ31</f>
        <v>10</v>
      </c>
      <c r="AV32" s="375">
        <f>BIO!CR31</f>
        <v>0</v>
      </c>
      <c r="AW32" s="376">
        <f t="shared" si="15"/>
        <v>6.666666667</v>
      </c>
      <c r="AX32" s="375" t="str">
        <f>BIO!DB31</f>
        <v/>
      </c>
      <c r="AY32" s="377">
        <f t="shared" si="16"/>
        <v>6.666666667</v>
      </c>
      <c r="AZ32" s="60">
        <f>HIST!CP31</f>
        <v>10</v>
      </c>
      <c r="BA32" s="60">
        <f>HIST!CQ31</f>
        <v>10</v>
      </c>
      <c r="BB32" s="60">
        <f>HIST!CR31</f>
        <v>0</v>
      </c>
      <c r="BC32" s="378">
        <f t="shared" si="17"/>
        <v>6.666666667</v>
      </c>
      <c r="BD32" s="379" t="str">
        <f>HIST!DB31</f>
        <v/>
      </c>
      <c r="BE32" s="377">
        <f t="shared" si="18"/>
        <v>6.666666667</v>
      </c>
      <c r="BF32" s="374">
        <f>'E. C. A '!CP31</f>
        <v>10</v>
      </c>
      <c r="BG32" s="375">
        <f>'E. C. A '!CQ31</f>
        <v>9.7</v>
      </c>
      <c r="BH32" s="375">
        <f>'E. C. A '!CR31</f>
        <v>0</v>
      </c>
      <c r="BI32" s="375">
        <f t="shared" si="19"/>
        <v>6.566666667</v>
      </c>
      <c r="BJ32" s="375" t="str">
        <f>'E. C. A '!DB31</f>
        <v/>
      </c>
      <c r="BK32" s="380">
        <f t="shared" si="20"/>
        <v>6.566666667</v>
      </c>
      <c r="BL32" s="381">
        <f>FILOSOFIA!CP31</f>
        <v>9.76</v>
      </c>
      <c r="BM32" s="375">
        <f>FILOSOFIA!CQ31</f>
        <v>10</v>
      </c>
      <c r="BN32" s="375">
        <f>FILOSOFIA!CR31</f>
        <v>0</v>
      </c>
      <c r="BO32" s="375">
        <f t="shared" si="21"/>
        <v>6.586666667</v>
      </c>
      <c r="BP32" s="375" t="str">
        <f>FILOSOFIA!DB31</f>
        <v/>
      </c>
      <c r="BQ32" s="382">
        <f t="shared" si="22"/>
        <v>6.586666667</v>
      </c>
      <c r="BR32" s="383">
        <f>EMP!CP31</f>
        <v>10</v>
      </c>
      <c r="BS32" s="376">
        <f>EMP!CQ31</f>
        <v>10</v>
      </c>
      <c r="BT32" s="376">
        <f>EMP!CR31</f>
        <v>0</v>
      </c>
      <c r="BU32" s="376">
        <f t="shared" si="23"/>
        <v>6.666666667</v>
      </c>
      <c r="BV32" s="377"/>
      <c r="BW32" s="380">
        <f t="shared" si="24"/>
        <v>6.666666667</v>
      </c>
      <c r="BX32" s="374">
        <f>'EDUCACION PARA LA CIUDADANIA '!CP31</f>
        <v>9.76</v>
      </c>
      <c r="BY32" s="375">
        <f>'EDUCACION PARA LA CIUDADANIA '!CQ31</f>
        <v>10</v>
      </c>
      <c r="BZ32" s="375">
        <f>'EDUCACION PARA LA CIUDADANIA '!CR31</f>
        <v>0</v>
      </c>
      <c r="CA32" s="375">
        <f t="shared" si="25"/>
        <v>6.586666667</v>
      </c>
      <c r="CB32" s="375" t="str">
        <f>'EDUCACION PARA LA CIUDADANIA '!DB31</f>
        <v/>
      </c>
      <c r="CC32" s="380">
        <f t="shared" si="26"/>
        <v>6.586666667</v>
      </c>
      <c r="CD32" s="374">
        <f>'PAQUETES CONTABLES '!CP31</f>
        <v>10</v>
      </c>
      <c r="CE32" s="375">
        <f>'PAQUETES CONTABLES '!CQ31</f>
        <v>10</v>
      </c>
      <c r="CF32" s="375">
        <f>'PAQUETES CONTABLES '!CR31</f>
        <v>0</v>
      </c>
      <c r="CG32" s="375">
        <f t="shared" si="27"/>
        <v>6.666666667</v>
      </c>
      <c r="CH32" s="375" t="str">
        <f>'PAQUETES CONTABLES '!DB31</f>
        <v/>
      </c>
      <c r="CI32" s="380">
        <f t="shared" si="28"/>
        <v>6.666666667</v>
      </c>
      <c r="CJ32" s="374">
        <f>'TRIBUTACION '!CP31</f>
        <v>8.86</v>
      </c>
      <c r="CK32" s="375">
        <f>'TRIBUTACION '!CQ31</f>
        <v>9.85</v>
      </c>
      <c r="CL32" s="375">
        <f>'TRIBUTACION '!CR31</f>
        <v>0</v>
      </c>
      <c r="CM32" s="375">
        <f t="shared" si="29"/>
        <v>6.236666667</v>
      </c>
      <c r="CN32" s="375" t="str">
        <f>'TRIBUTACION '!DB31</f>
        <v/>
      </c>
      <c r="CO32" s="380">
        <f t="shared" si="30"/>
        <v>6.236666667</v>
      </c>
      <c r="CP32" s="61">
        <f t="shared" si="31"/>
        <v>6.886666667</v>
      </c>
      <c r="DF32" s="384" t="str">
        <f t="shared" si="32"/>
        <v/>
      </c>
    </row>
    <row r="33" ht="15.75" customHeight="1">
      <c r="A33" s="56">
        <v>21.0</v>
      </c>
      <c r="B33" s="124" t="str">
        <f>'SABANA CALIFICACIONES'!B32</f>
        <v/>
      </c>
      <c r="C33" s="125" t="str">
        <f>'SABANA CALIFICACIONES'!C32</f>
        <v>Torres Vera Anderson</v>
      </c>
      <c r="D33" s="369">
        <f>LEN!CP32</f>
        <v>8.07</v>
      </c>
      <c r="E33" s="120">
        <f>LEN!CQ32</f>
        <v>8.32</v>
      </c>
      <c r="F33" s="370">
        <f>LEN!CR32</f>
        <v>0</v>
      </c>
      <c r="G33" s="371">
        <f t="shared" si="1"/>
        <v>5.463333333</v>
      </c>
      <c r="H33" s="120" t="str">
        <f>LEN!DB32</f>
        <v/>
      </c>
      <c r="I33" s="372">
        <f t="shared" si="2"/>
        <v>5.463333333</v>
      </c>
      <c r="J33" s="369">
        <f>MATE!CP32</f>
        <v>6.92</v>
      </c>
      <c r="K33" s="120">
        <f>MATE!CQ32</f>
        <v>7.68</v>
      </c>
      <c r="L33" s="120">
        <f>MATE!CR32</f>
        <v>0</v>
      </c>
      <c r="M33" s="120">
        <f t="shared" si="3"/>
        <v>4.866666667</v>
      </c>
      <c r="N33" s="120" t="str">
        <f>MATE!DB32</f>
        <v/>
      </c>
      <c r="O33" s="370">
        <f t="shared" si="4"/>
        <v>4.866666667</v>
      </c>
      <c r="P33" s="369">
        <f>INGLES!CP32</f>
        <v>8.25</v>
      </c>
      <c r="Q33" s="120">
        <f>INGLES!CQ32</f>
        <v>7.83</v>
      </c>
      <c r="R33" s="120">
        <f>INGLES!CR32</f>
        <v>0</v>
      </c>
      <c r="S33" s="120">
        <f t="shared" si="5"/>
        <v>5.36</v>
      </c>
      <c r="T33" s="120" t="str">
        <f>INGLES!DB32</f>
        <v/>
      </c>
      <c r="U33" s="370">
        <f t="shared" si="6"/>
        <v>5.36</v>
      </c>
      <c r="V33" s="369">
        <f>QUIMI!CP32</f>
        <v>7.55</v>
      </c>
      <c r="W33" s="120">
        <f>QUIMI!CQ32</f>
        <v>8.12</v>
      </c>
      <c r="X33" s="120">
        <f>QUIMI!CR32</f>
        <v>0</v>
      </c>
      <c r="Y33" s="120">
        <f t="shared" si="7"/>
        <v>5.223333333</v>
      </c>
      <c r="Z33" s="120" t="str">
        <f>QUIMI!DB32</f>
        <v/>
      </c>
      <c r="AA33" s="370">
        <f t="shared" si="8"/>
        <v>5.223333333</v>
      </c>
      <c r="AB33" s="369">
        <f>FISICA!CO32</f>
        <v>6.67</v>
      </c>
      <c r="AC33" s="120">
        <f>FISICA!CP32</f>
        <v>7.45</v>
      </c>
      <c r="AD33" s="120">
        <f>FISICA!CQ32</f>
        <v>0</v>
      </c>
      <c r="AE33" s="120">
        <f t="shared" si="9"/>
        <v>4.706666667</v>
      </c>
      <c r="AF33" s="120" t="str">
        <f>FISICA!DA32</f>
        <v/>
      </c>
      <c r="AG33" s="370">
        <f t="shared" si="10"/>
        <v>4.706666667</v>
      </c>
      <c r="AH33" s="369">
        <f>'ED. FISICA'!CP32</f>
        <v>9</v>
      </c>
      <c r="AI33" s="120">
        <f>'ED. FISICA'!CQ32</f>
        <v>9.5</v>
      </c>
      <c r="AJ33" s="120">
        <f>'ED. FISICA'!CR32</f>
        <v>0</v>
      </c>
      <c r="AK33" s="120">
        <f t="shared" si="11"/>
        <v>6.166666667</v>
      </c>
      <c r="AL33" s="120" t="str">
        <f>'ED. FISICA'!DB32</f>
        <v/>
      </c>
      <c r="AM33" s="370">
        <f t="shared" si="12"/>
        <v>6.166666667</v>
      </c>
      <c r="AN33" s="369">
        <f>'CONTABILIDAD GENERAL '!CP32</f>
        <v>6.66</v>
      </c>
      <c r="AO33" s="120">
        <f>'CONTABILIDAD GENERAL '!CQ32</f>
        <v>8.85</v>
      </c>
      <c r="AP33" s="120">
        <f>'CONTABILIDAD GENERAL '!CR32</f>
        <v>0</v>
      </c>
      <c r="AQ33" s="120">
        <f t="shared" si="13"/>
        <v>5.17</v>
      </c>
      <c r="AR33" s="373" t="str">
        <f>'CONTABILIDAD GENERAL '!DB32</f>
        <v/>
      </c>
      <c r="AS33" s="372">
        <f t="shared" si="14"/>
        <v>5.17</v>
      </c>
      <c r="AT33" s="374">
        <f>BIO!CP32</f>
        <v>7.38</v>
      </c>
      <c r="AU33" s="375">
        <f>BIO!CQ32</f>
        <v>7</v>
      </c>
      <c r="AV33" s="375">
        <f>BIO!CR32</f>
        <v>0</v>
      </c>
      <c r="AW33" s="376">
        <f t="shared" si="15"/>
        <v>4.793333333</v>
      </c>
      <c r="AX33" s="375" t="str">
        <f>BIO!DB32</f>
        <v/>
      </c>
      <c r="AY33" s="377">
        <f t="shared" si="16"/>
        <v>4.793333333</v>
      </c>
      <c r="AZ33" s="60">
        <f>HIST!CP32</f>
        <v>7.42</v>
      </c>
      <c r="BA33" s="60">
        <f>HIST!CQ32</f>
        <v>7</v>
      </c>
      <c r="BB33" s="60">
        <f>HIST!CR32</f>
        <v>0</v>
      </c>
      <c r="BC33" s="378">
        <f t="shared" si="17"/>
        <v>4.806666667</v>
      </c>
      <c r="BD33" s="379" t="str">
        <f>HIST!DB32</f>
        <v/>
      </c>
      <c r="BE33" s="377">
        <f t="shared" si="18"/>
        <v>4.806666667</v>
      </c>
      <c r="BF33" s="374">
        <f>'E. C. A '!CP32</f>
        <v>8.24</v>
      </c>
      <c r="BG33" s="375">
        <f>'E. C. A '!CQ32</f>
        <v>9.06</v>
      </c>
      <c r="BH33" s="375">
        <f>'E. C. A '!CR32</f>
        <v>0</v>
      </c>
      <c r="BI33" s="375">
        <f t="shared" si="19"/>
        <v>5.766666667</v>
      </c>
      <c r="BJ33" s="375" t="str">
        <f>'E. C. A '!DB32</f>
        <v/>
      </c>
      <c r="BK33" s="380">
        <f t="shared" si="20"/>
        <v>5.766666667</v>
      </c>
      <c r="BL33" s="381">
        <f>FILOSOFIA!CP32</f>
        <v>7.25</v>
      </c>
      <c r="BM33" s="375">
        <f>FILOSOFIA!CQ32</f>
        <v>8.71</v>
      </c>
      <c r="BN33" s="375">
        <f>FILOSOFIA!CR32</f>
        <v>0</v>
      </c>
      <c r="BO33" s="375">
        <f t="shared" si="21"/>
        <v>5.32</v>
      </c>
      <c r="BP33" s="375" t="str">
        <f>FILOSOFIA!DB32</f>
        <v/>
      </c>
      <c r="BQ33" s="382">
        <f t="shared" si="22"/>
        <v>5.32</v>
      </c>
      <c r="BR33" s="383">
        <f>EMP!CP32</f>
        <v>7.16</v>
      </c>
      <c r="BS33" s="376">
        <f>EMP!CQ32</f>
        <v>8.82</v>
      </c>
      <c r="BT33" s="376">
        <f>EMP!CR32</f>
        <v>0</v>
      </c>
      <c r="BU33" s="376">
        <f t="shared" si="23"/>
        <v>5.326666667</v>
      </c>
      <c r="BV33" s="377"/>
      <c r="BW33" s="380">
        <f t="shared" si="24"/>
        <v>5.326666667</v>
      </c>
      <c r="BX33" s="374">
        <f>'EDUCACION PARA LA CIUDADANIA '!CP32</f>
        <v>7.33</v>
      </c>
      <c r="BY33" s="375">
        <f>'EDUCACION PARA LA CIUDADANIA '!CQ32</f>
        <v>8.36</v>
      </c>
      <c r="BZ33" s="375">
        <f>'EDUCACION PARA LA CIUDADANIA '!CR32</f>
        <v>0</v>
      </c>
      <c r="CA33" s="375">
        <f t="shared" si="25"/>
        <v>5.23</v>
      </c>
      <c r="CB33" s="375" t="str">
        <f>'EDUCACION PARA LA CIUDADANIA '!DB32</f>
        <v/>
      </c>
      <c r="CC33" s="380">
        <f t="shared" si="26"/>
        <v>5.23</v>
      </c>
      <c r="CD33" s="374">
        <f>'PAQUETES CONTABLES '!CP32</f>
        <v>7.06</v>
      </c>
      <c r="CE33" s="375">
        <f>'PAQUETES CONTABLES '!CQ32</f>
        <v>9.02</v>
      </c>
      <c r="CF33" s="375">
        <f>'PAQUETES CONTABLES '!CR32</f>
        <v>0</v>
      </c>
      <c r="CG33" s="375">
        <f t="shared" si="27"/>
        <v>5.36</v>
      </c>
      <c r="CH33" s="375" t="str">
        <f>'PAQUETES CONTABLES '!DB32</f>
        <v/>
      </c>
      <c r="CI33" s="380">
        <f t="shared" si="28"/>
        <v>5.36</v>
      </c>
      <c r="CJ33" s="374">
        <f>'TRIBUTACION '!CP32</f>
        <v>8.74</v>
      </c>
      <c r="CK33" s="375">
        <f>'TRIBUTACION '!CQ32</f>
        <v>8.53</v>
      </c>
      <c r="CL33" s="375">
        <f>'TRIBUTACION '!CR32</f>
        <v>0</v>
      </c>
      <c r="CM33" s="375">
        <f t="shared" si="29"/>
        <v>5.756666667</v>
      </c>
      <c r="CN33" s="375" t="str">
        <f>'TRIBUTACION '!DB32</f>
        <v/>
      </c>
      <c r="CO33" s="380">
        <f t="shared" si="30"/>
        <v>5.756666667</v>
      </c>
      <c r="CP33" s="61">
        <f t="shared" si="31"/>
        <v>5.301904762</v>
      </c>
      <c r="DF33" s="384" t="str">
        <f t="shared" si="32"/>
        <v/>
      </c>
    </row>
    <row r="34" ht="15.75" customHeight="1">
      <c r="A34" s="56">
        <v>22.0</v>
      </c>
      <c r="B34" s="124" t="str">
        <f>'SABANA CALIFICACIONES'!B33</f>
        <v/>
      </c>
      <c r="C34" s="125" t="str">
        <f>'SABANA CALIFICACIONES'!C33</f>
        <v>Valero Pefiafiel Carlos José</v>
      </c>
      <c r="D34" s="369">
        <f>LEN!CP33</f>
        <v>9.08</v>
      </c>
      <c r="E34" s="120">
        <f>LEN!CQ33</f>
        <v>8.47</v>
      </c>
      <c r="F34" s="370">
        <f>LEN!CR33</f>
        <v>0</v>
      </c>
      <c r="G34" s="371">
        <f t="shared" si="1"/>
        <v>5.85</v>
      </c>
      <c r="H34" s="120" t="str">
        <f>LEN!DB33</f>
        <v/>
      </c>
      <c r="I34" s="372">
        <f t="shared" si="2"/>
        <v>5.85</v>
      </c>
      <c r="J34" s="369">
        <f>MATE!CP33</f>
        <v>7.56</v>
      </c>
      <c r="K34" s="120">
        <f>MATE!CQ33</f>
        <v>7.68</v>
      </c>
      <c r="L34" s="120">
        <f>MATE!CR33</f>
        <v>0</v>
      </c>
      <c r="M34" s="120">
        <f t="shared" si="3"/>
        <v>5.08</v>
      </c>
      <c r="N34" s="120" t="str">
        <f>MATE!DB33</f>
        <v/>
      </c>
      <c r="O34" s="370">
        <f t="shared" si="4"/>
        <v>5.08</v>
      </c>
      <c r="P34" s="369">
        <f>INGLES!CP33</f>
        <v>8.93</v>
      </c>
      <c r="Q34" s="120">
        <f>INGLES!CQ33</f>
        <v>7.21</v>
      </c>
      <c r="R34" s="120">
        <f>INGLES!CR33</f>
        <v>0</v>
      </c>
      <c r="S34" s="120">
        <f t="shared" si="5"/>
        <v>5.38</v>
      </c>
      <c r="T34" s="120" t="str">
        <f>INGLES!DB33</f>
        <v/>
      </c>
      <c r="U34" s="370">
        <f t="shared" si="6"/>
        <v>5.38</v>
      </c>
      <c r="V34" s="369">
        <f>QUIMI!CP33</f>
        <v>9.19</v>
      </c>
      <c r="W34" s="120">
        <f>QUIMI!CQ33</f>
        <v>7.45</v>
      </c>
      <c r="X34" s="120">
        <f>QUIMI!CR33</f>
        <v>0</v>
      </c>
      <c r="Y34" s="120">
        <f t="shared" si="7"/>
        <v>5.546666667</v>
      </c>
      <c r="Z34" s="120" t="str">
        <f>QUIMI!DB33</f>
        <v/>
      </c>
      <c r="AA34" s="370">
        <f t="shared" si="8"/>
        <v>5.546666667</v>
      </c>
      <c r="AB34" s="369">
        <f>FISICA!CO33</f>
        <v>8.48</v>
      </c>
      <c r="AC34" s="120">
        <f>FISICA!CP33</f>
        <v>7.45</v>
      </c>
      <c r="AD34" s="120">
        <f>FISICA!CQ33</f>
        <v>4.9</v>
      </c>
      <c r="AE34" s="120">
        <f t="shared" si="9"/>
        <v>6.943333333</v>
      </c>
      <c r="AF34" s="120" t="str">
        <f>FISICA!DA33</f>
        <v/>
      </c>
      <c r="AG34" s="370">
        <f t="shared" si="10"/>
        <v>6.943333333</v>
      </c>
      <c r="AH34" s="369">
        <f>'ED. FISICA'!CP33</f>
        <v>9.41</v>
      </c>
      <c r="AI34" s="120">
        <f>'ED. FISICA'!CQ33</f>
        <v>9.5</v>
      </c>
      <c r="AJ34" s="120">
        <f>'ED. FISICA'!CR33</f>
        <v>0</v>
      </c>
      <c r="AK34" s="120">
        <f t="shared" si="11"/>
        <v>6.303333333</v>
      </c>
      <c r="AL34" s="120" t="str">
        <f>'ED. FISICA'!DB33</f>
        <v/>
      </c>
      <c r="AM34" s="370">
        <f t="shared" si="12"/>
        <v>6.303333333</v>
      </c>
      <c r="AN34" s="369">
        <f>'CONTABILIDAD GENERAL '!CP33</f>
        <v>9.22</v>
      </c>
      <c r="AO34" s="120">
        <f>'CONTABILIDAD GENERAL '!CQ33</f>
        <v>7.95</v>
      </c>
      <c r="AP34" s="120">
        <f>'CONTABILIDAD GENERAL '!CR33</f>
        <v>0</v>
      </c>
      <c r="AQ34" s="120">
        <f t="shared" si="13"/>
        <v>5.723333333</v>
      </c>
      <c r="AR34" s="373" t="str">
        <f>'CONTABILIDAD GENERAL '!DB33</f>
        <v/>
      </c>
      <c r="AS34" s="372">
        <f t="shared" si="14"/>
        <v>5.723333333</v>
      </c>
      <c r="AT34" s="374">
        <f>BIO!CP33</f>
        <v>8.2</v>
      </c>
      <c r="AU34" s="375">
        <f>BIO!CQ33</f>
        <v>7.04</v>
      </c>
      <c r="AV34" s="375">
        <f>BIO!CR33</f>
        <v>0</v>
      </c>
      <c r="AW34" s="376">
        <f t="shared" si="15"/>
        <v>5.08</v>
      </c>
      <c r="AX34" s="375" t="str">
        <f>BIO!DB33</f>
        <v/>
      </c>
      <c r="AY34" s="377">
        <f t="shared" si="16"/>
        <v>5.08</v>
      </c>
      <c r="AZ34" s="60">
        <f>HIST!CP33</f>
        <v>9.2</v>
      </c>
      <c r="BA34" s="60">
        <f>HIST!CQ33</f>
        <v>8</v>
      </c>
      <c r="BB34" s="60">
        <f>HIST!CR33</f>
        <v>0</v>
      </c>
      <c r="BC34" s="378">
        <f t="shared" si="17"/>
        <v>5.733333333</v>
      </c>
      <c r="BD34" s="379" t="str">
        <f>HIST!DB33</f>
        <v/>
      </c>
      <c r="BE34" s="377">
        <f t="shared" si="18"/>
        <v>5.733333333</v>
      </c>
      <c r="BF34" s="374">
        <f>'E. C. A '!CP33</f>
        <v>7.55</v>
      </c>
      <c r="BG34" s="375">
        <f>'E. C. A '!CQ33</f>
        <v>9.3</v>
      </c>
      <c r="BH34" s="375">
        <f>'E. C. A '!CR33</f>
        <v>0</v>
      </c>
      <c r="BI34" s="375">
        <f t="shared" si="19"/>
        <v>5.616666667</v>
      </c>
      <c r="BJ34" s="375" t="str">
        <f>'E. C. A '!DB33</f>
        <v/>
      </c>
      <c r="BK34" s="380">
        <f t="shared" si="20"/>
        <v>5.616666667</v>
      </c>
      <c r="BL34" s="381">
        <f>FILOSOFIA!CP33</f>
        <v>8.68</v>
      </c>
      <c r="BM34" s="375">
        <f>FILOSOFIA!CQ33</f>
        <v>9.06</v>
      </c>
      <c r="BN34" s="375">
        <f>FILOSOFIA!CR33</f>
        <v>0</v>
      </c>
      <c r="BO34" s="375">
        <f t="shared" si="21"/>
        <v>5.913333333</v>
      </c>
      <c r="BP34" s="375" t="str">
        <f>FILOSOFIA!DB33</f>
        <v/>
      </c>
      <c r="BQ34" s="382">
        <f t="shared" si="22"/>
        <v>5.913333333</v>
      </c>
      <c r="BR34" s="383">
        <f>EMP!CP33</f>
        <v>8.67</v>
      </c>
      <c r="BS34" s="376">
        <f>EMP!CQ33</f>
        <v>8.67</v>
      </c>
      <c r="BT34" s="376">
        <f>EMP!CR33</f>
        <v>0</v>
      </c>
      <c r="BU34" s="376">
        <f t="shared" si="23"/>
        <v>5.78</v>
      </c>
      <c r="BV34" s="377"/>
      <c r="BW34" s="380">
        <f t="shared" si="24"/>
        <v>5.78</v>
      </c>
      <c r="BX34" s="374">
        <f>'EDUCACION PARA LA CIUDADANIA '!CP33</f>
        <v>8.48</v>
      </c>
      <c r="BY34" s="375">
        <f>'EDUCACION PARA LA CIUDADANIA '!CQ33</f>
        <v>8.25</v>
      </c>
      <c r="BZ34" s="375">
        <f>'EDUCACION PARA LA CIUDADANIA '!CR33</f>
        <v>0</v>
      </c>
      <c r="CA34" s="375">
        <f t="shared" si="25"/>
        <v>5.576666667</v>
      </c>
      <c r="CB34" s="375" t="str">
        <f>'EDUCACION PARA LA CIUDADANIA '!DB33</f>
        <v/>
      </c>
      <c r="CC34" s="380">
        <f t="shared" si="26"/>
        <v>5.576666667</v>
      </c>
      <c r="CD34" s="374">
        <f>'PAQUETES CONTABLES '!CP33</f>
        <v>8.22</v>
      </c>
      <c r="CE34" s="375">
        <f>'PAQUETES CONTABLES '!CQ33</f>
        <v>8.87</v>
      </c>
      <c r="CF34" s="375">
        <f>'PAQUETES CONTABLES '!CR33</f>
        <v>0</v>
      </c>
      <c r="CG34" s="375">
        <f t="shared" si="27"/>
        <v>5.696666667</v>
      </c>
      <c r="CH34" s="375" t="str">
        <f>'PAQUETES CONTABLES '!DB33</f>
        <v/>
      </c>
      <c r="CI34" s="380">
        <f t="shared" si="28"/>
        <v>5.696666667</v>
      </c>
      <c r="CJ34" s="374">
        <f>'TRIBUTACION '!CP33</f>
        <v>8.74</v>
      </c>
      <c r="CK34" s="375">
        <f>'TRIBUTACION '!CQ33</f>
        <v>7.83</v>
      </c>
      <c r="CL34" s="375">
        <f>'TRIBUTACION '!CR33</f>
        <v>0</v>
      </c>
      <c r="CM34" s="375">
        <f t="shared" si="29"/>
        <v>5.523333333</v>
      </c>
      <c r="CN34" s="375" t="str">
        <f>'TRIBUTACION '!DB33</f>
        <v/>
      </c>
      <c r="CO34" s="380">
        <f t="shared" si="30"/>
        <v>5.523333333</v>
      </c>
      <c r="CP34" s="61">
        <f t="shared" si="31"/>
        <v>5.84047619</v>
      </c>
      <c r="DF34" s="384" t="str">
        <f t="shared" si="32"/>
        <v/>
      </c>
    </row>
    <row r="35" ht="15.75" customHeight="1">
      <c r="A35" s="56">
        <v>23.0</v>
      </c>
      <c r="B35" s="124" t="str">
        <f>'SABANA CALIFICACIONES'!B34</f>
        <v/>
      </c>
      <c r="C35" s="125" t="str">
        <f>'SABANA CALIFICACIONES'!C34</f>
        <v>Veliz chicaiza Alex isaac</v>
      </c>
      <c r="D35" s="369">
        <f>LEN!CP34</f>
        <v>7.57</v>
      </c>
      <c r="E35" s="120">
        <f>LEN!CQ34</f>
        <v>8.05</v>
      </c>
      <c r="F35" s="370">
        <f>LEN!CR34</f>
        <v>0</v>
      </c>
      <c r="G35" s="371">
        <f t="shared" si="1"/>
        <v>5.206666667</v>
      </c>
      <c r="H35" s="120" t="str">
        <f>LEN!DB34</f>
        <v/>
      </c>
      <c r="I35" s="372">
        <f t="shared" si="2"/>
        <v>5.206666667</v>
      </c>
      <c r="J35" s="369">
        <f>MATE!CP34</f>
        <v>7.04</v>
      </c>
      <c r="K35" s="120">
        <f>MATE!CQ34</f>
        <v>7.91</v>
      </c>
      <c r="L35" s="120">
        <f>MATE!CR34</f>
        <v>0</v>
      </c>
      <c r="M35" s="120">
        <f t="shared" si="3"/>
        <v>4.983333333</v>
      </c>
      <c r="N35" s="120" t="str">
        <f>MATE!DB34</f>
        <v/>
      </c>
      <c r="O35" s="370">
        <f t="shared" si="4"/>
        <v>4.983333333</v>
      </c>
      <c r="P35" s="369">
        <f>INGLES!CP34</f>
        <v>8.38</v>
      </c>
      <c r="Q35" s="120">
        <f>INGLES!CQ34</f>
        <v>8.3</v>
      </c>
      <c r="R35" s="120">
        <f>INGLES!CR34</f>
        <v>0</v>
      </c>
      <c r="S35" s="120">
        <f t="shared" si="5"/>
        <v>5.56</v>
      </c>
      <c r="T35" s="120" t="str">
        <f>INGLES!DB34</f>
        <v/>
      </c>
      <c r="U35" s="370">
        <f t="shared" si="6"/>
        <v>5.56</v>
      </c>
      <c r="V35" s="369">
        <f>QUIMI!CP34</f>
        <v>7.94</v>
      </c>
      <c r="W35" s="120">
        <f>QUIMI!CQ34</f>
        <v>7.62</v>
      </c>
      <c r="X35" s="120">
        <f>QUIMI!CR34</f>
        <v>0</v>
      </c>
      <c r="Y35" s="120">
        <f t="shared" si="7"/>
        <v>5.186666667</v>
      </c>
      <c r="Z35" s="120" t="str">
        <f>QUIMI!DB34</f>
        <v/>
      </c>
      <c r="AA35" s="370">
        <f t="shared" si="8"/>
        <v>5.186666667</v>
      </c>
      <c r="AB35" s="369">
        <f>FISICA!CO34</f>
        <v>8.19</v>
      </c>
      <c r="AC35" s="120">
        <f>FISICA!CP34</f>
        <v>7.45</v>
      </c>
      <c r="AD35" s="120">
        <f>FISICA!CQ34</f>
        <v>4.9</v>
      </c>
      <c r="AE35" s="120">
        <f t="shared" si="9"/>
        <v>6.846666667</v>
      </c>
      <c r="AF35" s="120" t="str">
        <f>FISICA!DA34</f>
        <v/>
      </c>
      <c r="AG35" s="370">
        <f t="shared" si="10"/>
        <v>6.846666667</v>
      </c>
      <c r="AH35" s="369">
        <f>'ED. FISICA'!CP34</f>
        <v>8.66</v>
      </c>
      <c r="AI35" s="120">
        <f>'ED. FISICA'!CQ34</f>
        <v>9.5</v>
      </c>
      <c r="AJ35" s="120">
        <f>'ED. FISICA'!CR34</f>
        <v>0</v>
      </c>
      <c r="AK35" s="120">
        <f t="shared" si="11"/>
        <v>6.053333333</v>
      </c>
      <c r="AL35" s="120" t="str">
        <f>'ED. FISICA'!DB34</f>
        <v/>
      </c>
      <c r="AM35" s="370">
        <f t="shared" si="12"/>
        <v>6.053333333</v>
      </c>
      <c r="AN35" s="369">
        <f>'CONTABILIDAD GENERAL '!CP34</f>
        <v>9.21</v>
      </c>
      <c r="AO35" s="120">
        <f>'CONTABILIDAD GENERAL '!CQ34</f>
        <v>9.15</v>
      </c>
      <c r="AP35" s="120">
        <f>'CONTABILIDAD GENERAL '!CR34</f>
        <v>0</v>
      </c>
      <c r="AQ35" s="120">
        <f t="shared" si="13"/>
        <v>6.12</v>
      </c>
      <c r="AR35" s="373" t="str">
        <f>'CONTABILIDAD GENERAL '!DB34</f>
        <v/>
      </c>
      <c r="AS35" s="372">
        <f t="shared" si="14"/>
        <v>6.12</v>
      </c>
      <c r="AT35" s="374">
        <f>BIO!CP34</f>
        <v>7.67</v>
      </c>
      <c r="AU35" s="375">
        <f>BIO!CQ34</f>
        <v>7.13</v>
      </c>
      <c r="AV35" s="375">
        <f>BIO!CR34</f>
        <v>0</v>
      </c>
      <c r="AW35" s="376">
        <f t="shared" si="15"/>
        <v>4.933333333</v>
      </c>
      <c r="AX35" s="375" t="str">
        <f>BIO!DB34</f>
        <v/>
      </c>
      <c r="AY35" s="377">
        <f t="shared" si="16"/>
        <v>4.933333333</v>
      </c>
      <c r="AZ35" s="60">
        <f>HIST!CP34</f>
        <v>8.74</v>
      </c>
      <c r="BA35" s="60">
        <f>HIST!CQ34</f>
        <v>8.3</v>
      </c>
      <c r="BB35" s="60">
        <f>HIST!CR34</f>
        <v>0</v>
      </c>
      <c r="BC35" s="378">
        <f t="shared" si="17"/>
        <v>5.68</v>
      </c>
      <c r="BD35" s="379" t="str">
        <f>HIST!DB34</f>
        <v/>
      </c>
      <c r="BE35" s="377">
        <f t="shared" si="18"/>
        <v>5.68</v>
      </c>
      <c r="BF35" s="374">
        <f>'E. C. A '!CP34</f>
        <v>7.34</v>
      </c>
      <c r="BG35" s="375">
        <f>'E. C. A '!CQ34</f>
        <v>8.68</v>
      </c>
      <c r="BH35" s="375">
        <f>'E. C. A '!CR34</f>
        <v>0</v>
      </c>
      <c r="BI35" s="375">
        <f t="shared" si="19"/>
        <v>5.34</v>
      </c>
      <c r="BJ35" s="375" t="str">
        <f>'E. C. A '!DB34</f>
        <v/>
      </c>
      <c r="BK35" s="380">
        <f t="shared" si="20"/>
        <v>5.34</v>
      </c>
      <c r="BL35" s="381">
        <f>FILOSOFIA!CP34</f>
        <v>8.39</v>
      </c>
      <c r="BM35" s="375">
        <f>FILOSOFIA!CQ34</f>
        <v>8.6</v>
      </c>
      <c r="BN35" s="375">
        <f>FILOSOFIA!CR34</f>
        <v>0</v>
      </c>
      <c r="BO35" s="375">
        <f t="shared" si="21"/>
        <v>5.663333333</v>
      </c>
      <c r="BP35" s="375" t="str">
        <f>FILOSOFIA!DB34</f>
        <v/>
      </c>
      <c r="BQ35" s="382">
        <f t="shared" si="22"/>
        <v>5.663333333</v>
      </c>
      <c r="BR35" s="383">
        <f>EMP!CP34</f>
        <v>8.14</v>
      </c>
      <c r="BS35" s="376">
        <f>EMP!CQ34</f>
        <v>8.67</v>
      </c>
      <c r="BT35" s="376">
        <f>EMP!CR34</f>
        <v>0</v>
      </c>
      <c r="BU35" s="376">
        <f t="shared" si="23"/>
        <v>5.603333333</v>
      </c>
      <c r="BV35" s="377"/>
      <c r="BW35" s="380">
        <f t="shared" si="24"/>
        <v>5.603333333</v>
      </c>
      <c r="BX35" s="374">
        <f>'EDUCACION PARA LA CIUDADANIA '!CP34</f>
        <v>8.19</v>
      </c>
      <c r="BY35" s="375">
        <f>'EDUCACION PARA LA CIUDADANIA '!CQ34</f>
        <v>8.36</v>
      </c>
      <c r="BZ35" s="375">
        <f>'EDUCACION PARA LA CIUDADANIA '!CR34</f>
        <v>0</v>
      </c>
      <c r="CA35" s="375">
        <f t="shared" si="25"/>
        <v>5.516666667</v>
      </c>
      <c r="CB35" s="375" t="str">
        <f>'EDUCACION PARA LA CIUDADANIA '!DB34</f>
        <v/>
      </c>
      <c r="CC35" s="380">
        <f t="shared" si="26"/>
        <v>5.516666667</v>
      </c>
      <c r="CD35" s="374">
        <f>'PAQUETES CONTABLES '!CP34</f>
        <v>7.99</v>
      </c>
      <c r="CE35" s="375">
        <f>'PAQUETES CONTABLES '!CQ34</f>
        <v>8.32</v>
      </c>
      <c r="CF35" s="375">
        <f>'PAQUETES CONTABLES '!CR34</f>
        <v>0</v>
      </c>
      <c r="CG35" s="375">
        <f t="shared" si="27"/>
        <v>5.436666667</v>
      </c>
      <c r="CH35" s="375" t="str">
        <f>'PAQUETES CONTABLES '!DB34</f>
        <v/>
      </c>
      <c r="CI35" s="380">
        <f t="shared" si="28"/>
        <v>5.436666667</v>
      </c>
      <c r="CJ35" s="374">
        <f>'TRIBUTACION '!CP34</f>
        <v>8.02</v>
      </c>
      <c r="CK35" s="375">
        <f>'TRIBUTACION '!CQ34</f>
        <v>8.06</v>
      </c>
      <c r="CL35" s="375">
        <f>'TRIBUTACION '!CR34</f>
        <v>0</v>
      </c>
      <c r="CM35" s="375">
        <f t="shared" si="29"/>
        <v>5.36</v>
      </c>
      <c r="CN35" s="375" t="str">
        <f>'TRIBUTACION '!DB34</f>
        <v/>
      </c>
      <c r="CO35" s="380">
        <f t="shared" si="30"/>
        <v>5.36</v>
      </c>
      <c r="CP35" s="61">
        <f t="shared" si="31"/>
        <v>5.634285714</v>
      </c>
      <c r="DF35" s="384" t="str">
        <f t="shared" si="32"/>
        <v/>
      </c>
    </row>
    <row r="36" ht="15.75" customHeight="1">
      <c r="A36" s="56">
        <v>24.0</v>
      </c>
      <c r="B36" s="124" t="str">
        <f>'SABANA CALIFICACIONES'!B35</f>
        <v/>
      </c>
      <c r="C36" s="125" t="str">
        <f>'SABANA CALIFICACIONES'!C35</f>
        <v>Zambrano Zhicay Victor Humberto</v>
      </c>
      <c r="D36" s="369">
        <f>LEN!CP35</f>
        <v>9.69</v>
      </c>
      <c r="E36" s="120">
        <f>LEN!CQ35</f>
        <v>8.55</v>
      </c>
      <c r="F36" s="370">
        <f>LEN!CR35</f>
        <v>0</v>
      </c>
      <c r="G36" s="371">
        <f t="shared" si="1"/>
        <v>6.08</v>
      </c>
      <c r="H36" s="120" t="str">
        <f>LEN!DB35</f>
        <v/>
      </c>
      <c r="I36" s="372">
        <f t="shared" si="2"/>
        <v>6.08</v>
      </c>
      <c r="J36" s="369">
        <f>MATE!CP35</f>
        <v>7.52</v>
      </c>
      <c r="K36" s="120">
        <f>MATE!CQ35</f>
        <v>7.68</v>
      </c>
      <c r="L36" s="120">
        <f>MATE!CR35</f>
        <v>0</v>
      </c>
      <c r="M36" s="120">
        <f t="shared" si="3"/>
        <v>5.066666667</v>
      </c>
      <c r="N36" s="120" t="str">
        <f>MATE!DB35</f>
        <v/>
      </c>
      <c r="O36" s="370">
        <f t="shared" si="4"/>
        <v>5.066666667</v>
      </c>
      <c r="P36" s="369">
        <f>INGLES!CP35</f>
        <v>9.06</v>
      </c>
      <c r="Q36" s="120">
        <f>INGLES!CQ35</f>
        <v>8.68</v>
      </c>
      <c r="R36" s="120">
        <f>INGLES!CR35</f>
        <v>0</v>
      </c>
      <c r="S36" s="120">
        <f t="shared" si="5"/>
        <v>5.913333333</v>
      </c>
      <c r="T36" s="120" t="str">
        <f>INGLES!DB35</f>
        <v/>
      </c>
      <c r="U36" s="370">
        <f t="shared" si="6"/>
        <v>5.913333333</v>
      </c>
      <c r="V36" s="369">
        <f>QUIMI!CP35</f>
        <v>8.8</v>
      </c>
      <c r="W36" s="120">
        <f>QUIMI!CQ35</f>
        <v>9.05</v>
      </c>
      <c r="X36" s="120">
        <f>QUIMI!CR35</f>
        <v>0</v>
      </c>
      <c r="Y36" s="120">
        <f t="shared" si="7"/>
        <v>5.95</v>
      </c>
      <c r="Z36" s="120" t="str">
        <f>QUIMI!DB35</f>
        <v/>
      </c>
      <c r="AA36" s="370">
        <f t="shared" si="8"/>
        <v>5.95</v>
      </c>
      <c r="AB36" s="369">
        <f>FISICA!CO35</f>
        <v>9.25</v>
      </c>
      <c r="AC36" s="120">
        <f>FISICA!CP35</f>
        <v>8.85</v>
      </c>
      <c r="AD36" s="120">
        <f>FISICA!CQ35</f>
        <v>7</v>
      </c>
      <c r="AE36" s="120">
        <f t="shared" si="9"/>
        <v>8.366666667</v>
      </c>
      <c r="AF36" s="120" t="str">
        <f>FISICA!DA35</f>
        <v/>
      </c>
      <c r="AG36" s="370">
        <f t="shared" si="10"/>
        <v>8.366666667</v>
      </c>
      <c r="AH36" s="369">
        <f>'ED. FISICA'!CP35</f>
        <v>9.02</v>
      </c>
      <c r="AI36" s="120">
        <f>'ED. FISICA'!CQ35</f>
        <v>9.85</v>
      </c>
      <c r="AJ36" s="120">
        <f>'ED. FISICA'!CR35</f>
        <v>0</v>
      </c>
      <c r="AK36" s="120">
        <f t="shared" si="11"/>
        <v>6.29</v>
      </c>
      <c r="AL36" s="120" t="str">
        <f>'ED. FISICA'!DB35</f>
        <v/>
      </c>
      <c r="AM36" s="370">
        <f t="shared" si="12"/>
        <v>6.29</v>
      </c>
      <c r="AN36" s="369">
        <f>'CONTABILIDAD GENERAL '!CP35</f>
        <v>9.2</v>
      </c>
      <c r="AO36" s="120">
        <f>'CONTABILIDAD GENERAL '!CQ35</f>
        <v>9</v>
      </c>
      <c r="AP36" s="120">
        <f>'CONTABILIDAD GENERAL '!CR35</f>
        <v>0</v>
      </c>
      <c r="AQ36" s="120">
        <f t="shared" si="13"/>
        <v>6.066666667</v>
      </c>
      <c r="AR36" s="373" t="str">
        <f>'CONTABILIDAD GENERAL '!DB35</f>
        <v/>
      </c>
      <c r="AS36" s="372">
        <f t="shared" si="14"/>
        <v>6.066666667</v>
      </c>
      <c r="AT36" s="374">
        <f>BIO!CP35</f>
        <v>8.3</v>
      </c>
      <c r="AU36" s="375">
        <f>BIO!CQ35</f>
        <v>7.82</v>
      </c>
      <c r="AV36" s="375">
        <f>BIO!CR35</f>
        <v>0</v>
      </c>
      <c r="AW36" s="376">
        <f t="shared" si="15"/>
        <v>5.373333333</v>
      </c>
      <c r="AX36" s="375" t="str">
        <f>BIO!DB35</f>
        <v/>
      </c>
      <c r="AY36" s="377">
        <f t="shared" si="16"/>
        <v>5.373333333</v>
      </c>
      <c r="AZ36" s="60">
        <f>HIST!CP35</f>
        <v>9.95</v>
      </c>
      <c r="BA36" s="60">
        <f>HIST!CQ35</f>
        <v>10</v>
      </c>
      <c r="BB36" s="60">
        <f>HIST!CR35</f>
        <v>0</v>
      </c>
      <c r="BC36" s="378">
        <f t="shared" si="17"/>
        <v>6.65</v>
      </c>
      <c r="BD36" s="379" t="str">
        <f>HIST!DB35</f>
        <v/>
      </c>
      <c r="BE36" s="377">
        <f t="shared" si="18"/>
        <v>6.65</v>
      </c>
      <c r="BF36" s="374">
        <f>'E. C. A '!CP35</f>
        <v>9.78</v>
      </c>
      <c r="BG36" s="375">
        <f>'E. C. A '!CQ35</f>
        <v>9.76</v>
      </c>
      <c r="BH36" s="375">
        <f>'E. C. A '!CR35</f>
        <v>0</v>
      </c>
      <c r="BI36" s="375">
        <f t="shared" si="19"/>
        <v>6.513333333</v>
      </c>
      <c r="BJ36" s="375" t="str">
        <f>'E. C. A '!DB35</f>
        <v/>
      </c>
      <c r="BK36" s="380">
        <f t="shared" si="20"/>
        <v>6.513333333</v>
      </c>
      <c r="BL36" s="381">
        <f>FILOSOFIA!CP35</f>
        <v>8.79</v>
      </c>
      <c r="BM36" s="375">
        <f>FILOSOFIA!CQ35</f>
        <v>8.83</v>
      </c>
      <c r="BN36" s="375">
        <f>FILOSOFIA!CR35</f>
        <v>0</v>
      </c>
      <c r="BO36" s="375">
        <f t="shared" si="21"/>
        <v>5.873333333</v>
      </c>
      <c r="BP36" s="375" t="str">
        <f>FILOSOFIA!DB35</f>
        <v/>
      </c>
      <c r="BQ36" s="382">
        <f t="shared" si="22"/>
        <v>5.873333333</v>
      </c>
      <c r="BR36" s="383">
        <f>EMP!CP35</f>
        <v>9.91</v>
      </c>
      <c r="BS36" s="376">
        <f>EMP!CQ35</f>
        <v>10</v>
      </c>
      <c r="BT36" s="376">
        <f>EMP!CR35</f>
        <v>0</v>
      </c>
      <c r="BU36" s="376">
        <f t="shared" si="23"/>
        <v>6.636666667</v>
      </c>
      <c r="BV36" s="377"/>
      <c r="BW36" s="380">
        <f t="shared" si="24"/>
        <v>6.636666667</v>
      </c>
      <c r="BX36" s="374">
        <f>'EDUCACION PARA LA CIUDADANIA '!CP35</f>
        <v>8.55</v>
      </c>
      <c r="BY36" s="375">
        <f>'EDUCACION PARA LA CIUDADANIA '!CQ35</f>
        <v>8.91</v>
      </c>
      <c r="BZ36" s="375">
        <f>'EDUCACION PARA LA CIUDADANIA '!CR35</f>
        <v>0</v>
      </c>
      <c r="CA36" s="375">
        <f t="shared" si="25"/>
        <v>5.82</v>
      </c>
      <c r="CB36" s="375" t="str">
        <f>'EDUCACION PARA LA CIUDADANIA '!DB35</f>
        <v/>
      </c>
      <c r="CC36" s="380">
        <f t="shared" si="26"/>
        <v>5.82</v>
      </c>
      <c r="CD36" s="374">
        <f>'PAQUETES CONTABLES '!CP35</f>
        <v>9.85</v>
      </c>
      <c r="CE36" s="375">
        <f>'PAQUETES CONTABLES '!CQ35</f>
        <v>10</v>
      </c>
      <c r="CF36" s="375">
        <f>'PAQUETES CONTABLES '!CR35</f>
        <v>0</v>
      </c>
      <c r="CG36" s="375">
        <f t="shared" si="27"/>
        <v>6.616666667</v>
      </c>
      <c r="CH36" s="375" t="str">
        <f>'PAQUETES CONTABLES '!DB35</f>
        <v/>
      </c>
      <c r="CI36" s="380">
        <f t="shared" si="28"/>
        <v>6.616666667</v>
      </c>
      <c r="CJ36" s="374">
        <f>'TRIBUTACION '!CP35</f>
        <v>8.66</v>
      </c>
      <c r="CK36" s="375">
        <f>'TRIBUTACION '!CQ35</f>
        <v>9.7</v>
      </c>
      <c r="CL36" s="375">
        <f>'TRIBUTACION '!CR35</f>
        <v>0</v>
      </c>
      <c r="CM36" s="375">
        <f t="shared" si="29"/>
        <v>6.12</v>
      </c>
      <c r="CN36" s="375" t="str">
        <f>'TRIBUTACION '!DB35</f>
        <v/>
      </c>
      <c r="CO36" s="380">
        <f t="shared" si="30"/>
        <v>6.12</v>
      </c>
      <c r="CP36" s="61">
        <f t="shared" si="31"/>
        <v>6.329047619</v>
      </c>
      <c r="DF36" s="384" t="str">
        <f t="shared" si="32"/>
        <v/>
      </c>
    </row>
    <row r="37" ht="15.75" customHeight="1">
      <c r="A37" s="56">
        <v>25.0</v>
      </c>
      <c r="B37" s="124" t="str">
        <f>'SABANA CALIFICACIONES'!B36</f>
        <v/>
      </c>
      <c r="C37" s="125" t="str">
        <f>'SABANA CALIFICACIONES'!C36</f>
        <v/>
      </c>
      <c r="D37" s="369">
        <f>LEN!CP36</f>
        <v>0</v>
      </c>
      <c r="E37" s="120">
        <f>LEN!CQ36</f>
        <v>0</v>
      </c>
      <c r="F37" s="370">
        <f>LEN!CR36</f>
        <v>0</v>
      </c>
      <c r="G37" s="371">
        <f t="shared" si="1"/>
        <v>0</v>
      </c>
      <c r="H37" s="120" t="str">
        <f>LEN!DB36</f>
        <v/>
      </c>
      <c r="I37" s="372" t="str">
        <f t="shared" si="2"/>
        <v/>
      </c>
      <c r="J37" s="369">
        <f>MATE!CP36</f>
        <v>0</v>
      </c>
      <c r="K37" s="120">
        <f>MATE!CQ36</f>
        <v>0</v>
      </c>
      <c r="L37" s="120">
        <f>MATE!CR36</f>
        <v>0</v>
      </c>
      <c r="M37" s="120">
        <f t="shared" si="3"/>
        <v>0</v>
      </c>
      <c r="N37" s="120" t="str">
        <f>MATE!DB36</f>
        <v/>
      </c>
      <c r="O37" s="370" t="str">
        <f t="shared" si="4"/>
        <v/>
      </c>
      <c r="P37" s="369">
        <f>INGLES!CP36</f>
        <v>0</v>
      </c>
      <c r="Q37" s="120">
        <f>INGLES!CQ36</f>
        <v>0</v>
      </c>
      <c r="R37" s="120">
        <f>INGLES!CR36</f>
        <v>0</v>
      </c>
      <c r="S37" s="120">
        <f t="shared" si="5"/>
        <v>0</v>
      </c>
      <c r="T37" s="120" t="str">
        <f>INGLES!DB36</f>
        <v/>
      </c>
      <c r="U37" s="370" t="str">
        <f t="shared" si="6"/>
        <v/>
      </c>
      <c r="V37" s="369">
        <f>QUIMI!CP36</f>
        <v>0</v>
      </c>
      <c r="W37" s="120">
        <f>QUIMI!CQ36</f>
        <v>0</v>
      </c>
      <c r="X37" s="120">
        <f>QUIMI!CR36</f>
        <v>0</v>
      </c>
      <c r="Y37" s="120">
        <f t="shared" si="7"/>
        <v>0</v>
      </c>
      <c r="Z37" s="120" t="str">
        <f>QUIMI!DB36</f>
        <v/>
      </c>
      <c r="AA37" s="370" t="str">
        <f t="shared" si="8"/>
        <v/>
      </c>
      <c r="AB37" s="369">
        <f>FISICA!CO36</f>
        <v>0</v>
      </c>
      <c r="AC37" s="120">
        <f>FISICA!CP36</f>
        <v>0</v>
      </c>
      <c r="AD37" s="120">
        <f>FISICA!CQ36</f>
        <v>0</v>
      </c>
      <c r="AE37" s="120">
        <f t="shared" si="9"/>
        <v>0</v>
      </c>
      <c r="AF37" s="120" t="str">
        <f>FISICA!DA36</f>
        <v/>
      </c>
      <c r="AG37" s="370" t="str">
        <f t="shared" si="10"/>
        <v/>
      </c>
      <c r="AH37" s="369">
        <f>'ED. FISICA'!CP36</f>
        <v>0</v>
      </c>
      <c r="AI37" s="120">
        <f>'ED. FISICA'!CQ36</f>
        <v>0</v>
      </c>
      <c r="AJ37" s="120">
        <f>'ED. FISICA'!CR36</f>
        <v>0</v>
      </c>
      <c r="AK37" s="120">
        <f t="shared" si="11"/>
        <v>0</v>
      </c>
      <c r="AL37" s="120" t="str">
        <f>'ED. FISICA'!DB36</f>
        <v/>
      </c>
      <c r="AM37" s="370" t="str">
        <f t="shared" si="12"/>
        <v/>
      </c>
      <c r="AN37" s="369">
        <f>'CONTABILIDAD GENERAL '!CP36</f>
        <v>0</v>
      </c>
      <c r="AO37" s="120">
        <f>'CONTABILIDAD GENERAL '!CQ36</f>
        <v>0</v>
      </c>
      <c r="AP37" s="120">
        <f>'CONTABILIDAD GENERAL '!CR36</f>
        <v>0</v>
      </c>
      <c r="AQ37" s="120">
        <f t="shared" si="13"/>
        <v>0</v>
      </c>
      <c r="AR37" s="373" t="str">
        <f>'CONTABILIDAD GENERAL '!DB36</f>
        <v/>
      </c>
      <c r="AS37" s="372" t="str">
        <f t="shared" si="14"/>
        <v/>
      </c>
      <c r="AT37" s="374">
        <f>BIO!CP36</f>
        <v>0</v>
      </c>
      <c r="AU37" s="375">
        <f>BIO!CQ36</f>
        <v>0</v>
      </c>
      <c r="AV37" s="375">
        <f>BIO!CR36</f>
        <v>0</v>
      </c>
      <c r="AW37" s="376">
        <f t="shared" si="15"/>
        <v>0</v>
      </c>
      <c r="AX37" s="375" t="str">
        <f>BIO!DB36</f>
        <v/>
      </c>
      <c r="AY37" s="377" t="str">
        <f t="shared" si="16"/>
        <v/>
      </c>
      <c r="AZ37" s="60">
        <f>HIST!CP36</f>
        <v>0</v>
      </c>
      <c r="BA37" s="60">
        <f>HIST!CQ36</f>
        <v>0</v>
      </c>
      <c r="BB37" s="60">
        <f>HIST!CR36</f>
        <v>0</v>
      </c>
      <c r="BC37" s="378">
        <f t="shared" si="17"/>
        <v>0</v>
      </c>
      <c r="BD37" s="379" t="str">
        <f>HIST!DB36</f>
        <v/>
      </c>
      <c r="BE37" s="377" t="str">
        <f t="shared" si="18"/>
        <v/>
      </c>
      <c r="BF37" s="374">
        <f>'E. C. A '!CP36</f>
        <v>0</v>
      </c>
      <c r="BG37" s="375">
        <f>'E. C. A '!CQ36</f>
        <v>0</v>
      </c>
      <c r="BH37" s="375">
        <f>'E. C. A '!CR36</f>
        <v>0</v>
      </c>
      <c r="BI37" s="375">
        <f t="shared" si="19"/>
        <v>0</v>
      </c>
      <c r="BJ37" s="375" t="str">
        <f>'E. C. A '!DB36</f>
        <v/>
      </c>
      <c r="BK37" s="380" t="str">
        <f t="shared" si="20"/>
        <v/>
      </c>
      <c r="BL37" s="381">
        <f>FILOSOFIA!CP36</f>
        <v>0</v>
      </c>
      <c r="BM37" s="375">
        <f>FILOSOFIA!CQ36</f>
        <v>0</v>
      </c>
      <c r="BN37" s="375">
        <f>FILOSOFIA!CR36</f>
        <v>0</v>
      </c>
      <c r="BO37" s="375">
        <f t="shared" si="21"/>
        <v>0</v>
      </c>
      <c r="BP37" s="375" t="str">
        <f>FILOSOFIA!DB36</f>
        <v/>
      </c>
      <c r="BQ37" s="382" t="str">
        <f t="shared" si="22"/>
        <v/>
      </c>
      <c r="BR37" s="383">
        <f>EMP!CP36</f>
        <v>0</v>
      </c>
      <c r="BS37" s="376">
        <f>EMP!CQ36</f>
        <v>0</v>
      </c>
      <c r="BT37" s="376">
        <f>EMP!CR36</f>
        <v>0</v>
      </c>
      <c r="BU37" s="376">
        <f t="shared" si="23"/>
        <v>0</v>
      </c>
      <c r="BV37" s="377"/>
      <c r="BW37" s="380" t="str">
        <f t="shared" si="24"/>
        <v/>
      </c>
      <c r="BX37" s="374">
        <f>'EDUCACION PARA LA CIUDADANIA '!CP36</f>
        <v>0</v>
      </c>
      <c r="BY37" s="375">
        <f>'EDUCACION PARA LA CIUDADANIA '!CQ36</f>
        <v>0</v>
      </c>
      <c r="BZ37" s="375">
        <f>'EDUCACION PARA LA CIUDADANIA '!CR36</f>
        <v>0</v>
      </c>
      <c r="CA37" s="375">
        <f t="shared" si="25"/>
        <v>0</v>
      </c>
      <c r="CB37" s="375" t="str">
        <f>'EDUCACION PARA LA CIUDADANIA '!DB36</f>
        <v/>
      </c>
      <c r="CC37" s="380" t="str">
        <f t="shared" si="26"/>
        <v/>
      </c>
      <c r="CD37" s="374">
        <f>'PAQUETES CONTABLES '!CP36</f>
        <v>0</v>
      </c>
      <c r="CE37" s="375">
        <f>'PAQUETES CONTABLES '!CQ36</f>
        <v>0</v>
      </c>
      <c r="CF37" s="375">
        <f>'PAQUETES CONTABLES '!CR36</f>
        <v>0</v>
      </c>
      <c r="CG37" s="375">
        <f t="shared" si="27"/>
        <v>0</v>
      </c>
      <c r="CH37" s="375" t="str">
        <f>'PAQUETES CONTABLES '!DB36</f>
        <v/>
      </c>
      <c r="CI37" s="380" t="str">
        <f t="shared" si="28"/>
        <v/>
      </c>
      <c r="CJ37" s="374">
        <f>'TRIBUTACION '!CP36</f>
        <v>0</v>
      </c>
      <c r="CK37" s="375">
        <f>'TRIBUTACION '!CQ36</f>
        <v>0</v>
      </c>
      <c r="CL37" s="375">
        <f>'TRIBUTACION '!CR36</f>
        <v>0</v>
      </c>
      <c r="CM37" s="375">
        <f t="shared" si="29"/>
        <v>0</v>
      </c>
      <c r="CN37" s="375" t="str">
        <f>'TRIBUTACION '!DB36</f>
        <v/>
      </c>
      <c r="CO37" s="380" t="str">
        <f t="shared" si="30"/>
        <v/>
      </c>
      <c r="CP37" s="61">
        <f t="shared" si="31"/>
        <v>0</v>
      </c>
      <c r="DF37" s="384" t="str">
        <f t="shared" si="32"/>
        <v/>
      </c>
    </row>
    <row r="38" ht="15.75" customHeight="1">
      <c r="A38" s="56">
        <v>26.0</v>
      </c>
      <c r="B38" s="124" t="str">
        <f>'SABANA CALIFICACIONES'!B37</f>
        <v/>
      </c>
      <c r="C38" s="125" t="str">
        <f>'SABANA CALIFICACIONES'!C37</f>
        <v/>
      </c>
      <c r="D38" s="369">
        <f>LEN!CP37</f>
        <v>0</v>
      </c>
      <c r="E38" s="120">
        <f>LEN!CQ37</f>
        <v>0</v>
      </c>
      <c r="F38" s="370">
        <f>LEN!CR37</f>
        <v>0</v>
      </c>
      <c r="G38" s="371">
        <f t="shared" si="1"/>
        <v>0</v>
      </c>
      <c r="H38" s="120" t="str">
        <f>LEN!DB37</f>
        <v/>
      </c>
      <c r="I38" s="372" t="str">
        <f t="shared" si="2"/>
        <v/>
      </c>
      <c r="J38" s="369">
        <f>MATE!CP37</f>
        <v>0</v>
      </c>
      <c r="K38" s="120">
        <f>MATE!CQ37</f>
        <v>0</v>
      </c>
      <c r="L38" s="120">
        <f>MATE!CR37</f>
        <v>0</v>
      </c>
      <c r="M38" s="120">
        <f t="shared" si="3"/>
        <v>0</v>
      </c>
      <c r="N38" s="120" t="str">
        <f>MATE!DB37</f>
        <v/>
      </c>
      <c r="O38" s="370" t="str">
        <f t="shared" si="4"/>
        <v/>
      </c>
      <c r="P38" s="369">
        <f>INGLES!CP37</f>
        <v>0</v>
      </c>
      <c r="Q38" s="120">
        <f>INGLES!CQ37</f>
        <v>0</v>
      </c>
      <c r="R38" s="120">
        <f>INGLES!CR37</f>
        <v>0</v>
      </c>
      <c r="S38" s="120">
        <f t="shared" si="5"/>
        <v>0</v>
      </c>
      <c r="T38" s="120" t="str">
        <f>INGLES!DB37</f>
        <v/>
      </c>
      <c r="U38" s="370" t="str">
        <f t="shared" si="6"/>
        <v/>
      </c>
      <c r="V38" s="369">
        <f>QUIMI!CP37</f>
        <v>0</v>
      </c>
      <c r="W38" s="120">
        <f>QUIMI!CQ37</f>
        <v>0</v>
      </c>
      <c r="X38" s="120">
        <f>QUIMI!CR37</f>
        <v>0</v>
      </c>
      <c r="Y38" s="120">
        <f t="shared" si="7"/>
        <v>0</v>
      </c>
      <c r="Z38" s="120" t="str">
        <f>QUIMI!DB37</f>
        <v/>
      </c>
      <c r="AA38" s="370" t="str">
        <f t="shared" si="8"/>
        <v/>
      </c>
      <c r="AB38" s="369">
        <f>FISICA!CO37</f>
        <v>0</v>
      </c>
      <c r="AC38" s="120">
        <f>FISICA!CP37</f>
        <v>0</v>
      </c>
      <c r="AD38" s="120">
        <f>FISICA!CQ37</f>
        <v>0</v>
      </c>
      <c r="AE38" s="120">
        <f t="shared" si="9"/>
        <v>0</v>
      </c>
      <c r="AF38" s="120" t="str">
        <f>FISICA!DA37</f>
        <v/>
      </c>
      <c r="AG38" s="370" t="str">
        <f t="shared" si="10"/>
        <v/>
      </c>
      <c r="AH38" s="369">
        <f>'ED. FISICA'!CP37</f>
        <v>0</v>
      </c>
      <c r="AI38" s="120">
        <f>'ED. FISICA'!CQ37</f>
        <v>0</v>
      </c>
      <c r="AJ38" s="120">
        <f>'ED. FISICA'!CR37</f>
        <v>0</v>
      </c>
      <c r="AK38" s="120">
        <f t="shared" si="11"/>
        <v>0</v>
      </c>
      <c r="AL38" s="120" t="str">
        <f>'ED. FISICA'!DB37</f>
        <v/>
      </c>
      <c r="AM38" s="370" t="str">
        <f t="shared" si="12"/>
        <v/>
      </c>
      <c r="AN38" s="369">
        <f>'CONTABILIDAD GENERAL '!CP37</f>
        <v>0</v>
      </c>
      <c r="AO38" s="120">
        <f>'CONTABILIDAD GENERAL '!CQ37</f>
        <v>0</v>
      </c>
      <c r="AP38" s="120">
        <f>'CONTABILIDAD GENERAL '!CR37</f>
        <v>0</v>
      </c>
      <c r="AQ38" s="120">
        <f t="shared" si="13"/>
        <v>0</v>
      </c>
      <c r="AR38" s="373" t="str">
        <f>'CONTABILIDAD GENERAL '!DB37</f>
        <v/>
      </c>
      <c r="AS38" s="372" t="str">
        <f t="shared" si="14"/>
        <v/>
      </c>
      <c r="AT38" s="374">
        <f>BIO!CP37</f>
        <v>0</v>
      </c>
      <c r="AU38" s="375">
        <f>BIO!CQ37</f>
        <v>0</v>
      </c>
      <c r="AV38" s="375">
        <f>BIO!CR37</f>
        <v>0</v>
      </c>
      <c r="AW38" s="376">
        <f t="shared" si="15"/>
        <v>0</v>
      </c>
      <c r="AX38" s="375" t="str">
        <f>BIO!DB37</f>
        <v/>
      </c>
      <c r="AY38" s="377" t="str">
        <f t="shared" si="16"/>
        <v/>
      </c>
      <c r="AZ38" s="60">
        <f>HIST!CP37</f>
        <v>0</v>
      </c>
      <c r="BA38" s="60">
        <f>HIST!CQ37</f>
        <v>0</v>
      </c>
      <c r="BB38" s="60">
        <f>HIST!CR37</f>
        <v>0</v>
      </c>
      <c r="BC38" s="378">
        <f t="shared" si="17"/>
        <v>0</v>
      </c>
      <c r="BD38" s="379" t="str">
        <f>HIST!DB37</f>
        <v/>
      </c>
      <c r="BE38" s="377" t="str">
        <f t="shared" si="18"/>
        <v/>
      </c>
      <c r="BF38" s="374">
        <f>'E. C. A '!CP37</f>
        <v>0</v>
      </c>
      <c r="BG38" s="375">
        <f>'E. C. A '!CQ37</f>
        <v>0</v>
      </c>
      <c r="BH38" s="375">
        <f>'E. C. A '!CR37</f>
        <v>0</v>
      </c>
      <c r="BI38" s="375">
        <f t="shared" si="19"/>
        <v>0</v>
      </c>
      <c r="BJ38" s="375" t="str">
        <f>'E. C. A '!DB37</f>
        <v/>
      </c>
      <c r="BK38" s="380" t="str">
        <f t="shared" si="20"/>
        <v/>
      </c>
      <c r="BL38" s="381">
        <f>FILOSOFIA!CP37</f>
        <v>0</v>
      </c>
      <c r="BM38" s="375">
        <f>FILOSOFIA!CQ37</f>
        <v>0</v>
      </c>
      <c r="BN38" s="375">
        <f>FILOSOFIA!CR37</f>
        <v>0</v>
      </c>
      <c r="BO38" s="375">
        <f t="shared" si="21"/>
        <v>0</v>
      </c>
      <c r="BP38" s="375" t="str">
        <f>FILOSOFIA!DB37</f>
        <v/>
      </c>
      <c r="BQ38" s="382" t="str">
        <f t="shared" si="22"/>
        <v/>
      </c>
      <c r="BR38" s="383">
        <f>EMP!CP37</f>
        <v>0</v>
      </c>
      <c r="BS38" s="376">
        <f>EMP!CQ37</f>
        <v>0</v>
      </c>
      <c r="BT38" s="376">
        <f>EMP!CR37</f>
        <v>0</v>
      </c>
      <c r="BU38" s="376">
        <f t="shared" si="23"/>
        <v>0</v>
      </c>
      <c r="BV38" s="377"/>
      <c r="BW38" s="380" t="str">
        <f t="shared" si="24"/>
        <v/>
      </c>
      <c r="BX38" s="374">
        <f>'EDUCACION PARA LA CIUDADANIA '!CP37</f>
        <v>0</v>
      </c>
      <c r="BY38" s="375">
        <f>'EDUCACION PARA LA CIUDADANIA '!CQ37</f>
        <v>0</v>
      </c>
      <c r="BZ38" s="375">
        <f>'EDUCACION PARA LA CIUDADANIA '!CR37</f>
        <v>0</v>
      </c>
      <c r="CA38" s="375">
        <f t="shared" si="25"/>
        <v>0</v>
      </c>
      <c r="CB38" s="375" t="str">
        <f>'EDUCACION PARA LA CIUDADANIA '!DB37</f>
        <v/>
      </c>
      <c r="CC38" s="380" t="str">
        <f t="shared" si="26"/>
        <v/>
      </c>
      <c r="CD38" s="374">
        <f>'PAQUETES CONTABLES '!CP37</f>
        <v>0</v>
      </c>
      <c r="CE38" s="375">
        <f>'PAQUETES CONTABLES '!CQ37</f>
        <v>0</v>
      </c>
      <c r="CF38" s="375">
        <f>'PAQUETES CONTABLES '!CR37</f>
        <v>0</v>
      </c>
      <c r="CG38" s="375">
        <f t="shared" si="27"/>
        <v>0</v>
      </c>
      <c r="CH38" s="375" t="str">
        <f>'PAQUETES CONTABLES '!DB37</f>
        <v/>
      </c>
      <c r="CI38" s="380" t="str">
        <f t="shared" si="28"/>
        <v/>
      </c>
      <c r="CJ38" s="374">
        <f>'TRIBUTACION '!CP37</f>
        <v>0</v>
      </c>
      <c r="CK38" s="375">
        <f>'TRIBUTACION '!CQ37</f>
        <v>0</v>
      </c>
      <c r="CL38" s="375">
        <f>'TRIBUTACION '!CR37</f>
        <v>0</v>
      </c>
      <c r="CM38" s="375">
        <f t="shared" si="29"/>
        <v>0</v>
      </c>
      <c r="CN38" s="375" t="str">
        <f>'TRIBUTACION '!DB37</f>
        <v/>
      </c>
      <c r="CO38" s="380" t="str">
        <f t="shared" si="30"/>
        <v/>
      </c>
      <c r="CP38" s="61">
        <f t="shared" si="31"/>
        <v>0</v>
      </c>
      <c r="DF38" s="384" t="str">
        <f t="shared" si="32"/>
        <v/>
      </c>
    </row>
    <row r="39" ht="15.75" customHeight="1">
      <c r="A39" s="56">
        <v>27.0</v>
      </c>
      <c r="B39" s="124" t="str">
        <f>'SABANA CALIFICACIONES'!B38</f>
        <v/>
      </c>
      <c r="C39" s="125" t="str">
        <f>'SABANA CALIFICACIONES'!C38</f>
        <v/>
      </c>
      <c r="D39" s="369">
        <f>LEN!CP38</f>
        <v>0</v>
      </c>
      <c r="E39" s="120">
        <f>LEN!CQ38</f>
        <v>0</v>
      </c>
      <c r="F39" s="370">
        <f>LEN!CR38</f>
        <v>0</v>
      </c>
      <c r="G39" s="371">
        <f t="shared" si="1"/>
        <v>0</v>
      </c>
      <c r="H39" s="120" t="str">
        <f>LEN!DB38</f>
        <v/>
      </c>
      <c r="I39" s="372" t="str">
        <f t="shared" si="2"/>
        <v/>
      </c>
      <c r="J39" s="369">
        <f>MATE!CP38</f>
        <v>0</v>
      </c>
      <c r="K39" s="120">
        <f>MATE!CQ38</f>
        <v>0</v>
      </c>
      <c r="L39" s="120">
        <f>MATE!CR38</f>
        <v>0</v>
      </c>
      <c r="M39" s="120">
        <f t="shared" si="3"/>
        <v>0</v>
      </c>
      <c r="N39" s="120" t="str">
        <f>MATE!DB38</f>
        <v/>
      </c>
      <c r="O39" s="370" t="str">
        <f t="shared" si="4"/>
        <v/>
      </c>
      <c r="P39" s="369">
        <f>INGLES!CP38</f>
        <v>0</v>
      </c>
      <c r="Q39" s="120">
        <f>INGLES!CQ38</f>
        <v>0</v>
      </c>
      <c r="R39" s="120">
        <f>INGLES!CR38</f>
        <v>0</v>
      </c>
      <c r="S39" s="120">
        <f t="shared" si="5"/>
        <v>0</v>
      </c>
      <c r="T39" s="120" t="str">
        <f>INGLES!DB38</f>
        <v/>
      </c>
      <c r="U39" s="370" t="str">
        <f t="shared" si="6"/>
        <v/>
      </c>
      <c r="V39" s="369">
        <f>QUIMI!CP38</f>
        <v>0</v>
      </c>
      <c r="W39" s="120">
        <f>QUIMI!CQ38</f>
        <v>0</v>
      </c>
      <c r="X39" s="120">
        <f>QUIMI!CR38</f>
        <v>0</v>
      </c>
      <c r="Y39" s="120">
        <f t="shared" si="7"/>
        <v>0</v>
      </c>
      <c r="Z39" s="120" t="str">
        <f>QUIMI!DB38</f>
        <v/>
      </c>
      <c r="AA39" s="370" t="str">
        <f t="shared" si="8"/>
        <v/>
      </c>
      <c r="AB39" s="369">
        <f>FISICA!CO38</f>
        <v>0</v>
      </c>
      <c r="AC39" s="120">
        <f>FISICA!CP38</f>
        <v>0</v>
      </c>
      <c r="AD39" s="120">
        <f>FISICA!CQ38</f>
        <v>0</v>
      </c>
      <c r="AE39" s="120">
        <f t="shared" si="9"/>
        <v>0</v>
      </c>
      <c r="AF39" s="120" t="str">
        <f>FISICA!DA38</f>
        <v/>
      </c>
      <c r="AG39" s="370" t="str">
        <f t="shared" si="10"/>
        <v/>
      </c>
      <c r="AH39" s="369">
        <f>'ED. FISICA'!CP38</f>
        <v>0</v>
      </c>
      <c r="AI39" s="120">
        <f>'ED. FISICA'!CQ38</f>
        <v>0</v>
      </c>
      <c r="AJ39" s="120">
        <f>'ED. FISICA'!CR38</f>
        <v>0</v>
      </c>
      <c r="AK39" s="120">
        <f t="shared" si="11"/>
        <v>0</v>
      </c>
      <c r="AL39" s="120" t="str">
        <f>'ED. FISICA'!DB38</f>
        <v/>
      </c>
      <c r="AM39" s="370" t="str">
        <f t="shared" si="12"/>
        <v/>
      </c>
      <c r="AN39" s="369">
        <f>'CONTABILIDAD GENERAL '!CP38</f>
        <v>0</v>
      </c>
      <c r="AO39" s="120">
        <f>'CONTABILIDAD GENERAL '!CQ38</f>
        <v>0</v>
      </c>
      <c r="AP39" s="120">
        <f>'CONTABILIDAD GENERAL '!CR38</f>
        <v>0</v>
      </c>
      <c r="AQ39" s="120">
        <f t="shared" si="13"/>
        <v>0</v>
      </c>
      <c r="AR39" s="373" t="str">
        <f>'CONTABILIDAD GENERAL '!DB38</f>
        <v/>
      </c>
      <c r="AS39" s="372" t="str">
        <f t="shared" si="14"/>
        <v/>
      </c>
      <c r="AT39" s="374">
        <f>BIO!CP38</f>
        <v>0</v>
      </c>
      <c r="AU39" s="375">
        <f>BIO!CQ38</f>
        <v>0</v>
      </c>
      <c r="AV39" s="375">
        <f>BIO!CR38</f>
        <v>0</v>
      </c>
      <c r="AW39" s="376">
        <f t="shared" si="15"/>
        <v>0</v>
      </c>
      <c r="AX39" s="375" t="str">
        <f>BIO!DB38</f>
        <v/>
      </c>
      <c r="AY39" s="377" t="str">
        <f t="shared" si="16"/>
        <v/>
      </c>
      <c r="AZ39" s="60">
        <f>HIST!CP38</f>
        <v>0</v>
      </c>
      <c r="BA39" s="60">
        <f>HIST!CQ38</f>
        <v>0</v>
      </c>
      <c r="BB39" s="60">
        <f>HIST!CR38</f>
        <v>0</v>
      </c>
      <c r="BC39" s="378">
        <f t="shared" si="17"/>
        <v>0</v>
      </c>
      <c r="BD39" s="379" t="str">
        <f>HIST!DB38</f>
        <v/>
      </c>
      <c r="BE39" s="377" t="str">
        <f t="shared" si="18"/>
        <v/>
      </c>
      <c r="BF39" s="374">
        <f>'E. C. A '!CP38</f>
        <v>0</v>
      </c>
      <c r="BG39" s="375">
        <f>'E. C. A '!CQ38</f>
        <v>0</v>
      </c>
      <c r="BH39" s="375">
        <f>'E. C. A '!CR38</f>
        <v>0</v>
      </c>
      <c r="BI39" s="375">
        <f t="shared" si="19"/>
        <v>0</v>
      </c>
      <c r="BJ39" s="375" t="str">
        <f>'E. C. A '!DB38</f>
        <v/>
      </c>
      <c r="BK39" s="380" t="str">
        <f t="shared" si="20"/>
        <v/>
      </c>
      <c r="BL39" s="381">
        <f>FILOSOFIA!CP38</f>
        <v>0</v>
      </c>
      <c r="BM39" s="375">
        <f>FILOSOFIA!CQ38</f>
        <v>0</v>
      </c>
      <c r="BN39" s="375">
        <f>FILOSOFIA!CR38</f>
        <v>0</v>
      </c>
      <c r="BO39" s="375">
        <f t="shared" si="21"/>
        <v>0</v>
      </c>
      <c r="BP39" s="375" t="str">
        <f>FILOSOFIA!DB38</f>
        <v/>
      </c>
      <c r="BQ39" s="382" t="str">
        <f t="shared" si="22"/>
        <v/>
      </c>
      <c r="BR39" s="383">
        <f>EMP!CP38</f>
        <v>0</v>
      </c>
      <c r="BS39" s="376">
        <f>EMP!CQ38</f>
        <v>0</v>
      </c>
      <c r="BT39" s="376">
        <f>EMP!CR38</f>
        <v>0</v>
      </c>
      <c r="BU39" s="376">
        <f t="shared" si="23"/>
        <v>0</v>
      </c>
      <c r="BV39" s="377"/>
      <c r="BW39" s="380" t="str">
        <f t="shared" si="24"/>
        <v/>
      </c>
      <c r="BX39" s="374">
        <f>'EDUCACION PARA LA CIUDADANIA '!CP38</f>
        <v>0</v>
      </c>
      <c r="BY39" s="375">
        <f>'EDUCACION PARA LA CIUDADANIA '!CQ38</f>
        <v>0</v>
      </c>
      <c r="BZ39" s="375">
        <f>'EDUCACION PARA LA CIUDADANIA '!CR38</f>
        <v>0</v>
      </c>
      <c r="CA39" s="375">
        <f t="shared" si="25"/>
        <v>0</v>
      </c>
      <c r="CB39" s="375" t="str">
        <f>'EDUCACION PARA LA CIUDADANIA '!DB38</f>
        <v/>
      </c>
      <c r="CC39" s="380" t="str">
        <f t="shared" si="26"/>
        <v/>
      </c>
      <c r="CD39" s="374">
        <f>'PAQUETES CONTABLES '!CP38</f>
        <v>0</v>
      </c>
      <c r="CE39" s="375">
        <f>'PAQUETES CONTABLES '!CQ38</f>
        <v>0</v>
      </c>
      <c r="CF39" s="375">
        <f>'PAQUETES CONTABLES '!CR38</f>
        <v>0</v>
      </c>
      <c r="CG39" s="375">
        <f t="shared" si="27"/>
        <v>0</v>
      </c>
      <c r="CH39" s="375" t="str">
        <f>'PAQUETES CONTABLES '!DB38</f>
        <v/>
      </c>
      <c r="CI39" s="380" t="str">
        <f t="shared" si="28"/>
        <v/>
      </c>
      <c r="CJ39" s="374">
        <f>'TRIBUTACION '!CP38</f>
        <v>0</v>
      </c>
      <c r="CK39" s="375">
        <f>'TRIBUTACION '!CQ38</f>
        <v>0</v>
      </c>
      <c r="CL39" s="375">
        <f>'TRIBUTACION '!CR38</f>
        <v>0</v>
      </c>
      <c r="CM39" s="375">
        <f t="shared" si="29"/>
        <v>0</v>
      </c>
      <c r="CN39" s="375" t="str">
        <f>'TRIBUTACION '!DB38</f>
        <v/>
      </c>
      <c r="CO39" s="380" t="str">
        <f t="shared" si="30"/>
        <v/>
      </c>
      <c r="CP39" s="61">
        <f t="shared" si="31"/>
        <v>0</v>
      </c>
      <c r="DF39" s="384" t="str">
        <f t="shared" si="32"/>
        <v/>
      </c>
    </row>
    <row r="40" ht="15.75" customHeight="1">
      <c r="A40" s="56">
        <v>28.0</v>
      </c>
      <c r="B40" s="124" t="str">
        <f>'SABANA CALIFICACIONES'!B39</f>
        <v/>
      </c>
      <c r="C40" s="125" t="str">
        <f>'SABANA CALIFICACIONES'!C39</f>
        <v/>
      </c>
      <c r="D40" s="369">
        <f>LEN!CP39</f>
        <v>0</v>
      </c>
      <c r="E40" s="120">
        <f>LEN!CQ39</f>
        <v>0</v>
      </c>
      <c r="F40" s="370">
        <f>LEN!CR39</f>
        <v>0</v>
      </c>
      <c r="G40" s="371">
        <f t="shared" si="1"/>
        <v>0</v>
      </c>
      <c r="H40" s="120" t="str">
        <f>LEN!DB39</f>
        <v/>
      </c>
      <c r="I40" s="372" t="str">
        <f t="shared" si="2"/>
        <v/>
      </c>
      <c r="J40" s="369">
        <f>MATE!CP39</f>
        <v>0</v>
      </c>
      <c r="K40" s="120">
        <f>MATE!CQ39</f>
        <v>0</v>
      </c>
      <c r="L40" s="120">
        <f>MATE!CR39</f>
        <v>0</v>
      </c>
      <c r="M40" s="120">
        <f t="shared" si="3"/>
        <v>0</v>
      </c>
      <c r="N40" s="120" t="str">
        <f>MATE!DB39</f>
        <v/>
      </c>
      <c r="O40" s="370" t="str">
        <f t="shared" si="4"/>
        <v/>
      </c>
      <c r="P40" s="369">
        <f>INGLES!CP39</f>
        <v>0</v>
      </c>
      <c r="Q40" s="120">
        <f>INGLES!CQ39</f>
        <v>0</v>
      </c>
      <c r="R40" s="120">
        <f>INGLES!CR39</f>
        <v>0</v>
      </c>
      <c r="S40" s="120">
        <f t="shared" si="5"/>
        <v>0</v>
      </c>
      <c r="T40" s="120" t="str">
        <f>INGLES!DB39</f>
        <v/>
      </c>
      <c r="U40" s="370" t="str">
        <f t="shared" si="6"/>
        <v/>
      </c>
      <c r="V40" s="369">
        <f>QUIMI!CP39</f>
        <v>0</v>
      </c>
      <c r="W40" s="120">
        <f>QUIMI!CQ39</f>
        <v>0</v>
      </c>
      <c r="X40" s="120">
        <f>QUIMI!CR39</f>
        <v>0</v>
      </c>
      <c r="Y40" s="120">
        <f t="shared" si="7"/>
        <v>0</v>
      </c>
      <c r="Z40" s="120" t="str">
        <f>QUIMI!DB39</f>
        <v/>
      </c>
      <c r="AA40" s="370" t="str">
        <f t="shared" si="8"/>
        <v/>
      </c>
      <c r="AB40" s="369">
        <f>FISICA!CO39</f>
        <v>0</v>
      </c>
      <c r="AC40" s="120">
        <f>FISICA!CP39</f>
        <v>0</v>
      </c>
      <c r="AD40" s="120">
        <f>FISICA!CQ39</f>
        <v>0</v>
      </c>
      <c r="AE40" s="120">
        <f t="shared" si="9"/>
        <v>0</v>
      </c>
      <c r="AF40" s="120" t="str">
        <f>FISICA!DA39</f>
        <v/>
      </c>
      <c r="AG40" s="370" t="str">
        <f t="shared" si="10"/>
        <v/>
      </c>
      <c r="AH40" s="369">
        <f>'ED. FISICA'!CP39</f>
        <v>0</v>
      </c>
      <c r="AI40" s="120">
        <f>'ED. FISICA'!CQ39</f>
        <v>0</v>
      </c>
      <c r="AJ40" s="120">
        <f>'ED. FISICA'!CR39</f>
        <v>0</v>
      </c>
      <c r="AK40" s="120">
        <f t="shared" si="11"/>
        <v>0</v>
      </c>
      <c r="AL40" s="120" t="str">
        <f>'ED. FISICA'!DB39</f>
        <v/>
      </c>
      <c r="AM40" s="370" t="str">
        <f t="shared" si="12"/>
        <v/>
      </c>
      <c r="AN40" s="369">
        <f>'CONTABILIDAD GENERAL '!CP39</f>
        <v>0</v>
      </c>
      <c r="AO40" s="120">
        <f>'CONTABILIDAD GENERAL '!CQ39</f>
        <v>0</v>
      </c>
      <c r="AP40" s="120">
        <f>'CONTABILIDAD GENERAL '!CR39</f>
        <v>0</v>
      </c>
      <c r="AQ40" s="120">
        <f t="shared" si="13"/>
        <v>0</v>
      </c>
      <c r="AR40" s="373" t="str">
        <f>'CONTABILIDAD GENERAL '!DB39</f>
        <v/>
      </c>
      <c r="AS40" s="372" t="str">
        <f t="shared" si="14"/>
        <v/>
      </c>
      <c r="AT40" s="374">
        <f>BIO!CP39</f>
        <v>0</v>
      </c>
      <c r="AU40" s="375">
        <f>BIO!CQ39</f>
        <v>0</v>
      </c>
      <c r="AV40" s="375">
        <f>BIO!CR39</f>
        <v>0</v>
      </c>
      <c r="AW40" s="376">
        <f t="shared" si="15"/>
        <v>0</v>
      </c>
      <c r="AX40" s="375" t="str">
        <f>BIO!DB39</f>
        <v/>
      </c>
      <c r="AY40" s="377" t="str">
        <f t="shared" si="16"/>
        <v/>
      </c>
      <c r="AZ40" s="60">
        <f>HIST!CP39</f>
        <v>0</v>
      </c>
      <c r="BA40" s="60">
        <f>HIST!CQ39</f>
        <v>0</v>
      </c>
      <c r="BB40" s="60">
        <f>HIST!CR39</f>
        <v>0</v>
      </c>
      <c r="BC40" s="378">
        <f t="shared" si="17"/>
        <v>0</v>
      </c>
      <c r="BD40" s="379" t="str">
        <f>HIST!DB39</f>
        <v/>
      </c>
      <c r="BE40" s="377" t="str">
        <f t="shared" si="18"/>
        <v/>
      </c>
      <c r="BF40" s="374">
        <f>'E. C. A '!CP39</f>
        <v>0</v>
      </c>
      <c r="BG40" s="375">
        <f>'E. C. A '!CQ39</f>
        <v>0</v>
      </c>
      <c r="BH40" s="375">
        <f>'E. C. A '!CR39</f>
        <v>0</v>
      </c>
      <c r="BI40" s="375">
        <f t="shared" si="19"/>
        <v>0</v>
      </c>
      <c r="BJ40" s="375" t="str">
        <f>'E. C. A '!DB39</f>
        <v/>
      </c>
      <c r="BK40" s="380" t="str">
        <f t="shared" si="20"/>
        <v/>
      </c>
      <c r="BL40" s="381">
        <f>FILOSOFIA!CP39</f>
        <v>0</v>
      </c>
      <c r="BM40" s="375">
        <f>FILOSOFIA!CQ39</f>
        <v>0</v>
      </c>
      <c r="BN40" s="375">
        <f>FILOSOFIA!CR39</f>
        <v>0</v>
      </c>
      <c r="BO40" s="375">
        <f t="shared" si="21"/>
        <v>0</v>
      </c>
      <c r="BP40" s="375" t="str">
        <f>FILOSOFIA!DB39</f>
        <v/>
      </c>
      <c r="BQ40" s="382" t="str">
        <f t="shared" si="22"/>
        <v/>
      </c>
      <c r="BR40" s="383">
        <f>EMP!CP39</f>
        <v>0</v>
      </c>
      <c r="BS40" s="376">
        <f>EMP!CQ39</f>
        <v>0</v>
      </c>
      <c r="BT40" s="376">
        <f>EMP!CR39</f>
        <v>0</v>
      </c>
      <c r="BU40" s="376">
        <f t="shared" si="23"/>
        <v>0</v>
      </c>
      <c r="BV40" s="377"/>
      <c r="BW40" s="380" t="str">
        <f t="shared" si="24"/>
        <v/>
      </c>
      <c r="BX40" s="374">
        <f>'EDUCACION PARA LA CIUDADANIA '!CP39</f>
        <v>0</v>
      </c>
      <c r="BY40" s="375">
        <f>'EDUCACION PARA LA CIUDADANIA '!CQ39</f>
        <v>0</v>
      </c>
      <c r="BZ40" s="375">
        <f>'EDUCACION PARA LA CIUDADANIA '!CR39</f>
        <v>0</v>
      </c>
      <c r="CA40" s="375">
        <f t="shared" si="25"/>
        <v>0</v>
      </c>
      <c r="CB40" s="375" t="str">
        <f>'EDUCACION PARA LA CIUDADANIA '!DB39</f>
        <v/>
      </c>
      <c r="CC40" s="380" t="str">
        <f t="shared" si="26"/>
        <v/>
      </c>
      <c r="CD40" s="374">
        <f>'PAQUETES CONTABLES '!CP39</f>
        <v>0</v>
      </c>
      <c r="CE40" s="375">
        <f>'PAQUETES CONTABLES '!CQ39</f>
        <v>0</v>
      </c>
      <c r="CF40" s="375">
        <f>'PAQUETES CONTABLES '!CR39</f>
        <v>0</v>
      </c>
      <c r="CG40" s="375">
        <f t="shared" si="27"/>
        <v>0</v>
      </c>
      <c r="CH40" s="375" t="str">
        <f>'PAQUETES CONTABLES '!DB39</f>
        <v/>
      </c>
      <c r="CI40" s="380" t="str">
        <f t="shared" si="28"/>
        <v/>
      </c>
      <c r="CJ40" s="374">
        <f>'TRIBUTACION '!CP39</f>
        <v>0</v>
      </c>
      <c r="CK40" s="375">
        <f>'TRIBUTACION '!CQ39</f>
        <v>0</v>
      </c>
      <c r="CL40" s="375">
        <f>'TRIBUTACION '!CR39</f>
        <v>0</v>
      </c>
      <c r="CM40" s="375">
        <f t="shared" si="29"/>
        <v>0</v>
      </c>
      <c r="CN40" s="375" t="str">
        <f>'TRIBUTACION '!DB39</f>
        <v/>
      </c>
      <c r="CO40" s="380" t="str">
        <f t="shared" si="30"/>
        <v/>
      </c>
      <c r="CP40" s="61">
        <f t="shared" si="31"/>
        <v>0</v>
      </c>
      <c r="DF40" s="384" t="str">
        <f t="shared" si="32"/>
        <v/>
      </c>
    </row>
    <row r="41" ht="15.75" customHeight="1">
      <c r="A41" s="56">
        <v>29.0</v>
      </c>
      <c r="B41" s="124" t="str">
        <f>'SABANA CALIFICACIONES'!B40</f>
        <v/>
      </c>
      <c r="C41" s="125" t="str">
        <f>'SABANA CALIFICACIONES'!C40</f>
        <v/>
      </c>
      <c r="D41" s="369">
        <f>LEN!CP40</f>
        <v>0</v>
      </c>
      <c r="E41" s="120">
        <f>LEN!CQ40</f>
        <v>0</v>
      </c>
      <c r="F41" s="370">
        <f>LEN!CR40</f>
        <v>0</v>
      </c>
      <c r="G41" s="371">
        <f t="shared" si="1"/>
        <v>0</v>
      </c>
      <c r="H41" s="120" t="str">
        <f>LEN!DB40</f>
        <v/>
      </c>
      <c r="I41" s="372" t="str">
        <f t="shared" si="2"/>
        <v/>
      </c>
      <c r="J41" s="369">
        <f>MATE!CP40</f>
        <v>0</v>
      </c>
      <c r="K41" s="120">
        <f>MATE!CQ40</f>
        <v>0</v>
      </c>
      <c r="L41" s="120">
        <f>MATE!CR40</f>
        <v>0</v>
      </c>
      <c r="M41" s="120">
        <f t="shared" si="3"/>
        <v>0</v>
      </c>
      <c r="N41" s="120" t="str">
        <f>MATE!DB40</f>
        <v/>
      </c>
      <c r="O41" s="370" t="str">
        <f t="shared" si="4"/>
        <v/>
      </c>
      <c r="P41" s="369">
        <f>INGLES!CP40</f>
        <v>0</v>
      </c>
      <c r="Q41" s="120">
        <f>INGLES!CQ40</f>
        <v>0</v>
      </c>
      <c r="R41" s="120">
        <f>INGLES!CR40</f>
        <v>0</v>
      </c>
      <c r="S41" s="120">
        <f t="shared" si="5"/>
        <v>0</v>
      </c>
      <c r="T41" s="120" t="str">
        <f>INGLES!DB40</f>
        <v/>
      </c>
      <c r="U41" s="370" t="str">
        <f t="shared" si="6"/>
        <v/>
      </c>
      <c r="V41" s="369">
        <f>QUIMI!CP40</f>
        <v>0</v>
      </c>
      <c r="W41" s="120">
        <f>QUIMI!CQ40</f>
        <v>0</v>
      </c>
      <c r="X41" s="120">
        <f>QUIMI!CR40</f>
        <v>0</v>
      </c>
      <c r="Y41" s="120">
        <f t="shared" si="7"/>
        <v>0</v>
      </c>
      <c r="Z41" s="120" t="str">
        <f>QUIMI!DB40</f>
        <v/>
      </c>
      <c r="AA41" s="370" t="str">
        <f t="shared" si="8"/>
        <v/>
      </c>
      <c r="AB41" s="369">
        <f>FISICA!CO40</f>
        <v>0</v>
      </c>
      <c r="AC41" s="120">
        <f>FISICA!CP40</f>
        <v>0</v>
      </c>
      <c r="AD41" s="120">
        <f>FISICA!CQ40</f>
        <v>0</v>
      </c>
      <c r="AE41" s="120">
        <f t="shared" si="9"/>
        <v>0</v>
      </c>
      <c r="AF41" s="120" t="str">
        <f>FISICA!DA40</f>
        <v/>
      </c>
      <c r="AG41" s="370" t="str">
        <f t="shared" si="10"/>
        <v/>
      </c>
      <c r="AH41" s="369">
        <f>'ED. FISICA'!CP40</f>
        <v>0</v>
      </c>
      <c r="AI41" s="120">
        <f>'ED. FISICA'!CQ40</f>
        <v>0</v>
      </c>
      <c r="AJ41" s="120">
        <f>'ED. FISICA'!CR40</f>
        <v>0</v>
      </c>
      <c r="AK41" s="120">
        <f t="shared" si="11"/>
        <v>0</v>
      </c>
      <c r="AL41" s="120" t="str">
        <f>'ED. FISICA'!DB40</f>
        <v/>
      </c>
      <c r="AM41" s="370" t="str">
        <f t="shared" si="12"/>
        <v/>
      </c>
      <c r="AN41" s="369">
        <f>'CONTABILIDAD GENERAL '!CP40</f>
        <v>0</v>
      </c>
      <c r="AO41" s="120">
        <f>'CONTABILIDAD GENERAL '!CQ40</f>
        <v>0</v>
      </c>
      <c r="AP41" s="120">
        <f>'CONTABILIDAD GENERAL '!CR40</f>
        <v>0</v>
      </c>
      <c r="AQ41" s="120">
        <f t="shared" si="13"/>
        <v>0</v>
      </c>
      <c r="AR41" s="373" t="str">
        <f>'CONTABILIDAD GENERAL '!DB40</f>
        <v/>
      </c>
      <c r="AS41" s="372" t="str">
        <f t="shared" si="14"/>
        <v/>
      </c>
      <c r="AT41" s="374">
        <f>BIO!CP40</f>
        <v>0</v>
      </c>
      <c r="AU41" s="375">
        <f>BIO!CQ40</f>
        <v>0</v>
      </c>
      <c r="AV41" s="375">
        <f>BIO!CR40</f>
        <v>0</v>
      </c>
      <c r="AW41" s="376">
        <f t="shared" si="15"/>
        <v>0</v>
      </c>
      <c r="AX41" s="375" t="str">
        <f>BIO!DB40</f>
        <v/>
      </c>
      <c r="AY41" s="377" t="str">
        <f t="shared" si="16"/>
        <v/>
      </c>
      <c r="AZ41" s="60">
        <f>HIST!CP40</f>
        <v>0</v>
      </c>
      <c r="BA41" s="60">
        <f>HIST!CQ40</f>
        <v>0</v>
      </c>
      <c r="BB41" s="60">
        <f>HIST!CR40</f>
        <v>0</v>
      </c>
      <c r="BC41" s="378">
        <f t="shared" si="17"/>
        <v>0</v>
      </c>
      <c r="BD41" s="379" t="str">
        <f>HIST!DB40</f>
        <v/>
      </c>
      <c r="BE41" s="377" t="str">
        <f t="shared" si="18"/>
        <v/>
      </c>
      <c r="BF41" s="374">
        <f>'E. C. A '!CP40</f>
        <v>0</v>
      </c>
      <c r="BG41" s="375">
        <f>'E. C. A '!CQ40</f>
        <v>0</v>
      </c>
      <c r="BH41" s="375">
        <f>'E. C. A '!CR40</f>
        <v>0</v>
      </c>
      <c r="BI41" s="375">
        <f t="shared" si="19"/>
        <v>0</v>
      </c>
      <c r="BJ41" s="375" t="str">
        <f>'E. C. A '!DB40</f>
        <v/>
      </c>
      <c r="BK41" s="380" t="str">
        <f t="shared" si="20"/>
        <v/>
      </c>
      <c r="BL41" s="381">
        <f>FILOSOFIA!CP40</f>
        <v>0</v>
      </c>
      <c r="BM41" s="375">
        <f>FILOSOFIA!CQ40</f>
        <v>0</v>
      </c>
      <c r="BN41" s="375">
        <f>FILOSOFIA!CR40</f>
        <v>0</v>
      </c>
      <c r="BO41" s="375">
        <f t="shared" si="21"/>
        <v>0</v>
      </c>
      <c r="BP41" s="375" t="str">
        <f>FILOSOFIA!DB40</f>
        <v/>
      </c>
      <c r="BQ41" s="382" t="str">
        <f t="shared" si="22"/>
        <v/>
      </c>
      <c r="BR41" s="383">
        <f>EMP!CP40</f>
        <v>0</v>
      </c>
      <c r="BS41" s="376">
        <f>EMP!CQ40</f>
        <v>0</v>
      </c>
      <c r="BT41" s="376">
        <f>EMP!CR40</f>
        <v>0</v>
      </c>
      <c r="BU41" s="376">
        <f t="shared" si="23"/>
        <v>0</v>
      </c>
      <c r="BV41" s="377"/>
      <c r="BW41" s="380" t="str">
        <f t="shared" si="24"/>
        <v/>
      </c>
      <c r="BX41" s="374">
        <f>'EDUCACION PARA LA CIUDADANIA '!CP40</f>
        <v>0</v>
      </c>
      <c r="BY41" s="375">
        <f>'EDUCACION PARA LA CIUDADANIA '!CQ40</f>
        <v>0</v>
      </c>
      <c r="BZ41" s="375">
        <f>'EDUCACION PARA LA CIUDADANIA '!CR40</f>
        <v>0</v>
      </c>
      <c r="CA41" s="375">
        <f t="shared" si="25"/>
        <v>0</v>
      </c>
      <c r="CB41" s="375" t="str">
        <f>'EDUCACION PARA LA CIUDADANIA '!DB40</f>
        <v/>
      </c>
      <c r="CC41" s="380" t="str">
        <f t="shared" si="26"/>
        <v/>
      </c>
      <c r="CD41" s="374">
        <f>'PAQUETES CONTABLES '!CP40</f>
        <v>0</v>
      </c>
      <c r="CE41" s="375">
        <f>'PAQUETES CONTABLES '!CQ40</f>
        <v>0</v>
      </c>
      <c r="CF41" s="375">
        <f>'PAQUETES CONTABLES '!CR40</f>
        <v>0</v>
      </c>
      <c r="CG41" s="375">
        <f t="shared" si="27"/>
        <v>0</v>
      </c>
      <c r="CH41" s="375" t="str">
        <f>'PAQUETES CONTABLES '!DB40</f>
        <v/>
      </c>
      <c r="CI41" s="380" t="str">
        <f t="shared" si="28"/>
        <v/>
      </c>
      <c r="CJ41" s="374">
        <f>'TRIBUTACION '!CP40</f>
        <v>0</v>
      </c>
      <c r="CK41" s="375">
        <f>'TRIBUTACION '!CQ40</f>
        <v>0</v>
      </c>
      <c r="CL41" s="375">
        <f>'TRIBUTACION '!CR40</f>
        <v>0</v>
      </c>
      <c r="CM41" s="375">
        <f t="shared" si="29"/>
        <v>0</v>
      </c>
      <c r="CN41" s="375" t="str">
        <f>'TRIBUTACION '!DB40</f>
        <v/>
      </c>
      <c r="CO41" s="380" t="str">
        <f t="shared" si="30"/>
        <v/>
      </c>
      <c r="CP41" s="61">
        <f t="shared" si="31"/>
        <v>0</v>
      </c>
      <c r="DF41" s="384" t="str">
        <f t="shared" si="32"/>
        <v/>
      </c>
    </row>
    <row r="42" ht="15.75" customHeight="1">
      <c r="A42" s="56">
        <v>30.0</v>
      </c>
      <c r="B42" s="124" t="str">
        <f>'SABANA CALIFICACIONES'!B41</f>
        <v/>
      </c>
      <c r="C42" s="125" t="str">
        <f>'SABANA CALIFICACIONES'!C41</f>
        <v/>
      </c>
      <c r="D42" s="369">
        <f>LEN!CP41</f>
        <v>0</v>
      </c>
      <c r="E42" s="120">
        <f>LEN!CQ41</f>
        <v>0</v>
      </c>
      <c r="F42" s="370">
        <f>LEN!CR41</f>
        <v>0</v>
      </c>
      <c r="G42" s="371">
        <f t="shared" si="1"/>
        <v>0</v>
      </c>
      <c r="H42" s="120" t="str">
        <f>LEN!DB41</f>
        <v/>
      </c>
      <c r="I42" s="372" t="str">
        <f t="shared" si="2"/>
        <v/>
      </c>
      <c r="J42" s="369">
        <f>MATE!CP41</f>
        <v>0</v>
      </c>
      <c r="K42" s="120">
        <f>MATE!CQ41</f>
        <v>0</v>
      </c>
      <c r="L42" s="120">
        <f>MATE!CR41</f>
        <v>0</v>
      </c>
      <c r="M42" s="120">
        <f t="shared" si="3"/>
        <v>0</v>
      </c>
      <c r="N42" s="120" t="str">
        <f>MATE!DB41</f>
        <v/>
      </c>
      <c r="O42" s="370" t="str">
        <f t="shared" si="4"/>
        <v/>
      </c>
      <c r="P42" s="369">
        <f>INGLES!CP41</f>
        <v>0</v>
      </c>
      <c r="Q42" s="120">
        <f>INGLES!CQ41</f>
        <v>0</v>
      </c>
      <c r="R42" s="120">
        <f>INGLES!CR41</f>
        <v>0</v>
      </c>
      <c r="S42" s="120">
        <f t="shared" si="5"/>
        <v>0</v>
      </c>
      <c r="T42" s="120" t="str">
        <f>INGLES!DB41</f>
        <v/>
      </c>
      <c r="U42" s="370" t="str">
        <f t="shared" si="6"/>
        <v/>
      </c>
      <c r="V42" s="369">
        <f>QUIMI!CP41</f>
        <v>0</v>
      </c>
      <c r="W42" s="120">
        <f>QUIMI!CQ41</f>
        <v>0</v>
      </c>
      <c r="X42" s="120">
        <f>QUIMI!CR41</f>
        <v>0</v>
      </c>
      <c r="Y42" s="120">
        <f t="shared" si="7"/>
        <v>0</v>
      </c>
      <c r="Z42" s="120" t="str">
        <f>QUIMI!DB41</f>
        <v/>
      </c>
      <c r="AA42" s="370" t="str">
        <f t="shared" si="8"/>
        <v/>
      </c>
      <c r="AB42" s="369">
        <f>FISICA!CO41</f>
        <v>0</v>
      </c>
      <c r="AC42" s="120">
        <f>FISICA!CP41</f>
        <v>0</v>
      </c>
      <c r="AD42" s="120">
        <f>FISICA!CQ41</f>
        <v>0</v>
      </c>
      <c r="AE42" s="120">
        <f t="shared" si="9"/>
        <v>0</v>
      </c>
      <c r="AF42" s="120" t="str">
        <f>FISICA!DA41</f>
        <v/>
      </c>
      <c r="AG42" s="370" t="str">
        <f t="shared" si="10"/>
        <v/>
      </c>
      <c r="AH42" s="369">
        <f>'ED. FISICA'!CP41</f>
        <v>0</v>
      </c>
      <c r="AI42" s="120">
        <f>'ED. FISICA'!CQ41</f>
        <v>0</v>
      </c>
      <c r="AJ42" s="120">
        <f>'ED. FISICA'!CR41</f>
        <v>0</v>
      </c>
      <c r="AK42" s="120">
        <f t="shared" si="11"/>
        <v>0</v>
      </c>
      <c r="AL42" s="120" t="str">
        <f>'ED. FISICA'!DB41</f>
        <v/>
      </c>
      <c r="AM42" s="370" t="str">
        <f t="shared" si="12"/>
        <v/>
      </c>
      <c r="AN42" s="369">
        <f>'CONTABILIDAD GENERAL '!CP41</f>
        <v>0</v>
      </c>
      <c r="AO42" s="120">
        <f>'CONTABILIDAD GENERAL '!CQ41</f>
        <v>0</v>
      </c>
      <c r="AP42" s="120">
        <f>'CONTABILIDAD GENERAL '!CR41</f>
        <v>0</v>
      </c>
      <c r="AQ42" s="120">
        <f t="shared" si="13"/>
        <v>0</v>
      </c>
      <c r="AR42" s="373" t="str">
        <f>'CONTABILIDAD GENERAL '!DB41</f>
        <v/>
      </c>
      <c r="AS42" s="372" t="str">
        <f t="shared" si="14"/>
        <v/>
      </c>
      <c r="AT42" s="374">
        <f>BIO!CP41</f>
        <v>0</v>
      </c>
      <c r="AU42" s="375">
        <f>BIO!CQ41</f>
        <v>0</v>
      </c>
      <c r="AV42" s="375">
        <f>BIO!CR41</f>
        <v>0</v>
      </c>
      <c r="AW42" s="376">
        <f t="shared" si="15"/>
        <v>0</v>
      </c>
      <c r="AX42" s="375" t="str">
        <f>BIO!DB41</f>
        <v/>
      </c>
      <c r="AY42" s="377" t="str">
        <f t="shared" si="16"/>
        <v/>
      </c>
      <c r="AZ42" s="60">
        <f>HIST!CP41</f>
        <v>0</v>
      </c>
      <c r="BA42" s="60">
        <f>HIST!CQ41</f>
        <v>0</v>
      </c>
      <c r="BB42" s="60">
        <f>HIST!CR41</f>
        <v>0</v>
      </c>
      <c r="BC42" s="378">
        <f t="shared" si="17"/>
        <v>0</v>
      </c>
      <c r="BD42" s="379" t="str">
        <f>HIST!DB41</f>
        <v/>
      </c>
      <c r="BE42" s="377" t="str">
        <f t="shared" si="18"/>
        <v/>
      </c>
      <c r="BF42" s="374">
        <f>'E. C. A '!CP41</f>
        <v>0</v>
      </c>
      <c r="BG42" s="375">
        <f>'E. C. A '!CQ41</f>
        <v>0</v>
      </c>
      <c r="BH42" s="375">
        <f>'E. C. A '!CR41</f>
        <v>0</v>
      </c>
      <c r="BI42" s="375">
        <f t="shared" si="19"/>
        <v>0</v>
      </c>
      <c r="BJ42" s="375" t="str">
        <f>'E. C. A '!DB41</f>
        <v/>
      </c>
      <c r="BK42" s="380" t="str">
        <f t="shared" si="20"/>
        <v/>
      </c>
      <c r="BL42" s="381">
        <f>FILOSOFIA!CP41</f>
        <v>0</v>
      </c>
      <c r="BM42" s="375">
        <f>FILOSOFIA!CQ41</f>
        <v>0</v>
      </c>
      <c r="BN42" s="375">
        <f>FILOSOFIA!CR41</f>
        <v>0</v>
      </c>
      <c r="BO42" s="375">
        <f t="shared" si="21"/>
        <v>0</v>
      </c>
      <c r="BP42" s="375" t="str">
        <f>FILOSOFIA!DB41</f>
        <v/>
      </c>
      <c r="BQ42" s="382" t="str">
        <f t="shared" si="22"/>
        <v/>
      </c>
      <c r="BR42" s="383">
        <f>EMP!CP41</f>
        <v>0</v>
      </c>
      <c r="BS42" s="376">
        <f>EMP!CQ41</f>
        <v>0</v>
      </c>
      <c r="BT42" s="376">
        <f>EMP!CR41</f>
        <v>0</v>
      </c>
      <c r="BU42" s="376">
        <f t="shared" si="23"/>
        <v>0</v>
      </c>
      <c r="BV42" s="377"/>
      <c r="BW42" s="380" t="str">
        <f t="shared" si="24"/>
        <v/>
      </c>
      <c r="BX42" s="374">
        <f>'EDUCACION PARA LA CIUDADANIA '!CP41</f>
        <v>0</v>
      </c>
      <c r="BY42" s="375">
        <f>'EDUCACION PARA LA CIUDADANIA '!CQ41</f>
        <v>0</v>
      </c>
      <c r="BZ42" s="375">
        <f>'EDUCACION PARA LA CIUDADANIA '!CR41</f>
        <v>0</v>
      </c>
      <c r="CA42" s="375">
        <f t="shared" si="25"/>
        <v>0</v>
      </c>
      <c r="CB42" s="375" t="str">
        <f>'EDUCACION PARA LA CIUDADANIA '!DB41</f>
        <v/>
      </c>
      <c r="CC42" s="380" t="str">
        <f t="shared" si="26"/>
        <v/>
      </c>
      <c r="CD42" s="374">
        <f>'PAQUETES CONTABLES '!CP41</f>
        <v>0</v>
      </c>
      <c r="CE42" s="375">
        <f>'PAQUETES CONTABLES '!CQ41</f>
        <v>0</v>
      </c>
      <c r="CF42" s="375">
        <f>'PAQUETES CONTABLES '!CR41</f>
        <v>0</v>
      </c>
      <c r="CG42" s="375">
        <f t="shared" si="27"/>
        <v>0</v>
      </c>
      <c r="CH42" s="375" t="str">
        <f>'PAQUETES CONTABLES '!DB41</f>
        <v/>
      </c>
      <c r="CI42" s="380" t="str">
        <f t="shared" si="28"/>
        <v/>
      </c>
      <c r="CJ42" s="374">
        <f>'TRIBUTACION '!CP41</f>
        <v>0</v>
      </c>
      <c r="CK42" s="375">
        <f>'TRIBUTACION '!CQ41</f>
        <v>0</v>
      </c>
      <c r="CL42" s="375">
        <f>'TRIBUTACION '!CR41</f>
        <v>0</v>
      </c>
      <c r="CM42" s="375">
        <f t="shared" si="29"/>
        <v>0</v>
      </c>
      <c r="CN42" s="375" t="str">
        <f>'TRIBUTACION '!DB41</f>
        <v/>
      </c>
      <c r="CO42" s="380" t="str">
        <f t="shared" si="30"/>
        <v/>
      </c>
      <c r="CP42" s="61">
        <f t="shared" si="31"/>
        <v>0</v>
      </c>
      <c r="DF42" s="384" t="str">
        <f t="shared" si="32"/>
        <v/>
      </c>
    </row>
    <row r="43" ht="15.75" customHeight="1">
      <c r="A43" s="56">
        <v>31.0</v>
      </c>
      <c r="B43" s="124" t="str">
        <f>'SABANA CALIFICACIONES'!B42</f>
        <v/>
      </c>
      <c r="C43" s="125" t="str">
        <f>'SABANA CALIFICACIONES'!C42</f>
        <v/>
      </c>
      <c r="D43" s="369">
        <f>LEN!CP42</f>
        <v>0</v>
      </c>
      <c r="E43" s="120">
        <f>LEN!CQ42</f>
        <v>0</v>
      </c>
      <c r="F43" s="370">
        <f>LEN!CR42</f>
        <v>0</v>
      </c>
      <c r="G43" s="371">
        <f t="shared" si="1"/>
        <v>0</v>
      </c>
      <c r="H43" s="120" t="str">
        <f>LEN!DB42</f>
        <v/>
      </c>
      <c r="I43" s="372" t="str">
        <f t="shared" si="2"/>
        <v/>
      </c>
      <c r="J43" s="369">
        <f>MATE!CP42</f>
        <v>0</v>
      </c>
      <c r="K43" s="120">
        <f>MATE!CQ42</f>
        <v>0</v>
      </c>
      <c r="L43" s="120">
        <f>MATE!CR42</f>
        <v>0</v>
      </c>
      <c r="M43" s="120">
        <f t="shared" si="3"/>
        <v>0</v>
      </c>
      <c r="N43" s="120" t="str">
        <f>MATE!DB42</f>
        <v/>
      </c>
      <c r="O43" s="370" t="str">
        <f t="shared" si="4"/>
        <v/>
      </c>
      <c r="P43" s="369">
        <f>INGLES!CP42</f>
        <v>0</v>
      </c>
      <c r="Q43" s="120">
        <f>INGLES!CQ42</f>
        <v>0</v>
      </c>
      <c r="R43" s="120">
        <f>INGLES!CR42</f>
        <v>0</v>
      </c>
      <c r="S43" s="120">
        <f t="shared" si="5"/>
        <v>0</v>
      </c>
      <c r="T43" s="120" t="str">
        <f>INGLES!DB42</f>
        <v/>
      </c>
      <c r="U43" s="370" t="str">
        <f t="shared" si="6"/>
        <v/>
      </c>
      <c r="V43" s="369">
        <f>QUIMI!CP42</f>
        <v>0</v>
      </c>
      <c r="W43" s="120">
        <f>QUIMI!CQ42</f>
        <v>0</v>
      </c>
      <c r="X43" s="120">
        <f>QUIMI!CR42</f>
        <v>0</v>
      </c>
      <c r="Y43" s="120">
        <f t="shared" si="7"/>
        <v>0</v>
      </c>
      <c r="Z43" s="120" t="str">
        <f>QUIMI!DB42</f>
        <v/>
      </c>
      <c r="AA43" s="370" t="str">
        <f t="shared" si="8"/>
        <v/>
      </c>
      <c r="AB43" s="369">
        <f>FISICA!CO42</f>
        <v>0</v>
      </c>
      <c r="AC43" s="120">
        <f>FISICA!CP42</f>
        <v>0</v>
      </c>
      <c r="AD43" s="120">
        <f>FISICA!CQ42</f>
        <v>0</v>
      </c>
      <c r="AE43" s="120">
        <f t="shared" si="9"/>
        <v>0</v>
      </c>
      <c r="AF43" s="120" t="str">
        <f>FISICA!DA42</f>
        <v/>
      </c>
      <c r="AG43" s="370" t="str">
        <f t="shared" si="10"/>
        <v/>
      </c>
      <c r="AH43" s="369">
        <f>'ED. FISICA'!CP42</f>
        <v>0</v>
      </c>
      <c r="AI43" s="120">
        <f>'ED. FISICA'!CQ42</f>
        <v>0</v>
      </c>
      <c r="AJ43" s="120">
        <f>'ED. FISICA'!CR42</f>
        <v>0</v>
      </c>
      <c r="AK43" s="120">
        <f t="shared" si="11"/>
        <v>0</v>
      </c>
      <c r="AL43" s="120" t="str">
        <f>'ED. FISICA'!DB42</f>
        <v/>
      </c>
      <c r="AM43" s="370" t="str">
        <f t="shared" si="12"/>
        <v/>
      </c>
      <c r="AN43" s="369">
        <f>'CONTABILIDAD GENERAL '!CP42</f>
        <v>0</v>
      </c>
      <c r="AO43" s="120">
        <f>'CONTABILIDAD GENERAL '!CQ42</f>
        <v>0</v>
      </c>
      <c r="AP43" s="120">
        <f>'CONTABILIDAD GENERAL '!CR42</f>
        <v>0</v>
      </c>
      <c r="AQ43" s="120">
        <f t="shared" si="13"/>
        <v>0</v>
      </c>
      <c r="AR43" s="373" t="str">
        <f>'CONTABILIDAD GENERAL '!DB42</f>
        <v/>
      </c>
      <c r="AS43" s="372" t="str">
        <f t="shared" si="14"/>
        <v/>
      </c>
      <c r="AT43" s="374">
        <f>BIO!CP42</f>
        <v>0</v>
      </c>
      <c r="AU43" s="375">
        <f>BIO!CQ42</f>
        <v>0</v>
      </c>
      <c r="AV43" s="375">
        <f>BIO!CR42</f>
        <v>0</v>
      </c>
      <c r="AW43" s="376">
        <f t="shared" si="15"/>
        <v>0</v>
      </c>
      <c r="AX43" s="375" t="str">
        <f>BIO!DB42</f>
        <v/>
      </c>
      <c r="AY43" s="377" t="str">
        <f t="shared" si="16"/>
        <v/>
      </c>
      <c r="AZ43" s="60">
        <f>HIST!CP42</f>
        <v>0</v>
      </c>
      <c r="BA43" s="60">
        <f>HIST!CQ42</f>
        <v>0</v>
      </c>
      <c r="BB43" s="60">
        <f>HIST!CR42</f>
        <v>0</v>
      </c>
      <c r="BC43" s="378">
        <f t="shared" si="17"/>
        <v>0</v>
      </c>
      <c r="BD43" s="379" t="str">
        <f>HIST!DB42</f>
        <v/>
      </c>
      <c r="BE43" s="377" t="str">
        <f t="shared" si="18"/>
        <v/>
      </c>
      <c r="BF43" s="374">
        <f>'E. C. A '!CP42</f>
        <v>0</v>
      </c>
      <c r="BG43" s="375">
        <f>'E. C. A '!CQ42</f>
        <v>0</v>
      </c>
      <c r="BH43" s="375">
        <f>'E. C. A '!CR42</f>
        <v>0</v>
      </c>
      <c r="BI43" s="375">
        <f t="shared" si="19"/>
        <v>0</v>
      </c>
      <c r="BJ43" s="375" t="str">
        <f>'E. C. A '!DB42</f>
        <v/>
      </c>
      <c r="BK43" s="380" t="str">
        <f t="shared" si="20"/>
        <v/>
      </c>
      <c r="BL43" s="381">
        <f>FILOSOFIA!CP42</f>
        <v>0</v>
      </c>
      <c r="BM43" s="375">
        <f>FILOSOFIA!CQ42</f>
        <v>0</v>
      </c>
      <c r="BN43" s="375">
        <f>FILOSOFIA!CR42</f>
        <v>0</v>
      </c>
      <c r="BO43" s="375">
        <f t="shared" si="21"/>
        <v>0</v>
      </c>
      <c r="BP43" s="375" t="str">
        <f>FILOSOFIA!DB42</f>
        <v/>
      </c>
      <c r="BQ43" s="382" t="str">
        <f t="shared" si="22"/>
        <v/>
      </c>
      <c r="BR43" s="383">
        <f>EMP!CP42</f>
        <v>0</v>
      </c>
      <c r="BS43" s="376">
        <f>EMP!CQ42</f>
        <v>0</v>
      </c>
      <c r="BT43" s="376">
        <f>EMP!CR42</f>
        <v>0</v>
      </c>
      <c r="BU43" s="376">
        <f t="shared" si="23"/>
        <v>0</v>
      </c>
      <c r="BV43" s="377"/>
      <c r="BW43" s="380" t="str">
        <f t="shared" si="24"/>
        <v/>
      </c>
      <c r="BX43" s="374">
        <f>'EDUCACION PARA LA CIUDADANIA '!CP42</f>
        <v>0</v>
      </c>
      <c r="BY43" s="375">
        <f>'EDUCACION PARA LA CIUDADANIA '!CQ42</f>
        <v>0</v>
      </c>
      <c r="BZ43" s="375">
        <f>'EDUCACION PARA LA CIUDADANIA '!CR42</f>
        <v>0</v>
      </c>
      <c r="CA43" s="375">
        <f t="shared" si="25"/>
        <v>0</v>
      </c>
      <c r="CB43" s="375" t="str">
        <f>'EDUCACION PARA LA CIUDADANIA '!DB42</f>
        <v/>
      </c>
      <c r="CC43" s="380" t="str">
        <f t="shared" si="26"/>
        <v/>
      </c>
      <c r="CD43" s="374">
        <f>'PAQUETES CONTABLES '!CP42</f>
        <v>0</v>
      </c>
      <c r="CE43" s="375">
        <f>'PAQUETES CONTABLES '!CQ42</f>
        <v>0</v>
      </c>
      <c r="CF43" s="375">
        <f>'PAQUETES CONTABLES '!CR42</f>
        <v>0</v>
      </c>
      <c r="CG43" s="375">
        <f t="shared" si="27"/>
        <v>0</v>
      </c>
      <c r="CH43" s="375" t="str">
        <f>'PAQUETES CONTABLES '!DB42</f>
        <v/>
      </c>
      <c r="CI43" s="380" t="str">
        <f t="shared" si="28"/>
        <v/>
      </c>
      <c r="CJ43" s="374">
        <f>'TRIBUTACION '!CP42</f>
        <v>0</v>
      </c>
      <c r="CK43" s="375">
        <f>'TRIBUTACION '!CQ42</f>
        <v>0</v>
      </c>
      <c r="CL43" s="375">
        <f>'TRIBUTACION '!CR42</f>
        <v>0</v>
      </c>
      <c r="CM43" s="375">
        <f t="shared" si="29"/>
        <v>0</v>
      </c>
      <c r="CN43" s="375" t="str">
        <f>'TRIBUTACION '!DB42</f>
        <v/>
      </c>
      <c r="CO43" s="380" t="str">
        <f t="shared" si="30"/>
        <v/>
      </c>
      <c r="CP43" s="61">
        <f t="shared" si="31"/>
        <v>0</v>
      </c>
      <c r="DF43" s="384"/>
    </row>
    <row r="44" ht="15.75" customHeight="1">
      <c r="A44" s="56">
        <v>32.0</v>
      </c>
      <c r="B44" s="124" t="str">
        <f>'SABANA CALIFICACIONES'!B43</f>
        <v/>
      </c>
      <c r="C44" s="125" t="str">
        <f>'SABANA CALIFICACIONES'!C43</f>
        <v/>
      </c>
      <c r="D44" s="369">
        <f>LEN!CP43</f>
        <v>0</v>
      </c>
      <c r="E44" s="120">
        <f>LEN!CQ43</f>
        <v>0</v>
      </c>
      <c r="F44" s="370">
        <f>LEN!CR43</f>
        <v>0</v>
      </c>
      <c r="G44" s="371">
        <f t="shared" si="1"/>
        <v>0</v>
      </c>
      <c r="H44" s="120" t="str">
        <f>LEN!DB43</f>
        <v/>
      </c>
      <c r="I44" s="372" t="str">
        <f t="shared" si="2"/>
        <v/>
      </c>
      <c r="J44" s="369">
        <f>MATE!CP43</f>
        <v>0</v>
      </c>
      <c r="K44" s="120">
        <f>MATE!CQ43</f>
        <v>0</v>
      </c>
      <c r="L44" s="120">
        <f>MATE!CR43</f>
        <v>0</v>
      </c>
      <c r="M44" s="120">
        <f t="shared" si="3"/>
        <v>0</v>
      </c>
      <c r="N44" s="120" t="str">
        <f>MATE!DB43</f>
        <v/>
      </c>
      <c r="O44" s="370" t="str">
        <f t="shared" si="4"/>
        <v/>
      </c>
      <c r="P44" s="369">
        <f>INGLES!CP43</f>
        <v>0</v>
      </c>
      <c r="Q44" s="120">
        <f>INGLES!CQ43</f>
        <v>0</v>
      </c>
      <c r="R44" s="120">
        <f>INGLES!CR43</f>
        <v>0</v>
      </c>
      <c r="S44" s="120">
        <f t="shared" si="5"/>
        <v>0</v>
      </c>
      <c r="T44" s="120" t="str">
        <f>INGLES!DB43</f>
        <v/>
      </c>
      <c r="U44" s="370" t="str">
        <f t="shared" si="6"/>
        <v/>
      </c>
      <c r="V44" s="369">
        <f>QUIMI!CP43</f>
        <v>0</v>
      </c>
      <c r="W44" s="120">
        <f>QUIMI!CQ43</f>
        <v>0</v>
      </c>
      <c r="X44" s="120">
        <f>QUIMI!CR43</f>
        <v>0</v>
      </c>
      <c r="Y44" s="120">
        <f t="shared" si="7"/>
        <v>0</v>
      </c>
      <c r="Z44" s="120" t="str">
        <f>QUIMI!DB43</f>
        <v/>
      </c>
      <c r="AA44" s="370" t="str">
        <f t="shared" si="8"/>
        <v/>
      </c>
      <c r="AB44" s="369">
        <f>FISICA!CO43</f>
        <v>0</v>
      </c>
      <c r="AC44" s="120">
        <f>FISICA!CP43</f>
        <v>0</v>
      </c>
      <c r="AD44" s="120">
        <f>FISICA!CQ43</f>
        <v>0</v>
      </c>
      <c r="AE44" s="120">
        <f t="shared" si="9"/>
        <v>0</v>
      </c>
      <c r="AF44" s="120" t="str">
        <f>FISICA!DA43</f>
        <v/>
      </c>
      <c r="AG44" s="370" t="str">
        <f t="shared" si="10"/>
        <v/>
      </c>
      <c r="AH44" s="369">
        <f>'ED. FISICA'!CP43</f>
        <v>0</v>
      </c>
      <c r="AI44" s="120">
        <f>'ED. FISICA'!CQ43</f>
        <v>0</v>
      </c>
      <c r="AJ44" s="120">
        <f>'ED. FISICA'!CR43</f>
        <v>0</v>
      </c>
      <c r="AK44" s="120">
        <f t="shared" si="11"/>
        <v>0</v>
      </c>
      <c r="AL44" s="120" t="str">
        <f>'ED. FISICA'!DB43</f>
        <v/>
      </c>
      <c r="AM44" s="370" t="str">
        <f t="shared" si="12"/>
        <v/>
      </c>
      <c r="AN44" s="369">
        <f>'CONTABILIDAD GENERAL '!CP43</f>
        <v>0</v>
      </c>
      <c r="AO44" s="120">
        <f>'CONTABILIDAD GENERAL '!CQ43</f>
        <v>0</v>
      </c>
      <c r="AP44" s="120">
        <f>'CONTABILIDAD GENERAL '!CR43</f>
        <v>0</v>
      </c>
      <c r="AQ44" s="120">
        <f t="shared" si="13"/>
        <v>0</v>
      </c>
      <c r="AR44" s="373" t="str">
        <f>'CONTABILIDAD GENERAL '!DB43</f>
        <v/>
      </c>
      <c r="AS44" s="372" t="str">
        <f t="shared" si="14"/>
        <v/>
      </c>
      <c r="AT44" s="374">
        <f>BIO!CP43</f>
        <v>0</v>
      </c>
      <c r="AU44" s="375">
        <f>BIO!CQ43</f>
        <v>0</v>
      </c>
      <c r="AV44" s="375">
        <f>BIO!CR43</f>
        <v>0</v>
      </c>
      <c r="AW44" s="376">
        <f t="shared" si="15"/>
        <v>0</v>
      </c>
      <c r="AX44" s="375" t="str">
        <f>BIO!DB43</f>
        <v/>
      </c>
      <c r="AY44" s="377" t="str">
        <f t="shared" si="16"/>
        <v/>
      </c>
      <c r="AZ44" s="60">
        <f>HIST!CP43</f>
        <v>0</v>
      </c>
      <c r="BA44" s="60">
        <f>HIST!CQ43</f>
        <v>0</v>
      </c>
      <c r="BB44" s="60">
        <f>HIST!CR43</f>
        <v>0</v>
      </c>
      <c r="BC44" s="378">
        <f t="shared" si="17"/>
        <v>0</v>
      </c>
      <c r="BD44" s="379" t="str">
        <f>HIST!DB43</f>
        <v/>
      </c>
      <c r="BE44" s="377" t="str">
        <f t="shared" si="18"/>
        <v/>
      </c>
      <c r="BF44" s="374">
        <f>'E. C. A '!CP43</f>
        <v>0</v>
      </c>
      <c r="BG44" s="375">
        <f>'E. C. A '!CQ43</f>
        <v>0</v>
      </c>
      <c r="BH44" s="375">
        <f>'E. C. A '!CR43</f>
        <v>0</v>
      </c>
      <c r="BI44" s="375">
        <f t="shared" si="19"/>
        <v>0</v>
      </c>
      <c r="BJ44" s="375" t="str">
        <f>'E. C. A '!DB43</f>
        <v/>
      </c>
      <c r="BK44" s="380" t="str">
        <f t="shared" si="20"/>
        <v/>
      </c>
      <c r="BL44" s="381">
        <f>FILOSOFIA!CP43</f>
        <v>0</v>
      </c>
      <c r="BM44" s="375">
        <f>FILOSOFIA!CQ43</f>
        <v>0</v>
      </c>
      <c r="BN44" s="375">
        <f>FILOSOFIA!CR43</f>
        <v>0</v>
      </c>
      <c r="BO44" s="375">
        <f t="shared" si="21"/>
        <v>0</v>
      </c>
      <c r="BP44" s="375" t="str">
        <f>FILOSOFIA!DB43</f>
        <v/>
      </c>
      <c r="BQ44" s="382" t="str">
        <f t="shared" si="22"/>
        <v/>
      </c>
      <c r="BR44" s="383">
        <f>EMP!CP43</f>
        <v>0</v>
      </c>
      <c r="BS44" s="376">
        <f>EMP!CQ43</f>
        <v>0</v>
      </c>
      <c r="BT44" s="376">
        <f>EMP!CR43</f>
        <v>0</v>
      </c>
      <c r="BU44" s="376">
        <f t="shared" si="23"/>
        <v>0</v>
      </c>
      <c r="BV44" s="377"/>
      <c r="BW44" s="380" t="str">
        <f t="shared" si="24"/>
        <v/>
      </c>
      <c r="BX44" s="374">
        <f>'EDUCACION PARA LA CIUDADANIA '!CP43</f>
        <v>0</v>
      </c>
      <c r="BY44" s="375">
        <f>'EDUCACION PARA LA CIUDADANIA '!CQ43</f>
        <v>0</v>
      </c>
      <c r="BZ44" s="375">
        <f>'EDUCACION PARA LA CIUDADANIA '!CR43</f>
        <v>0</v>
      </c>
      <c r="CA44" s="375">
        <f t="shared" si="25"/>
        <v>0</v>
      </c>
      <c r="CB44" s="375" t="str">
        <f>'EDUCACION PARA LA CIUDADANIA '!DB43</f>
        <v/>
      </c>
      <c r="CC44" s="380" t="str">
        <f t="shared" si="26"/>
        <v/>
      </c>
      <c r="CD44" s="374">
        <f>'PAQUETES CONTABLES '!CP43</f>
        <v>0</v>
      </c>
      <c r="CE44" s="375">
        <f>'PAQUETES CONTABLES '!CQ43</f>
        <v>0</v>
      </c>
      <c r="CF44" s="375">
        <f>'PAQUETES CONTABLES '!CR43</f>
        <v>0</v>
      </c>
      <c r="CG44" s="375">
        <f t="shared" si="27"/>
        <v>0</v>
      </c>
      <c r="CH44" s="375" t="str">
        <f>'PAQUETES CONTABLES '!DB43</f>
        <v/>
      </c>
      <c r="CI44" s="380" t="str">
        <f t="shared" si="28"/>
        <v/>
      </c>
      <c r="CJ44" s="374">
        <f>'TRIBUTACION '!CP43</f>
        <v>0</v>
      </c>
      <c r="CK44" s="375">
        <f>'TRIBUTACION '!CQ43</f>
        <v>0</v>
      </c>
      <c r="CL44" s="375">
        <f>'TRIBUTACION '!CR43</f>
        <v>0</v>
      </c>
      <c r="CM44" s="375">
        <f t="shared" si="29"/>
        <v>0</v>
      </c>
      <c r="CN44" s="375" t="str">
        <f>'TRIBUTACION '!DB43</f>
        <v/>
      </c>
      <c r="CO44" s="380" t="str">
        <f t="shared" si="30"/>
        <v/>
      </c>
      <c r="CP44" s="61">
        <f t="shared" si="31"/>
        <v>0</v>
      </c>
      <c r="DF44" s="384"/>
    </row>
    <row r="45" ht="15.75" customHeight="1">
      <c r="A45" s="56">
        <v>33.0</v>
      </c>
      <c r="B45" s="124" t="str">
        <f>'SABANA CALIFICACIONES'!B44</f>
        <v/>
      </c>
      <c r="C45" s="125" t="str">
        <f>'SABANA CALIFICACIONES'!C44</f>
        <v/>
      </c>
      <c r="D45" s="369">
        <f>LEN!CP44</f>
        <v>0</v>
      </c>
      <c r="E45" s="120">
        <f>LEN!CQ44</f>
        <v>0</v>
      </c>
      <c r="F45" s="370">
        <f>LEN!CR44</f>
        <v>0</v>
      </c>
      <c r="G45" s="371">
        <f t="shared" si="1"/>
        <v>0</v>
      </c>
      <c r="H45" s="120" t="str">
        <f>LEN!DB44</f>
        <v/>
      </c>
      <c r="I45" s="372" t="str">
        <f t="shared" si="2"/>
        <v/>
      </c>
      <c r="J45" s="369">
        <f>MATE!CP44</f>
        <v>0</v>
      </c>
      <c r="K45" s="120">
        <f>MATE!CQ44</f>
        <v>0</v>
      </c>
      <c r="L45" s="120">
        <f>MATE!CR44</f>
        <v>0</v>
      </c>
      <c r="M45" s="120">
        <f t="shared" si="3"/>
        <v>0</v>
      </c>
      <c r="N45" s="120" t="str">
        <f>MATE!DB44</f>
        <v/>
      </c>
      <c r="O45" s="370" t="str">
        <f t="shared" si="4"/>
        <v/>
      </c>
      <c r="P45" s="369">
        <f>INGLES!CP44</f>
        <v>0</v>
      </c>
      <c r="Q45" s="120">
        <f>INGLES!CQ44</f>
        <v>0</v>
      </c>
      <c r="R45" s="120">
        <f>INGLES!CR44</f>
        <v>0</v>
      </c>
      <c r="S45" s="120">
        <f t="shared" si="5"/>
        <v>0</v>
      </c>
      <c r="T45" s="120" t="str">
        <f>INGLES!DB44</f>
        <v/>
      </c>
      <c r="U45" s="370" t="str">
        <f t="shared" si="6"/>
        <v/>
      </c>
      <c r="V45" s="369">
        <f>QUIMI!CP44</f>
        <v>0</v>
      </c>
      <c r="W45" s="120">
        <f>QUIMI!CQ44</f>
        <v>0</v>
      </c>
      <c r="X45" s="120">
        <f>QUIMI!CR44</f>
        <v>0</v>
      </c>
      <c r="Y45" s="120">
        <f t="shared" si="7"/>
        <v>0</v>
      </c>
      <c r="Z45" s="120" t="str">
        <f>QUIMI!DB44</f>
        <v/>
      </c>
      <c r="AA45" s="370" t="str">
        <f t="shared" si="8"/>
        <v/>
      </c>
      <c r="AB45" s="369">
        <f>FISICA!CO44</f>
        <v>0</v>
      </c>
      <c r="AC45" s="120">
        <f>FISICA!CP44</f>
        <v>0</v>
      </c>
      <c r="AD45" s="120">
        <f>FISICA!CQ44</f>
        <v>0</v>
      </c>
      <c r="AE45" s="120">
        <f t="shared" si="9"/>
        <v>0</v>
      </c>
      <c r="AF45" s="120" t="str">
        <f>FISICA!DA44</f>
        <v/>
      </c>
      <c r="AG45" s="370" t="str">
        <f t="shared" si="10"/>
        <v/>
      </c>
      <c r="AH45" s="369">
        <f>'ED. FISICA'!CP44</f>
        <v>0</v>
      </c>
      <c r="AI45" s="120">
        <f>'ED. FISICA'!CQ44</f>
        <v>0</v>
      </c>
      <c r="AJ45" s="120">
        <f>'ED. FISICA'!CR44</f>
        <v>0</v>
      </c>
      <c r="AK45" s="120">
        <f t="shared" si="11"/>
        <v>0</v>
      </c>
      <c r="AL45" s="120" t="str">
        <f>'ED. FISICA'!DB44</f>
        <v/>
      </c>
      <c r="AM45" s="370" t="str">
        <f t="shared" si="12"/>
        <v/>
      </c>
      <c r="AN45" s="369">
        <f>'CONTABILIDAD GENERAL '!CP44</f>
        <v>0</v>
      </c>
      <c r="AO45" s="120">
        <f>'CONTABILIDAD GENERAL '!CQ44</f>
        <v>0</v>
      </c>
      <c r="AP45" s="120">
        <f>'CONTABILIDAD GENERAL '!CR44</f>
        <v>0</v>
      </c>
      <c r="AQ45" s="120">
        <f t="shared" si="13"/>
        <v>0</v>
      </c>
      <c r="AR45" s="373" t="str">
        <f>'CONTABILIDAD GENERAL '!DB44</f>
        <v/>
      </c>
      <c r="AS45" s="372" t="str">
        <f t="shared" si="14"/>
        <v/>
      </c>
      <c r="AT45" s="374">
        <f>BIO!CP44</f>
        <v>0</v>
      </c>
      <c r="AU45" s="375">
        <f>BIO!CQ44</f>
        <v>0</v>
      </c>
      <c r="AV45" s="375">
        <f>BIO!CR44</f>
        <v>0</v>
      </c>
      <c r="AW45" s="376">
        <f t="shared" si="15"/>
        <v>0</v>
      </c>
      <c r="AX45" s="375" t="str">
        <f>BIO!DB44</f>
        <v/>
      </c>
      <c r="AY45" s="377" t="str">
        <f t="shared" si="16"/>
        <v/>
      </c>
      <c r="AZ45" s="60">
        <f>HIST!CP44</f>
        <v>0</v>
      </c>
      <c r="BA45" s="60">
        <f>HIST!CQ44</f>
        <v>0</v>
      </c>
      <c r="BB45" s="60">
        <f>HIST!CR44</f>
        <v>0</v>
      </c>
      <c r="BC45" s="378">
        <f t="shared" si="17"/>
        <v>0</v>
      </c>
      <c r="BD45" s="379" t="str">
        <f>HIST!DB44</f>
        <v/>
      </c>
      <c r="BE45" s="377" t="str">
        <f t="shared" si="18"/>
        <v/>
      </c>
      <c r="BF45" s="374">
        <f>'E. C. A '!CP44</f>
        <v>0</v>
      </c>
      <c r="BG45" s="375">
        <f>'E. C. A '!CQ44</f>
        <v>0</v>
      </c>
      <c r="BH45" s="375">
        <f>'E. C. A '!CR44</f>
        <v>0</v>
      </c>
      <c r="BI45" s="375">
        <f t="shared" si="19"/>
        <v>0</v>
      </c>
      <c r="BJ45" s="375" t="str">
        <f>'E. C. A '!DB44</f>
        <v/>
      </c>
      <c r="BK45" s="380" t="str">
        <f t="shared" si="20"/>
        <v/>
      </c>
      <c r="BL45" s="381">
        <f>FILOSOFIA!CP44</f>
        <v>0</v>
      </c>
      <c r="BM45" s="375">
        <f>FILOSOFIA!CQ44</f>
        <v>0</v>
      </c>
      <c r="BN45" s="375">
        <f>FILOSOFIA!CR44</f>
        <v>0</v>
      </c>
      <c r="BO45" s="375">
        <f t="shared" si="21"/>
        <v>0</v>
      </c>
      <c r="BP45" s="375" t="str">
        <f>FILOSOFIA!DB44</f>
        <v/>
      </c>
      <c r="BQ45" s="382" t="str">
        <f t="shared" si="22"/>
        <v/>
      </c>
      <c r="BR45" s="383">
        <f>EMP!CP44</f>
        <v>0</v>
      </c>
      <c r="BS45" s="376">
        <f>EMP!CQ44</f>
        <v>0</v>
      </c>
      <c r="BT45" s="376">
        <f>EMP!CR44</f>
        <v>0</v>
      </c>
      <c r="BU45" s="376">
        <f t="shared" si="23"/>
        <v>0</v>
      </c>
      <c r="BV45" s="377"/>
      <c r="BW45" s="380" t="str">
        <f t="shared" si="24"/>
        <v/>
      </c>
      <c r="BX45" s="374">
        <f>'EDUCACION PARA LA CIUDADANIA '!CP44</f>
        <v>0</v>
      </c>
      <c r="BY45" s="375">
        <f>'EDUCACION PARA LA CIUDADANIA '!CQ44</f>
        <v>0</v>
      </c>
      <c r="BZ45" s="375">
        <f>'EDUCACION PARA LA CIUDADANIA '!CR44</f>
        <v>0</v>
      </c>
      <c r="CA45" s="375">
        <f t="shared" si="25"/>
        <v>0</v>
      </c>
      <c r="CB45" s="375" t="str">
        <f>'EDUCACION PARA LA CIUDADANIA '!DB44</f>
        <v/>
      </c>
      <c r="CC45" s="380" t="str">
        <f t="shared" si="26"/>
        <v/>
      </c>
      <c r="CD45" s="374">
        <f>'PAQUETES CONTABLES '!CP44</f>
        <v>0</v>
      </c>
      <c r="CE45" s="375">
        <f>'PAQUETES CONTABLES '!CQ44</f>
        <v>0</v>
      </c>
      <c r="CF45" s="375">
        <f>'PAQUETES CONTABLES '!CR44</f>
        <v>0</v>
      </c>
      <c r="CG45" s="375">
        <f t="shared" si="27"/>
        <v>0</v>
      </c>
      <c r="CH45" s="375" t="str">
        <f>'PAQUETES CONTABLES '!DB44</f>
        <v/>
      </c>
      <c r="CI45" s="380" t="str">
        <f t="shared" si="28"/>
        <v/>
      </c>
      <c r="CJ45" s="374">
        <f>'TRIBUTACION '!CP44</f>
        <v>0</v>
      </c>
      <c r="CK45" s="375">
        <f>'TRIBUTACION '!CQ44</f>
        <v>0</v>
      </c>
      <c r="CL45" s="375">
        <f>'TRIBUTACION '!CR44</f>
        <v>0</v>
      </c>
      <c r="CM45" s="375">
        <f t="shared" si="29"/>
        <v>0</v>
      </c>
      <c r="CN45" s="375" t="str">
        <f>'TRIBUTACION '!DB44</f>
        <v/>
      </c>
      <c r="CO45" s="380" t="str">
        <f t="shared" si="30"/>
        <v/>
      </c>
      <c r="CP45" s="61">
        <f t="shared" si="31"/>
        <v>0</v>
      </c>
      <c r="DF45" s="384"/>
    </row>
    <row r="46" ht="15.75" customHeight="1">
      <c r="A46" s="56">
        <v>34.0</v>
      </c>
      <c r="B46" s="124" t="str">
        <f>'SABANA CALIFICACIONES'!B45</f>
        <v/>
      </c>
      <c r="C46" s="125" t="str">
        <f>'SABANA CALIFICACIONES'!C45</f>
        <v/>
      </c>
      <c r="D46" s="369">
        <f>LEN!CP45</f>
        <v>0</v>
      </c>
      <c r="E46" s="120">
        <f>LEN!CQ45</f>
        <v>0</v>
      </c>
      <c r="F46" s="370">
        <f>LEN!CR45</f>
        <v>0</v>
      </c>
      <c r="G46" s="371">
        <f t="shared" si="1"/>
        <v>0</v>
      </c>
      <c r="H46" s="120" t="str">
        <f>LEN!DB45</f>
        <v/>
      </c>
      <c r="I46" s="372" t="str">
        <f t="shared" si="2"/>
        <v/>
      </c>
      <c r="J46" s="369">
        <f>MATE!CP45</f>
        <v>0</v>
      </c>
      <c r="K46" s="120">
        <f>MATE!CQ45</f>
        <v>0</v>
      </c>
      <c r="L46" s="120">
        <f>MATE!CR45</f>
        <v>0</v>
      </c>
      <c r="M46" s="120">
        <f t="shared" si="3"/>
        <v>0</v>
      </c>
      <c r="N46" s="120" t="str">
        <f>MATE!DB45</f>
        <v/>
      </c>
      <c r="O46" s="370" t="str">
        <f t="shared" si="4"/>
        <v/>
      </c>
      <c r="P46" s="369">
        <f>INGLES!CP45</f>
        <v>0</v>
      </c>
      <c r="Q46" s="120">
        <f>INGLES!CQ45</f>
        <v>0</v>
      </c>
      <c r="R46" s="120">
        <f>INGLES!CR45</f>
        <v>0</v>
      </c>
      <c r="S46" s="120">
        <f t="shared" si="5"/>
        <v>0</v>
      </c>
      <c r="T46" s="120" t="str">
        <f>INGLES!DB45</f>
        <v/>
      </c>
      <c r="U46" s="370" t="str">
        <f t="shared" si="6"/>
        <v/>
      </c>
      <c r="V46" s="369">
        <f>QUIMI!CP45</f>
        <v>0</v>
      </c>
      <c r="W46" s="120">
        <f>QUIMI!CQ45</f>
        <v>0</v>
      </c>
      <c r="X46" s="120">
        <f>QUIMI!CR45</f>
        <v>0</v>
      </c>
      <c r="Y46" s="120">
        <f t="shared" si="7"/>
        <v>0</v>
      </c>
      <c r="Z46" s="120" t="str">
        <f>QUIMI!DB45</f>
        <v/>
      </c>
      <c r="AA46" s="370" t="str">
        <f t="shared" si="8"/>
        <v/>
      </c>
      <c r="AB46" s="369">
        <f>FISICA!CO45</f>
        <v>0</v>
      </c>
      <c r="AC46" s="120">
        <f>FISICA!CP45</f>
        <v>0</v>
      </c>
      <c r="AD46" s="120">
        <f>FISICA!CQ45</f>
        <v>0</v>
      </c>
      <c r="AE46" s="120">
        <f t="shared" si="9"/>
        <v>0</v>
      </c>
      <c r="AF46" s="120" t="str">
        <f>FISICA!DA45</f>
        <v/>
      </c>
      <c r="AG46" s="370" t="str">
        <f t="shared" si="10"/>
        <v/>
      </c>
      <c r="AH46" s="369">
        <f>'ED. FISICA'!CP45</f>
        <v>0</v>
      </c>
      <c r="AI46" s="120">
        <f>'ED. FISICA'!CQ45</f>
        <v>0</v>
      </c>
      <c r="AJ46" s="120">
        <f>'ED. FISICA'!CR45</f>
        <v>0</v>
      </c>
      <c r="AK46" s="120">
        <f t="shared" si="11"/>
        <v>0</v>
      </c>
      <c r="AL46" s="120" t="str">
        <f>'ED. FISICA'!DB45</f>
        <v/>
      </c>
      <c r="AM46" s="370" t="str">
        <f t="shared" si="12"/>
        <v/>
      </c>
      <c r="AN46" s="369">
        <f>'CONTABILIDAD GENERAL '!CP45</f>
        <v>0</v>
      </c>
      <c r="AO46" s="120">
        <f>'CONTABILIDAD GENERAL '!CQ45</f>
        <v>0</v>
      </c>
      <c r="AP46" s="120">
        <f>'CONTABILIDAD GENERAL '!CR45</f>
        <v>0</v>
      </c>
      <c r="AQ46" s="120">
        <f t="shared" si="13"/>
        <v>0</v>
      </c>
      <c r="AR46" s="373" t="str">
        <f>'CONTABILIDAD GENERAL '!DB45</f>
        <v/>
      </c>
      <c r="AS46" s="372" t="str">
        <f t="shared" si="14"/>
        <v/>
      </c>
      <c r="AT46" s="374">
        <f>BIO!CP45</f>
        <v>0</v>
      </c>
      <c r="AU46" s="375">
        <f>BIO!CQ45</f>
        <v>0</v>
      </c>
      <c r="AV46" s="375">
        <f>BIO!CR45</f>
        <v>0</v>
      </c>
      <c r="AW46" s="376">
        <f t="shared" si="15"/>
        <v>0</v>
      </c>
      <c r="AX46" s="375" t="str">
        <f>BIO!DB45</f>
        <v/>
      </c>
      <c r="AY46" s="377" t="str">
        <f t="shared" si="16"/>
        <v/>
      </c>
      <c r="AZ46" s="60">
        <f>HIST!CP45</f>
        <v>0</v>
      </c>
      <c r="BA46" s="60">
        <f>HIST!CQ45</f>
        <v>0</v>
      </c>
      <c r="BB46" s="60">
        <f>HIST!CR45</f>
        <v>0</v>
      </c>
      <c r="BC46" s="378">
        <f t="shared" si="17"/>
        <v>0</v>
      </c>
      <c r="BD46" s="379" t="str">
        <f>HIST!DB45</f>
        <v/>
      </c>
      <c r="BE46" s="377" t="str">
        <f t="shared" si="18"/>
        <v/>
      </c>
      <c r="BF46" s="374">
        <f>'E. C. A '!CP45</f>
        <v>0</v>
      </c>
      <c r="BG46" s="375">
        <f>'E. C. A '!CQ45</f>
        <v>0</v>
      </c>
      <c r="BH46" s="375">
        <f>'E. C. A '!CR45</f>
        <v>0</v>
      </c>
      <c r="BI46" s="375">
        <f t="shared" si="19"/>
        <v>0</v>
      </c>
      <c r="BJ46" s="375" t="str">
        <f>'E. C. A '!DB45</f>
        <v/>
      </c>
      <c r="BK46" s="380" t="str">
        <f t="shared" si="20"/>
        <v/>
      </c>
      <c r="BL46" s="381">
        <f>FILOSOFIA!CP45</f>
        <v>0</v>
      </c>
      <c r="BM46" s="375">
        <f>FILOSOFIA!CQ45</f>
        <v>0</v>
      </c>
      <c r="BN46" s="375">
        <f>FILOSOFIA!CR45</f>
        <v>0</v>
      </c>
      <c r="BO46" s="375">
        <f t="shared" si="21"/>
        <v>0</v>
      </c>
      <c r="BP46" s="375" t="str">
        <f>FILOSOFIA!DB45</f>
        <v/>
      </c>
      <c r="BQ46" s="382" t="str">
        <f t="shared" si="22"/>
        <v/>
      </c>
      <c r="BR46" s="383">
        <f>EMP!CP45</f>
        <v>0</v>
      </c>
      <c r="BS46" s="376">
        <f>EMP!CQ45</f>
        <v>0</v>
      </c>
      <c r="BT46" s="376">
        <f>EMP!CR45</f>
        <v>0</v>
      </c>
      <c r="BU46" s="376">
        <f t="shared" si="23"/>
        <v>0</v>
      </c>
      <c r="BV46" s="377"/>
      <c r="BW46" s="380" t="str">
        <f t="shared" si="24"/>
        <v/>
      </c>
      <c r="BX46" s="374">
        <f>'EDUCACION PARA LA CIUDADANIA '!CP45</f>
        <v>0</v>
      </c>
      <c r="BY46" s="375">
        <f>'EDUCACION PARA LA CIUDADANIA '!CQ45</f>
        <v>0</v>
      </c>
      <c r="BZ46" s="375">
        <f>'EDUCACION PARA LA CIUDADANIA '!CR45</f>
        <v>0</v>
      </c>
      <c r="CA46" s="375">
        <f t="shared" si="25"/>
        <v>0</v>
      </c>
      <c r="CB46" s="375" t="str">
        <f>'EDUCACION PARA LA CIUDADANIA '!DB45</f>
        <v/>
      </c>
      <c r="CC46" s="380" t="str">
        <f t="shared" si="26"/>
        <v/>
      </c>
      <c r="CD46" s="374">
        <f>'PAQUETES CONTABLES '!CP45</f>
        <v>0</v>
      </c>
      <c r="CE46" s="375">
        <f>'PAQUETES CONTABLES '!CQ45</f>
        <v>0</v>
      </c>
      <c r="CF46" s="375">
        <f>'PAQUETES CONTABLES '!CR45</f>
        <v>0</v>
      </c>
      <c r="CG46" s="375">
        <f t="shared" si="27"/>
        <v>0</v>
      </c>
      <c r="CH46" s="375" t="str">
        <f>'PAQUETES CONTABLES '!DB45</f>
        <v/>
      </c>
      <c r="CI46" s="380" t="str">
        <f t="shared" si="28"/>
        <v/>
      </c>
      <c r="CJ46" s="374">
        <f>'TRIBUTACION '!CP45</f>
        <v>0</v>
      </c>
      <c r="CK46" s="375">
        <f>'TRIBUTACION '!CQ45</f>
        <v>0</v>
      </c>
      <c r="CL46" s="375">
        <f>'TRIBUTACION '!CR45</f>
        <v>0</v>
      </c>
      <c r="CM46" s="375">
        <f t="shared" si="29"/>
        <v>0</v>
      </c>
      <c r="CN46" s="375" t="str">
        <f>'TRIBUTACION '!DB45</f>
        <v/>
      </c>
      <c r="CO46" s="380" t="str">
        <f t="shared" si="30"/>
        <v/>
      </c>
      <c r="CP46" s="61">
        <f t="shared" si="31"/>
        <v>0</v>
      </c>
      <c r="DF46" s="384"/>
    </row>
    <row r="47" ht="15.75" customHeight="1">
      <c r="A47" s="56">
        <v>35.0</v>
      </c>
      <c r="B47" s="124" t="str">
        <f>'SABANA CALIFICACIONES'!B46</f>
        <v/>
      </c>
      <c r="C47" s="125" t="str">
        <f>'SABANA CALIFICACIONES'!C46</f>
        <v/>
      </c>
      <c r="D47" s="369">
        <f>LEN!CP46</f>
        <v>0</v>
      </c>
      <c r="E47" s="120">
        <f>LEN!CQ46</f>
        <v>0</v>
      </c>
      <c r="F47" s="370">
        <f>LEN!CR46</f>
        <v>0</v>
      </c>
      <c r="G47" s="371">
        <f t="shared" si="1"/>
        <v>0</v>
      </c>
      <c r="H47" s="120" t="str">
        <f>LEN!DB46</f>
        <v/>
      </c>
      <c r="I47" s="372" t="str">
        <f t="shared" si="2"/>
        <v/>
      </c>
      <c r="J47" s="369">
        <f>MATE!CP46</f>
        <v>0</v>
      </c>
      <c r="K47" s="120">
        <f>MATE!CQ46</f>
        <v>0</v>
      </c>
      <c r="L47" s="120">
        <f>MATE!CR46</f>
        <v>0</v>
      </c>
      <c r="M47" s="120">
        <f t="shared" si="3"/>
        <v>0</v>
      </c>
      <c r="N47" s="120" t="str">
        <f>MATE!DB46</f>
        <v/>
      </c>
      <c r="O47" s="370" t="str">
        <f t="shared" si="4"/>
        <v/>
      </c>
      <c r="P47" s="369">
        <f>INGLES!CP46</f>
        <v>0</v>
      </c>
      <c r="Q47" s="120">
        <f>INGLES!CQ46</f>
        <v>0</v>
      </c>
      <c r="R47" s="120">
        <f>INGLES!CR46</f>
        <v>0</v>
      </c>
      <c r="S47" s="120">
        <f t="shared" si="5"/>
        <v>0</v>
      </c>
      <c r="T47" s="120" t="str">
        <f>INGLES!DB46</f>
        <v/>
      </c>
      <c r="U47" s="370" t="str">
        <f t="shared" si="6"/>
        <v/>
      </c>
      <c r="V47" s="369">
        <f>QUIMI!CP46</f>
        <v>0</v>
      </c>
      <c r="W47" s="120">
        <f>QUIMI!CQ46</f>
        <v>0</v>
      </c>
      <c r="X47" s="120">
        <f>QUIMI!CR46</f>
        <v>0</v>
      </c>
      <c r="Y47" s="120">
        <f t="shared" si="7"/>
        <v>0</v>
      </c>
      <c r="Z47" s="120" t="str">
        <f>QUIMI!DB46</f>
        <v/>
      </c>
      <c r="AA47" s="370" t="str">
        <f t="shared" si="8"/>
        <v/>
      </c>
      <c r="AB47" s="369">
        <f>FISICA!CO46</f>
        <v>0</v>
      </c>
      <c r="AC47" s="120">
        <f>FISICA!CP46</f>
        <v>0</v>
      </c>
      <c r="AD47" s="120">
        <f>FISICA!CQ46</f>
        <v>0</v>
      </c>
      <c r="AE47" s="120">
        <f t="shared" si="9"/>
        <v>0</v>
      </c>
      <c r="AF47" s="120" t="str">
        <f>FISICA!DA46</f>
        <v/>
      </c>
      <c r="AG47" s="370" t="str">
        <f t="shared" si="10"/>
        <v/>
      </c>
      <c r="AH47" s="369">
        <f>'ED. FISICA'!CP46</f>
        <v>0</v>
      </c>
      <c r="AI47" s="120">
        <f>'ED. FISICA'!CQ46</f>
        <v>0</v>
      </c>
      <c r="AJ47" s="120">
        <f>'ED. FISICA'!CR46</f>
        <v>0</v>
      </c>
      <c r="AK47" s="120">
        <f t="shared" si="11"/>
        <v>0</v>
      </c>
      <c r="AL47" s="120" t="str">
        <f>'ED. FISICA'!DB46</f>
        <v/>
      </c>
      <c r="AM47" s="370" t="str">
        <f t="shared" si="12"/>
        <v/>
      </c>
      <c r="AN47" s="369">
        <f>'CONTABILIDAD GENERAL '!CP46</f>
        <v>0</v>
      </c>
      <c r="AO47" s="120">
        <f>'CONTABILIDAD GENERAL '!CQ46</f>
        <v>0</v>
      </c>
      <c r="AP47" s="120">
        <f>'CONTABILIDAD GENERAL '!CR46</f>
        <v>0</v>
      </c>
      <c r="AQ47" s="120">
        <f t="shared" si="13"/>
        <v>0</v>
      </c>
      <c r="AR47" s="373" t="str">
        <f>'CONTABILIDAD GENERAL '!DB46</f>
        <v/>
      </c>
      <c r="AS47" s="372" t="str">
        <f t="shared" si="14"/>
        <v/>
      </c>
      <c r="AT47" s="374">
        <f>BIO!CP46</f>
        <v>0</v>
      </c>
      <c r="AU47" s="375">
        <f>BIO!CQ46</f>
        <v>0</v>
      </c>
      <c r="AV47" s="375">
        <f>BIO!CR46</f>
        <v>0</v>
      </c>
      <c r="AW47" s="376">
        <f t="shared" si="15"/>
        <v>0</v>
      </c>
      <c r="AX47" s="375" t="str">
        <f>BIO!DB46</f>
        <v/>
      </c>
      <c r="AY47" s="377" t="str">
        <f t="shared" si="16"/>
        <v/>
      </c>
      <c r="AZ47" s="60">
        <f>HIST!CP46</f>
        <v>0</v>
      </c>
      <c r="BA47" s="60">
        <f>HIST!CQ46</f>
        <v>0</v>
      </c>
      <c r="BB47" s="60">
        <f>HIST!CR46</f>
        <v>0</v>
      </c>
      <c r="BC47" s="378">
        <f t="shared" si="17"/>
        <v>0</v>
      </c>
      <c r="BD47" s="379" t="str">
        <f>HIST!DB46</f>
        <v/>
      </c>
      <c r="BE47" s="377" t="str">
        <f t="shared" si="18"/>
        <v/>
      </c>
      <c r="BF47" s="374">
        <f>'E. C. A '!CP46</f>
        <v>0</v>
      </c>
      <c r="BG47" s="375">
        <f>'E. C. A '!CQ46</f>
        <v>0</v>
      </c>
      <c r="BH47" s="375">
        <f>'E. C. A '!CR46</f>
        <v>0</v>
      </c>
      <c r="BI47" s="375">
        <f t="shared" si="19"/>
        <v>0</v>
      </c>
      <c r="BJ47" s="375" t="str">
        <f>'E. C. A '!DB46</f>
        <v/>
      </c>
      <c r="BK47" s="380" t="str">
        <f t="shared" si="20"/>
        <v/>
      </c>
      <c r="BL47" s="381">
        <f>FILOSOFIA!CP46</f>
        <v>0</v>
      </c>
      <c r="BM47" s="375">
        <f>FILOSOFIA!CQ46</f>
        <v>0</v>
      </c>
      <c r="BN47" s="375">
        <f>FILOSOFIA!CR46</f>
        <v>0</v>
      </c>
      <c r="BO47" s="375">
        <f t="shared" si="21"/>
        <v>0</v>
      </c>
      <c r="BP47" s="375" t="str">
        <f>FILOSOFIA!DB46</f>
        <v/>
      </c>
      <c r="BQ47" s="382" t="str">
        <f t="shared" si="22"/>
        <v/>
      </c>
      <c r="BR47" s="383">
        <f>EMP!CP46</f>
        <v>0</v>
      </c>
      <c r="BS47" s="376">
        <f>EMP!CQ46</f>
        <v>0</v>
      </c>
      <c r="BT47" s="376">
        <f>EMP!CR46</f>
        <v>0</v>
      </c>
      <c r="BU47" s="376">
        <f t="shared" si="23"/>
        <v>0</v>
      </c>
      <c r="BV47" s="377"/>
      <c r="BW47" s="380" t="str">
        <f t="shared" si="24"/>
        <v/>
      </c>
      <c r="BX47" s="374">
        <f>'EDUCACION PARA LA CIUDADANIA '!CP46</f>
        <v>0</v>
      </c>
      <c r="BY47" s="375">
        <f>'EDUCACION PARA LA CIUDADANIA '!CQ46</f>
        <v>0</v>
      </c>
      <c r="BZ47" s="375">
        <f>'EDUCACION PARA LA CIUDADANIA '!CR46</f>
        <v>0</v>
      </c>
      <c r="CA47" s="375">
        <f t="shared" si="25"/>
        <v>0</v>
      </c>
      <c r="CB47" s="375" t="str">
        <f>'EDUCACION PARA LA CIUDADANIA '!DB46</f>
        <v/>
      </c>
      <c r="CC47" s="380" t="str">
        <f t="shared" si="26"/>
        <v/>
      </c>
      <c r="CD47" s="374">
        <f>'PAQUETES CONTABLES '!CP46</f>
        <v>0</v>
      </c>
      <c r="CE47" s="375">
        <f>'PAQUETES CONTABLES '!CQ46</f>
        <v>0</v>
      </c>
      <c r="CF47" s="375">
        <f>'PAQUETES CONTABLES '!CR46</f>
        <v>0</v>
      </c>
      <c r="CG47" s="375">
        <f t="shared" si="27"/>
        <v>0</v>
      </c>
      <c r="CH47" s="375" t="str">
        <f>'PAQUETES CONTABLES '!DB46</f>
        <v/>
      </c>
      <c r="CI47" s="380" t="str">
        <f t="shared" si="28"/>
        <v/>
      </c>
      <c r="CJ47" s="374">
        <f>'TRIBUTACION '!CP46</f>
        <v>0</v>
      </c>
      <c r="CK47" s="375">
        <f>'TRIBUTACION '!CQ46</f>
        <v>0</v>
      </c>
      <c r="CL47" s="375">
        <f>'TRIBUTACION '!CR46</f>
        <v>0</v>
      </c>
      <c r="CM47" s="375">
        <f t="shared" si="29"/>
        <v>0</v>
      </c>
      <c r="CN47" s="375" t="str">
        <f>'TRIBUTACION '!DB46</f>
        <v/>
      </c>
      <c r="CO47" s="380" t="str">
        <f t="shared" si="30"/>
        <v/>
      </c>
      <c r="CP47" s="61">
        <f t="shared" si="31"/>
        <v>0</v>
      </c>
      <c r="DF47" s="384"/>
    </row>
    <row r="48" ht="15.75" customHeight="1">
      <c r="A48" s="56">
        <v>36.0</v>
      </c>
      <c r="B48" s="124" t="str">
        <f>'SABANA CALIFICACIONES'!B47</f>
        <v/>
      </c>
      <c r="C48" s="125" t="str">
        <f>'SABANA CALIFICACIONES'!C47</f>
        <v/>
      </c>
      <c r="D48" s="369">
        <f>LEN!CP47</f>
        <v>0</v>
      </c>
      <c r="E48" s="120">
        <f>LEN!CQ47</f>
        <v>0</v>
      </c>
      <c r="F48" s="370">
        <f>LEN!CR47</f>
        <v>0</v>
      </c>
      <c r="G48" s="371">
        <f t="shared" si="1"/>
        <v>0</v>
      </c>
      <c r="H48" s="120" t="str">
        <f>LEN!DB47</f>
        <v/>
      </c>
      <c r="I48" s="372" t="str">
        <f t="shared" si="2"/>
        <v/>
      </c>
      <c r="J48" s="369">
        <f>MATE!CP47</f>
        <v>0</v>
      </c>
      <c r="K48" s="120">
        <f>MATE!CQ47</f>
        <v>0</v>
      </c>
      <c r="L48" s="120">
        <f>MATE!CR47</f>
        <v>0</v>
      </c>
      <c r="M48" s="120">
        <f t="shared" si="3"/>
        <v>0</v>
      </c>
      <c r="N48" s="120" t="str">
        <f>MATE!DB47</f>
        <v/>
      </c>
      <c r="O48" s="370" t="str">
        <f t="shared" si="4"/>
        <v/>
      </c>
      <c r="P48" s="369">
        <f>INGLES!CP47</f>
        <v>0</v>
      </c>
      <c r="Q48" s="120">
        <f>INGLES!CQ47</f>
        <v>0</v>
      </c>
      <c r="R48" s="120">
        <f>INGLES!CR47</f>
        <v>0</v>
      </c>
      <c r="S48" s="120">
        <f t="shared" si="5"/>
        <v>0</v>
      </c>
      <c r="T48" s="120" t="str">
        <f>INGLES!DB47</f>
        <v/>
      </c>
      <c r="U48" s="370" t="str">
        <f t="shared" si="6"/>
        <v/>
      </c>
      <c r="V48" s="369">
        <f>QUIMI!CP47</f>
        <v>0</v>
      </c>
      <c r="W48" s="120">
        <f>QUIMI!CQ47</f>
        <v>0</v>
      </c>
      <c r="X48" s="120">
        <f>QUIMI!CR47</f>
        <v>0</v>
      </c>
      <c r="Y48" s="120">
        <f t="shared" si="7"/>
        <v>0</v>
      </c>
      <c r="Z48" s="120" t="str">
        <f>QUIMI!DB47</f>
        <v/>
      </c>
      <c r="AA48" s="370" t="str">
        <f t="shared" si="8"/>
        <v/>
      </c>
      <c r="AB48" s="369">
        <f>FISICA!CO47</f>
        <v>0</v>
      </c>
      <c r="AC48" s="120">
        <f>FISICA!CP47</f>
        <v>0</v>
      </c>
      <c r="AD48" s="120">
        <f>FISICA!CQ47</f>
        <v>0</v>
      </c>
      <c r="AE48" s="120">
        <f t="shared" si="9"/>
        <v>0</v>
      </c>
      <c r="AF48" s="120" t="str">
        <f>FISICA!DA47</f>
        <v/>
      </c>
      <c r="AG48" s="370" t="str">
        <f t="shared" si="10"/>
        <v/>
      </c>
      <c r="AH48" s="369">
        <f>'ED. FISICA'!CP47</f>
        <v>0</v>
      </c>
      <c r="AI48" s="120">
        <f>'ED. FISICA'!CQ47</f>
        <v>0</v>
      </c>
      <c r="AJ48" s="120">
        <f>'ED. FISICA'!CR47</f>
        <v>0</v>
      </c>
      <c r="AK48" s="120">
        <f t="shared" si="11"/>
        <v>0</v>
      </c>
      <c r="AL48" s="120" t="str">
        <f>'ED. FISICA'!DB47</f>
        <v/>
      </c>
      <c r="AM48" s="370" t="str">
        <f t="shared" si="12"/>
        <v/>
      </c>
      <c r="AN48" s="369">
        <f>'CONTABILIDAD GENERAL '!CP47</f>
        <v>0</v>
      </c>
      <c r="AO48" s="120">
        <f>'CONTABILIDAD GENERAL '!CQ47</f>
        <v>0</v>
      </c>
      <c r="AP48" s="120">
        <f>'CONTABILIDAD GENERAL '!CR47</f>
        <v>0</v>
      </c>
      <c r="AQ48" s="120">
        <f t="shared" si="13"/>
        <v>0</v>
      </c>
      <c r="AR48" s="373" t="str">
        <f>'CONTABILIDAD GENERAL '!DB47</f>
        <v/>
      </c>
      <c r="AS48" s="372" t="str">
        <f t="shared" si="14"/>
        <v/>
      </c>
      <c r="AT48" s="374">
        <f>BIO!CP47</f>
        <v>0</v>
      </c>
      <c r="AU48" s="375">
        <f>BIO!CQ47</f>
        <v>0</v>
      </c>
      <c r="AV48" s="375">
        <f>BIO!CR47</f>
        <v>0</v>
      </c>
      <c r="AW48" s="376">
        <f t="shared" si="15"/>
        <v>0</v>
      </c>
      <c r="AX48" s="375" t="str">
        <f>BIO!DB47</f>
        <v/>
      </c>
      <c r="AY48" s="377" t="str">
        <f t="shared" si="16"/>
        <v/>
      </c>
      <c r="AZ48" s="60">
        <f>HIST!CP47</f>
        <v>0</v>
      </c>
      <c r="BA48" s="60">
        <f>HIST!CQ47</f>
        <v>0</v>
      </c>
      <c r="BB48" s="60">
        <f>HIST!CR47</f>
        <v>0</v>
      </c>
      <c r="BC48" s="378">
        <f t="shared" si="17"/>
        <v>0</v>
      </c>
      <c r="BD48" s="379" t="str">
        <f>HIST!DB47</f>
        <v/>
      </c>
      <c r="BE48" s="377" t="str">
        <f t="shared" si="18"/>
        <v/>
      </c>
      <c r="BF48" s="374">
        <f>'E. C. A '!CP47</f>
        <v>0</v>
      </c>
      <c r="BG48" s="375">
        <f>'E. C. A '!CQ47</f>
        <v>0</v>
      </c>
      <c r="BH48" s="375">
        <f>'E. C. A '!CR47</f>
        <v>0</v>
      </c>
      <c r="BI48" s="375">
        <f t="shared" si="19"/>
        <v>0</v>
      </c>
      <c r="BJ48" s="375" t="str">
        <f>'E. C. A '!DB47</f>
        <v/>
      </c>
      <c r="BK48" s="380" t="str">
        <f t="shared" si="20"/>
        <v/>
      </c>
      <c r="BL48" s="381">
        <f>FILOSOFIA!CP47</f>
        <v>0</v>
      </c>
      <c r="BM48" s="375">
        <f>FILOSOFIA!CQ47</f>
        <v>0</v>
      </c>
      <c r="BN48" s="375">
        <f>FILOSOFIA!CR47</f>
        <v>0</v>
      </c>
      <c r="BO48" s="375">
        <f t="shared" si="21"/>
        <v>0</v>
      </c>
      <c r="BP48" s="375" t="str">
        <f>FILOSOFIA!DB47</f>
        <v/>
      </c>
      <c r="BQ48" s="382" t="str">
        <f t="shared" si="22"/>
        <v/>
      </c>
      <c r="BR48" s="383">
        <f>EMP!CP47</f>
        <v>0</v>
      </c>
      <c r="BS48" s="376">
        <f>EMP!CQ47</f>
        <v>0</v>
      </c>
      <c r="BT48" s="376">
        <f>EMP!CR47</f>
        <v>0</v>
      </c>
      <c r="BU48" s="376">
        <f t="shared" si="23"/>
        <v>0</v>
      </c>
      <c r="BV48" s="377"/>
      <c r="BW48" s="380" t="str">
        <f t="shared" si="24"/>
        <v/>
      </c>
      <c r="BX48" s="374">
        <f>'EDUCACION PARA LA CIUDADANIA '!CP47</f>
        <v>0</v>
      </c>
      <c r="BY48" s="375">
        <f>'EDUCACION PARA LA CIUDADANIA '!CQ47</f>
        <v>0</v>
      </c>
      <c r="BZ48" s="375">
        <f>'EDUCACION PARA LA CIUDADANIA '!CR47</f>
        <v>0</v>
      </c>
      <c r="CA48" s="375">
        <f t="shared" si="25"/>
        <v>0</v>
      </c>
      <c r="CB48" s="375" t="str">
        <f>'EDUCACION PARA LA CIUDADANIA '!DB47</f>
        <v/>
      </c>
      <c r="CC48" s="380" t="str">
        <f t="shared" si="26"/>
        <v/>
      </c>
      <c r="CD48" s="374">
        <f>'PAQUETES CONTABLES '!CP47</f>
        <v>0</v>
      </c>
      <c r="CE48" s="375">
        <f>'PAQUETES CONTABLES '!CQ47</f>
        <v>0</v>
      </c>
      <c r="CF48" s="375">
        <f>'PAQUETES CONTABLES '!CR47</f>
        <v>0</v>
      </c>
      <c r="CG48" s="375">
        <f t="shared" si="27"/>
        <v>0</v>
      </c>
      <c r="CH48" s="375" t="str">
        <f>'PAQUETES CONTABLES '!DB47</f>
        <v/>
      </c>
      <c r="CI48" s="380" t="str">
        <f t="shared" si="28"/>
        <v/>
      </c>
      <c r="CJ48" s="374">
        <f>'TRIBUTACION '!CP47</f>
        <v>0</v>
      </c>
      <c r="CK48" s="375">
        <f>'TRIBUTACION '!CQ47</f>
        <v>0</v>
      </c>
      <c r="CL48" s="375">
        <f>'TRIBUTACION '!CR47</f>
        <v>0</v>
      </c>
      <c r="CM48" s="375">
        <f t="shared" si="29"/>
        <v>0</v>
      </c>
      <c r="CN48" s="375" t="str">
        <f>'TRIBUTACION '!DB47</f>
        <v/>
      </c>
      <c r="CO48" s="380" t="str">
        <f t="shared" si="30"/>
        <v/>
      </c>
      <c r="CP48" s="61">
        <f t="shared" si="31"/>
        <v>0</v>
      </c>
      <c r="DF48" s="384"/>
    </row>
    <row r="49" ht="15.75" customHeight="1">
      <c r="A49" s="56">
        <v>37.0</v>
      </c>
      <c r="B49" s="124" t="str">
        <f>'SABANA CALIFICACIONES'!B48</f>
        <v/>
      </c>
      <c r="C49" s="125" t="str">
        <f>'SABANA CALIFICACIONES'!C48</f>
        <v/>
      </c>
      <c r="D49" s="369">
        <f>LEN!CP48</f>
        <v>0</v>
      </c>
      <c r="E49" s="120">
        <f>LEN!CQ48</f>
        <v>0</v>
      </c>
      <c r="F49" s="370">
        <f>LEN!CR48</f>
        <v>0</v>
      </c>
      <c r="G49" s="371">
        <f t="shared" si="1"/>
        <v>0</v>
      </c>
      <c r="H49" s="120" t="str">
        <f>LEN!DB48</f>
        <v/>
      </c>
      <c r="I49" s="372" t="str">
        <f t="shared" si="2"/>
        <v/>
      </c>
      <c r="J49" s="369">
        <f>MATE!CP48</f>
        <v>0</v>
      </c>
      <c r="K49" s="120">
        <f>MATE!CQ48</f>
        <v>0</v>
      </c>
      <c r="L49" s="120">
        <f>MATE!CR48</f>
        <v>0</v>
      </c>
      <c r="M49" s="120">
        <f t="shared" si="3"/>
        <v>0</v>
      </c>
      <c r="N49" s="120" t="str">
        <f>MATE!DB48</f>
        <v/>
      </c>
      <c r="O49" s="370" t="str">
        <f t="shared" si="4"/>
        <v/>
      </c>
      <c r="P49" s="369">
        <f>INGLES!CP48</f>
        <v>0</v>
      </c>
      <c r="Q49" s="120">
        <f>INGLES!CQ48</f>
        <v>0</v>
      </c>
      <c r="R49" s="120">
        <f>INGLES!CR48</f>
        <v>0</v>
      </c>
      <c r="S49" s="120">
        <f t="shared" si="5"/>
        <v>0</v>
      </c>
      <c r="T49" s="120" t="str">
        <f>INGLES!DB48</f>
        <v/>
      </c>
      <c r="U49" s="370" t="str">
        <f t="shared" si="6"/>
        <v/>
      </c>
      <c r="V49" s="369">
        <f>QUIMI!CP48</f>
        <v>0</v>
      </c>
      <c r="W49" s="120">
        <f>QUIMI!CQ48</f>
        <v>0</v>
      </c>
      <c r="X49" s="120">
        <f>QUIMI!CR48</f>
        <v>0</v>
      </c>
      <c r="Y49" s="120">
        <f t="shared" si="7"/>
        <v>0</v>
      </c>
      <c r="Z49" s="120" t="str">
        <f>QUIMI!DB48</f>
        <v/>
      </c>
      <c r="AA49" s="370" t="str">
        <f t="shared" si="8"/>
        <v/>
      </c>
      <c r="AB49" s="369">
        <f>FISICA!CO48</f>
        <v>0</v>
      </c>
      <c r="AC49" s="120">
        <f>FISICA!CP48</f>
        <v>0</v>
      </c>
      <c r="AD49" s="120">
        <f>FISICA!CQ48</f>
        <v>0</v>
      </c>
      <c r="AE49" s="120">
        <f t="shared" si="9"/>
        <v>0</v>
      </c>
      <c r="AF49" s="120" t="str">
        <f>FISICA!DA48</f>
        <v/>
      </c>
      <c r="AG49" s="370" t="str">
        <f t="shared" si="10"/>
        <v/>
      </c>
      <c r="AH49" s="369">
        <f>'ED. FISICA'!CP48</f>
        <v>0</v>
      </c>
      <c r="AI49" s="120">
        <f>'ED. FISICA'!CQ48</f>
        <v>0</v>
      </c>
      <c r="AJ49" s="120">
        <f>'ED. FISICA'!CR48</f>
        <v>0</v>
      </c>
      <c r="AK49" s="120">
        <f t="shared" si="11"/>
        <v>0</v>
      </c>
      <c r="AL49" s="120" t="str">
        <f>'ED. FISICA'!DB48</f>
        <v/>
      </c>
      <c r="AM49" s="370" t="str">
        <f t="shared" si="12"/>
        <v/>
      </c>
      <c r="AN49" s="369">
        <f>'CONTABILIDAD GENERAL '!CP48</f>
        <v>0</v>
      </c>
      <c r="AO49" s="120">
        <f>'CONTABILIDAD GENERAL '!CQ48</f>
        <v>0</v>
      </c>
      <c r="AP49" s="120">
        <f>'CONTABILIDAD GENERAL '!CR48</f>
        <v>0</v>
      </c>
      <c r="AQ49" s="120">
        <f t="shared" si="13"/>
        <v>0</v>
      </c>
      <c r="AR49" s="373" t="str">
        <f>'CONTABILIDAD GENERAL '!DB48</f>
        <v/>
      </c>
      <c r="AS49" s="372" t="str">
        <f t="shared" si="14"/>
        <v/>
      </c>
      <c r="AT49" s="374">
        <f>BIO!CP48</f>
        <v>0</v>
      </c>
      <c r="AU49" s="375">
        <f>BIO!CQ48</f>
        <v>0</v>
      </c>
      <c r="AV49" s="375">
        <f>BIO!CR48</f>
        <v>0</v>
      </c>
      <c r="AW49" s="376">
        <f t="shared" si="15"/>
        <v>0</v>
      </c>
      <c r="AX49" s="375" t="str">
        <f>BIO!DB48</f>
        <v/>
      </c>
      <c r="AY49" s="377" t="str">
        <f t="shared" si="16"/>
        <v/>
      </c>
      <c r="AZ49" s="60">
        <f>HIST!CP48</f>
        <v>0</v>
      </c>
      <c r="BA49" s="60">
        <f>HIST!CQ48</f>
        <v>0</v>
      </c>
      <c r="BB49" s="60">
        <f>HIST!CR48</f>
        <v>0</v>
      </c>
      <c r="BC49" s="378">
        <f t="shared" si="17"/>
        <v>0</v>
      </c>
      <c r="BD49" s="379" t="str">
        <f>HIST!DB48</f>
        <v/>
      </c>
      <c r="BE49" s="377" t="str">
        <f t="shared" si="18"/>
        <v/>
      </c>
      <c r="BF49" s="374">
        <f>'E. C. A '!CP48</f>
        <v>0</v>
      </c>
      <c r="BG49" s="375">
        <f>'E. C. A '!CQ48</f>
        <v>0</v>
      </c>
      <c r="BH49" s="375">
        <f>'E. C. A '!CR48</f>
        <v>0</v>
      </c>
      <c r="BI49" s="375">
        <f t="shared" si="19"/>
        <v>0</v>
      </c>
      <c r="BJ49" s="375" t="str">
        <f>'E. C. A '!DB48</f>
        <v/>
      </c>
      <c r="BK49" s="380" t="str">
        <f t="shared" si="20"/>
        <v/>
      </c>
      <c r="BL49" s="381">
        <f>FILOSOFIA!CP48</f>
        <v>0</v>
      </c>
      <c r="BM49" s="375">
        <f>FILOSOFIA!CQ48</f>
        <v>0</v>
      </c>
      <c r="BN49" s="375">
        <f>FILOSOFIA!CR48</f>
        <v>0</v>
      </c>
      <c r="BO49" s="375">
        <f t="shared" si="21"/>
        <v>0</v>
      </c>
      <c r="BP49" s="375" t="str">
        <f>FILOSOFIA!DB48</f>
        <v/>
      </c>
      <c r="BQ49" s="382" t="str">
        <f t="shared" si="22"/>
        <v/>
      </c>
      <c r="BR49" s="383">
        <f>EMP!CP48</f>
        <v>0</v>
      </c>
      <c r="BS49" s="376">
        <f>EMP!CQ48</f>
        <v>0</v>
      </c>
      <c r="BT49" s="376">
        <f>EMP!CR48</f>
        <v>0</v>
      </c>
      <c r="BU49" s="376">
        <f t="shared" si="23"/>
        <v>0</v>
      </c>
      <c r="BV49" s="377"/>
      <c r="BW49" s="380" t="str">
        <f t="shared" si="24"/>
        <v/>
      </c>
      <c r="BX49" s="374">
        <f>'EDUCACION PARA LA CIUDADANIA '!CP48</f>
        <v>0</v>
      </c>
      <c r="BY49" s="375">
        <f>'EDUCACION PARA LA CIUDADANIA '!CQ48</f>
        <v>0</v>
      </c>
      <c r="BZ49" s="375">
        <f>'EDUCACION PARA LA CIUDADANIA '!CR48</f>
        <v>0</v>
      </c>
      <c r="CA49" s="375">
        <f t="shared" si="25"/>
        <v>0</v>
      </c>
      <c r="CB49" s="375" t="str">
        <f>'EDUCACION PARA LA CIUDADANIA '!DB48</f>
        <v/>
      </c>
      <c r="CC49" s="380" t="str">
        <f t="shared" si="26"/>
        <v/>
      </c>
      <c r="CD49" s="374">
        <f>'PAQUETES CONTABLES '!CP48</f>
        <v>0</v>
      </c>
      <c r="CE49" s="375">
        <f>'PAQUETES CONTABLES '!CQ48</f>
        <v>0</v>
      </c>
      <c r="CF49" s="375">
        <f>'PAQUETES CONTABLES '!CR48</f>
        <v>0</v>
      </c>
      <c r="CG49" s="375">
        <f t="shared" si="27"/>
        <v>0</v>
      </c>
      <c r="CH49" s="375" t="str">
        <f>'PAQUETES CONTABLES '!DB48</f>
        <v/>
      </c>
      <c r="CI49" s="380" t="str">
        <f t="shared" si="28"/>
        <v/>
      </c>
      <c r="CJ49" s="374">
        <f>'TRIBUTACION '!CP48</f>
        <v>0</v>
      </c>
      <c r="CK49" s="375">
        <f>'TRIBUTACION '!CQ48</f>
        <v>0</v>
      </c>
      <c r="CL49" s="375">
        <f>'TRIBUTACION '!CR48</f>
        <v>0</v>
      </c>
      <c r="CM49" s="375">
        <f t="shared" si="29"/>
        <v>0</v>
      </c>
      <c r="CN49" s="375" t="str">
        <f>'TRIBUTACION '!DB48</f>
        <v/>
      </c>
      <c r="CO49" s="380" t="str">
        <f t="shared" si="30"/>
        <v/>
      </c>
      <c r="CP49" s="61">
        <f t="shared" si="31"/>
        <v>0</v>
      </c>
      <c r="DF49" s="384"/>
    </row>
    <row r="50" ht="15.75" customHeight="1">
      <c r="A50" s="56">
        <v>38.0</v>
      </c>
      <c r="B50" s="124" t="str">
        <f>'SABANA CALIFICACIONES'!B49</f>
        <v/>
      </c>
      <c r="C50" s="125" t="str">
        <f>'SABANA CALIFICACIONES'!C49</f>
        <v/>
      </c>
      <c r="D50" s="369">
        <f>LEN!CP49</f>
        <v>0</v>
      </c>
      <c r="E50" s="120">
        <f>LEN!CQ49</f>
        <v>0</v>
      </c>
      <c r="F50" s="370">
        <f>LEN!CR49</f>
        <v>0</v>
      </c>
      <c r="G50" s="371">
        <f t="shared" si="1"/>
        <v>0</v>
      </c>
      <c r="H50" s="120" t="str">
        <f>LEN!DB49</f>
        <v/>
      </c>
      <c r="I50" s="372" t="str">
        <f t="shared" si="2"/>
        <v/>
      </c>
      <c r="J50" s="369">
        <f>MATE!CP49</f>
        <v>0</v>
      </c>
      <c r="K50" s="120">
        <f>MATE!CQ49</f>
        <v>0</v>
      </c>
      <c r="L50" s="120">
        <f>MATE!CR49</f>
        <v>0</v>
      </c>
      <c r="M50" s="120">
        <f t="shared" si="3"/>
        <v>0</v>
      </c>
      <c r="N50" s="120" t="str">
        <f>MATE!DB49</f>
        <v/>
      </c>
      <c r="O50" s="370" t="str">
        <f t="shared" si="4"/>
        <v/>
      </c>
      <c r="P50" s="369">
        <f>INGLES!CP49</f>
        <v>0</v>
      </c>
      <c r="Q50" s="120">
        <f>INGLES!CQ49</f>
        <v>0</v>
      </c>
      <c r="R50" s="120">
        <f>INGLES!CR49</f>
        <v>0</v>
      </c>
      <c r="S50" s="120">
        <f t="shared" si="5"/>
        <v>0</v>
      </c>
      <c r="T50" s="120" t="str">
        <f>INGLES!DB49</f>
        <v/>
      </c>
      <c r="U50" s="370" t="str">
        <f t="shared" si="6"/>
        <v/>
      </c>
      <c r="V50" s="369">
        <f>QUIMI!CP49</f>
        <v>0</v>
      </c>
      <c r="W50" s="120">
        <f>QUIMI!CQ49</f>
        <v>0</v>
      </c>
      <c r="X50" s="120">
        <f>QUIMI!CR49</f>
        <v>0</v>
      </c>
      <c r="Y50" s="120">
        <f t="shared" si="7"/>
        <v>0</v>
      </c>
      <c r="Z50" s="120" t="str">
        <f>QUIMI!DB49</f>
        <v/>
      </c>
      <c r="AA50" s="370" t="str">
        <f t="shared" si="8"/>
        <v/>
      </c>
      <c r="AB50" s="369">
        <f>FISICA!CO49</f>
        <v>0</v>
      </c>
      <c r="AC50" s="120">
        <f>FISICA!CP49</f>
        <v>0</v>
      </c>
      <c r="AD50" s="120">
        <f>FISICA!CQ49</f>
        <v>0</v>
      </c>
      <c r="AE50" s="120">
        <f t="shared" si="9"/>
        <v>0</v>
      </c>
      <c r="AF50" s="120" t="str">
        <f>FISICA!DA49</f>
        <v/>
      </c>
      <c r="AG50" s="370" t="str">
        <f t="shared" si="10"/>
        <v/>
      </c>
      <c r="AH50" s="369">
        <f>'ED. FISICA'!CP49</f>
        <v>0</v>
      </c>
      <c r="AI50" s="120">
        <f>'ED. FISICA'!CQ49</f>
        <v>0</v>
      </c>
      <c r="AJ50" s="120">
        <f>'ED. FISICA'!CR49</f>
        <v>0</v>
      </c>
      <c r="AK50" s="120">
        <f t="shared" si="11"/>
        <v>0</v>
      </c>
      <c r="AL50" s="120" t="str">
        <f>'ED. FISICA'!DB49</f>
        <v/>
      </c>
      <c r="AM50" s="370" t="str">
        <f t="shared" si="12"/>
        <v/>
      </c>
      <c r="AN50" s="369">
        <f>'CONTABILIDAD GENERAL '!CP49</f>
        <v>0</v>
      </c>
      <c r="AO50" s="120">
        <f>'CONTABILIDAD GENERAL '!CQ49</f>
        <v>0</v>
      </c>
      <c r="AP50" s="120">
        <f>'CONTABILIDAD GENERAL '!CR49</f>
        <v>0</v>
      </c>
      <c r="AQ50" s="120">
        <f t="shared" si="13"/>
        <v>0</v>
      </c>
      <c r="AR50" s="373" t="str">
        <f>'CONTABILIDAD GENERAL '!DB49</f>
        <v/>
      </c>
      <c r="AS50" s="372" t="str">
        <f t="shared" si="14"/>
        <v/>
      </c>
      <c r="AT50" s="374">
        <f>BIO!CP49</f>
        <v>0</v>
      </c>
      <c r="AU50" s="375">
        <f>BIO!CQ49</f>
        <v>0</v>
      </c>
      <c r="AV50" s="375">
        <f>BIO!CR49</f>
        <v>0</v>
      </c>
      <c r="AW50" s="376">
        <f t="shared" si="15"/>
        <v>0</v>
      </c>
      <c r="AX50" s="375" t="str">
        <f>BIO!DB49</f>
        <v/>
      </c>
      <c r="AY50" s="377" t="str">
        <f t="shared" si="16"/>
        <v/>
      </c>
      <c r="AZ50" s="60">
        <f>HIST!CP49</f>
        <v>0</v>
      </c>
      <c r="BA50" s="60">
        <f>HIST!CQ49</f>
        <v>0</v>
      </c>
      <c r="BB50" s="60">
        <f>HIST!CR49</f>
        <v>0</v>
      </c>
      <c r="BC50" s="378">
        <f t="shared" si="17"/>
        <v>0</v>
      </c>
      <c r="BD50" s="379" t="str">
        <f>HIST!DB49</f>
        <v/>
      </c>
      <c r="BE50" s="377" t="str">
        <f t="shared" si="18"/>
        <v/>
      </c>
      <c r="BF50" s="374">
        <f>'E. C. A '!CP49</f>
        <v>0</v>
      </c>
      <c r="BG50" s="375">
        <f>'E. C. A '!CQ49</f>
        <v>0</v>
      </c>
      <c r="BH50" s="375">
        <f>'E. C. A '!CR49</f>
        <v>0</v>
      </c>
      <c r="BI50" s="375">
        <f t="shared" si="19"/>
        <v>0</v>
      </c>
      <c r="BJ50" s="375" t="str">
        <f>'E. C. A '!DB49</f>
        <v/>
      </c>
      <c r="BK50" s="380" t="str">
        <f t="shared" si="20"/>
        <v/>
      </c>
      <c r="BL50" s="381">
        <f>FILOSOFIA!CP49</f>
        <v>0</v>
      </c>
      <c r="BM50" s="375">
        <f>FILOSOFIA!CQ49</f>
        <v>0</v>
      </c>
      <c r="BN50" s="375">
        <f>FILOSOFIA!CR49</f>
        <v>0</v>
      </c>
      <c r="BO50" s="375">
        <f t="shared" si="21"/>
        <v>0</v>
      </c>
      <c r="BP50" s="375" t="str">
        <f>FILOSOFIA!DB49</f>
        <v/>
      </c>
      <c r="BQ50" s="382" t="str">
        <f t="shared" si="22"/>
        <v/>
      </c>
      <c r="BR50" s="383">
        <f>EMP!CP49</f>
        <v>0</v>
      </c>
      <c r="BS50" s="376">
        <f>EMP!CQ49</f>
        <v>0</v>
      </c>
      <c r="BT50" s="376">
        <f>EMP!CR49</f>
        <v>0</v>
      </c>
      <c r="BU50" s="376">
        <f t="shared" si="23"/>
        <v>0</v>
      </c>
      <c r="BV50" s="377"/>
      <c r="BW50" s="380" t="str">
        <f t="shared" si="24"/>
        <v/>
      </c>
      <c r="BX50" s="374">
        <f>'EDUCACION PARA LA CIUDADANIA '!CP49</f>
        <v>0</v>
      </c>
      <c r="BY50" s="375">
        <f>'EDUCACION PARA LA CIUDADANIA '!CQ49</f>
        <v>0</v>
      </c>
      <c r="BZ50" s="375">
        <f>'EDUCACION PARA LA CIUDADANIA '!CR49</f>
        <v>0</v>
      </c>
      <c r="CA50" s="375">
        <f t="shared" si="25"/>
        <v>0</v>
      </c>
      <c r="CB50" s="375" t="str">
        <f>'EDUCACION PARA LA CIUDADANIA '!DB49</f>
        <v/>
      </c>
      <c r="CC50" s="380" t="str">
        <f t="shared" si="26"/>
        <v/>
      </c>
      <c r="CD50" s="374">
        <f>'PAQUETES CONTABLES '!CP49</f>
        <v>0</v>
      </c>
      <c r="CE50" s="375">
        <f>'PAQUETES CONTABLES '!CQ49</f>
        <v>0</v>
      </c>
      <c r="CF50" s="375">
        <f>'PAQUETES CONTABLES '!CR49</f>
        <v>0</v>
      </c>
      <c r="CG50" s="375">
        <f t="shared" si="27"/>
        <v>0</v>
      </c>
      <c r="CH50" s="375" t="str">
        <f>'PAQUETES CONTABLES '!DB49</f>
        <v/>
      </c>
      <c r="CI50" s="380" t="str">
        <f t="shared" si="28"/>
        <v/>
      </c>
      <c r="CJ50" s="374">
        <f>'TRIBUTACION '!CP49</f>
        <v>0</v>
      </c>
      <c r="CK50" s="375">
        <f>'TRIBUTACION '!CQ49</f>
        <v>0</v>
      </c>
      <c r="CL50" s="375">
        <f>'TRIBUTACION '!CR49</f>
        <v>0</v>
      </c>
      <c r="CM50" s="375">
        <f t="shared" si="29"/>
        <v>0</v>
      </c>
      <c r="CN50" s="375" t="str">
        <f>'TRIBUTACION '!DB49</f>
        <v/>
      </c>
      <c r="CO50" s="380" t="str">
        <f t="shared" si="30"/>
        <v/>
      </c>
      <c r="CP50" s="61">
        <f t="shared" si="31"/>
        <v>0</v>
      </c>
      <c r="DF50" s="384"/>
    </row>
    <row r="51" ht="15.75" customHeight="1">
      <c r="A51" s="56">
        <v>39.0</v>
      </c>
      <c r="B51" s="124" t="str">
        <f>'SABANA CALIFICACIONES'!B50</f>
        <v/>
      </c>
      <c r="C51" s="125" t="str">
        <f>'SABANA CALIFICACIONES'!C50</f>
        <v/>
      </c>
      <c r="D51" s="369">
        <f>LEN!CP50</f>
        <v>0</v>
      </c>
      <c r="E51" s="120">
        <f>LEN!CQ50</f>
        <v>0</v>
      </c>
      <c r="F51" s="370">
        <f>LEN!CR50</f>
        <v>0</v>
      </c>
      <c r="G51" s="371">
        <f t="shared" si="1"/>
        <v>0</v>
      </c>
      <c r="H51" s="120" t="str">
        <f>LEN!DB50</f>
        <v/>
      </c>
      <c r="I51" s="372" t="str">
        <f t="shared" si="2"/>
        <v/>
      </c>
      <c r="J51" s="369">
        <f>MATE!CP50</f>
        <v>0</v>
      </c>
      <c r="K51" s="120">
        <f>MATE!CQ50</f>
        <v>0</v>
      </c>
      <c r="L51" s="120">
        <f>MATE!CR50</f>
        <v>0</v>
      </c>
      <c r="M51" s="120">
        <f t="shared" si="3"/>
        <v>0</v>
      </c>
      <c r="N51" s="120" t="str">
        <f>MATE!DB50</f>
        <v/>
      </c>
      <c r="O51" s="370" t="str">
        <f t="shared" si="4"/>
        <v/>
      </c>
      <c r="P51" s="369">
        <f>INGLES!CP50</f>
        <v>0</v>
      </c>
      <c r="Q51" s="120">
        <f>INGLES!CQ50</f>
        <v>0</v>
      </c>
      <c r="R51" s="120">
        <f>INGLES!CR50</f>
        <v>0</v>
      </c>
      <c r="S51" s="120">
        <f t="shared" si="5"/>
        <v>0</v>
      </c>
      <c r="T51" s="120" t="str">
        <f>INGLES!DB50</f>
        <v/>
      </c>
      <c r="U51" s="370" t="str">
        <f t="shared" si="6"/>
        <v/>
      </c>
      <c r="V51" s="369">
        <f>QUIMI!CP50</f>
        <v>0</v>
      </c>
      <c r="W51" s="120">
        <f>QUIMI!CQ50</f>
        <v>0</v>
      </c>
      <c r="X51" s="120">
        <f>QUIMI!CR50</f>
        <v>0</v>
      </c>
      <c r="Y51" s="120">
        <f t="shared" si="7"/>
        <v>0</v>
      </c>
      <c r="Z51" s="120" t="str">
        <f>QUIMI!DB50</f>
        <v/>
      </c>
      <c r="AA51" s="370" t="str">
        <f t="shared" si="8"/>
        <v/>
      </c>
      <c r="AB51" s="369">
        <f>FISICA!CO50</f>
        <v>0</v>
      </c>
      <c r="AC51" s="120">
        <f>FISICA!CP50</f>
        <v>0</v>
      </c>
      <c r="AD51" s="120">
        <f>FISICA!CQ50</f>
        <v>0</v>
      </c>
      <c r="AE51" s="120">
        <f t="shared" si="9"/>
        <v>0</v>
      </c>
      <c r="AF51" s="120" t="str">
        <f>FISICA!DA50</f>
        <v/>
      </c>
      <c r="AG51" s="370" t="str">
        <f t="shared" si="10"/>
        <v/>
      </c>
      <c r="AH51" s="369">
        <f>'ED. FISICA'!CP50</f>
        <v>0</v>
      </c>
      <c r="AI51" s="120">
        <f>'ED. FISICA'!CQ50</f>
        <v>0</v>
      </c>
      <c r="AJ51" s="120">
        <f>'ED. FISICA'!CR50</f>
        <v>0</v>
      </c>
      <c r="AK51" s="120">
        <f t="shared" si="11"/>
        <v>0</v>
      </c>
      <c r="AL51" s="120" t="str">
        <f>'ED. FISICA'!DB50</f>
        <v/>
      </c>
      <c r="AM51" s="370" t="str">
        <f t="shared" si="12"/>
        <v/>
      </c>
      <c r="AN51" s="369">
        <f>'CONTABILIDAD GENERAL '!CP50</f>
        <v>0</v>
      </c>
      <c r="AO51" s="120">
        <f>'CONTABILIDAD GENERAL '!CQ50</f>
        <v>0</v>
      </c>
      <c r="AP51" s="120">
        <f>'CONTABILIDAD GENERAL '!CR50</f>
        <v>0</v>
      </c>
      <c r="AQ51" s="120">
        <f t="shared" si="13"/>
        <v>0</v>
      </c>
      <c r="AR51" s="373" t="str">
        <f>'CONTABILIDAD GENERAL '!DB50</f>
        <v/>
      </c>
      <c r="AS51" s="372" t="str">
        <f t="shared" si="14"/>
        <v/>
      </c>
      <c r="AT51" s="374">
        <f>BIO!CP50</f>
        <v>0</v>
      </c>
      <c r="AU51" s="375">
        <f>BIO!CQ50</f>
        <v>0</v>
      </c>
      <c r="AV51" s="375">
        <f>BIO!CR50</f>
        <v>0</v>
      </c>
      <c r="AW51" s="376">
        <f t="shared" si="15"/>
        <v>0</v>
      </c>
      <c r="AX51" s="375" t="str">
        <f>BIO!DB50</f>
        <v/>
      </c>
      <c r="AY51" s="377" t="str">
        <f t="shared" si="16"/>
        <v/>
      </c>
      <c r="AZ51" s="60">
        <f>HIST!CP50</f>
        <v>0</v>
      </c>
      <c r="BA51" s="60">
        <f>HIST!CQ50</f>
        <v>0</v>
      </c>
      <c r="BB51" s="60">
        <f>HIST!CR50</f>
        <v>0</v>
      </c>
      <c r="BC51" s="378">
        <f t="shared" si="17"/>
        <v>0</v>
      </c>
      <c r="BD51" s="379" t="str">
        <f>HIST!DB50</f>
        <v/>
      </c>
      <c r="BE51" s="377" t="str">
        <f t="shared" si="18"/>
        <v/>
      </c>
      <c r="BF51" s="374">
        <f>'E. C. A '!CP50</f>
        <v>0</v>
      </c>
      <c r="BG51" s="375">
        <f>'E. C. A '!CQ50</f>
        <v>0</v>
      </c>
      <c r="BH51" s="375">
        <f>'E. C. A '!CR50</f>
        <v>0</v>
      </c>
      <c r="BI51" s="375">
        <f t="shared" si="19"/>
        <v>0</v>
      </c>
      <c r="BJ51" s="375" t="str">
        <f>'E. C. A '!DB50</f>
        <v/>
      </c>
      <c r="BK51" s="380" t="str">
        <f t="shared" si="20"/>
        <v/>
      </c>
      <c r="BL51" s="381">
        <f>FILOSOFIA!CP50</f>
        <v>0</v>
      </c>
      <c r="BM51" s="375">
        <f>FILOSOFIA!CQ50</f>
        <v>0</v>
      </c>
      <c r="BN51" s="375">
        <f>FILOSOFIA!CR50</f>
        <v>0</v>
      </c>
      <c r="BO51" s="375">
        <f t="shared" si="21"/>
        <v>0</v>
      </c>
      <c r="BP51" s="375" t="str">
        <f>FILOSOFIA!DB50</f>
        <v/>
      </c>
      <c r="BQ51" s="382" t="str">
        <f t="shared" si="22"/>
        <v/>
      </c>
      <c r="BR51" s="383">
        <f>EMP!CP50</f>
        <v>0</v>
      </c>
      <c r="BS51" s="376">
        <f>EMP!CQ50</f>
        <v>0</v>
      </c>
      <c r="BT51" s="376">
        <f>EMP!CR50</f>
        <v>0</v>
      </c>
      <c r="BU51" s="376">
        <f t="shared" si="23"/>
        <v>0</v>
      </c>
      <c r="BV51" s="377"/>
      <c r="BW51" s="380" t="str">
        <f t="shared" si="24"/>
        <v/>
      </c>
      <c r="BX51" s="374">
        <f>'EDUCACION PARA LA CIUDADANIA '!CP50</f>
        <v>0</v>
      </c>
      <c r="BY51" s="375">
        <f>'EDUCACION PARA LA CIUDADANIA '!CQ50</f>
        <v>0</v>
      </c>
      <c r="BZ51" s="375">
        <f>'EDUCACION PARA LA CIUDADANIA '!CR50</f>
        <v>0</v>
      </c>
      <c r="CA51" s="375">
        <f t="shared" si="25"/>
        <v>0</v>
      </c>
      <c r="CB51" s="375" t="str">
        <f>'EDUCACION PARA LA CIUDADANIA '!DB50</f>
        <v/>
      </c>
      <c r="CC51" s="380" t="str">
        <f t="shared" si="26"/>
        <v/>
      </c>
      <c r="CD51" s="374">
        <f>'PAQUETES CONTABLES '!CP50</f>
        <v>0</v>
      </c>
      <c r="CE51" s="375">
        <f>'PAQUETES CONTABLES '!CQ50</f>
        <v>0</v>
      </c>
      <c r="CF51" s="375">
        <f>'PAQUETES CONTABLES '!CR50</f>
        <v>0</v>
      </c>
      <c r="CG51" s="375">
        <f t="shared" si="27"/>
        <v>0</v>
      </c>
      <c r="CH51" s="375" t="str">
        <f>'PAQUETES CONTABLES '!DB50</f>
        <v/>
      </c>
      <c r="CI51" s="380" t="str">
        <f t="shared" si="28"/>
        <v/>
      </c>
      <c r="CJ51" s="374">
        <f>'TRIBUTACION '!CP50</f>
        <v>0</v>
      </c>
      <c r="CK51" s="375">
        <f>'TRIBUTACION '!CQ50</f>
        <v>0</v>
      </c>
      <c r="CL51" s="375">
        <f>'TRIBUTACION '!CR50</f>
        <v>0</v>
      </c>
      <c r="CM51" s="375">
        <f t="shared" si="29"/>
        <v>0</v>
      </c>
      <c r="CN51" s="375" t="str">
        <f>'TRIBUTACION '!DB50</f>
        <v/>
      </c>
      <c r="CO51" s="380" t="str">
        <f t="shared" si="30"/>
        <v/>
      </c>
      <c r="CP51" s="61">
        <f t="shared" si="31"/>
        <v>0</v>
      </c>
      <c r="DF51" s="384"/>
    </row>
    <row r="52" ht="15.75" customHeight="1">
      <c r="A52" s="56">
        <v>40.0</v>
      </c>
      <c r="B52" s="124" t="str">
        <f>'SABANA CALIFICACIONES'!B51</f>
        <v/>
      </c>
      <c r="C52" s="125" t="str">
        <f>'SABANA CALIFICACIONES'!C51</f>
        <v/>
      </c>
      <c r="D52" s="369">
        <f>LEN!CP51</f>
        <v>0</v>
      </c>
      <c r="E52" s="120">
        <f>LEN!CQ51</f>
        <v>0</v>
      </c>
      <c r="F52" s="370">
        <f>LEN!CR51</f>
        <v>0</v>
      </c>
      <c r="G52" s="371">
        <f t="shared" si="1"/>
        <v>0</v>
      </c>
      <c r="H52" s="120" t="str">
        <f>LEN!DB51</f>
        <v/>
      </c>
      <c r="I52" s="372" t="str">
        <f t="shared" si="2"/>
        <v/>
      </c>
      <c r="J52" s="369">
        <f>MATE!CP51</f>
        <v>0</v>
      </c>
      <c r="K52" s="120">
        <f>MATE!CQ51</f>
        <v>0</v>
      </c>
      <c r="L52" s="120">
        <f>MATE!CR51</f>
        <v>0</v>
      </c>
      <c r="M52" s="120">
        <f t="shared" si="3"/>
        <v>0</v>
      </c>
      <c r="N52" s="120" t="str">
        <f>MATE!DB51</f>
        <v/>
      </c>
      <c r="O52" s="370" t="str">
        <f t="shared" si="4"/>
        <v/>
      </c>
      <c r="P52" s="369">
        <f>INGLES!CP51</f>
        <v>0</v>
      </c>
      <c r="Q52" s="120">
        <f>INGLES!CQ51</f>
        <v>0</v>
      </c>
      <c r="R52" s="120">
        <f>INGLES!CR51</f>
        <v>0</v>
      </c>
      <c r="S52" s="120">
        <f t="shared" si="5"/>
        <v>0</v>
      </c>
      <c r="T52" s="120" t="str">
        <f>INGLES!DB51</f>
        <v/>
      </c>
      <c r="U52" s="370" t="str">
        <f t="shared" si="6"/>
        <v/>
      </c>
      <c r="V52" s="369">
        <f>QUIMI!CP51</f>
        <v>0</v>
      </c>
      <c r="W52" s="120">
        <f>QUIMI!CQ51</f>
        <v>0</v>
      </c>
      <c r="X52" s="120">
        <f>QUIMI!CR51</f>
        <v>0</v>
      </c>
      <c r="Y52" s="120">
        <f t="shared" si="7"/>
        <v>0</v>
      </c>
      <c r="Z52" s="120" t="str">
        <f>QUIMI!DB51</f>
        <v/>
      </c>
      <c r="AA52" s="370" t="str">
        <f t="shared" si="8"/>
        <v/>
      </c>
      <c r="AB52" s="369">
        <f>FISICA!CO51</f>
        <v>0</v>
      </c>
      <c r="AC52" s="120">
        <f>FISICA!CP51</f>
        <v>0</v>
      </c>
      <c r="AD52" s="120">
        <f>FISICA!CQ51</f>
        <v>0</v>
      </c>
      <c r="AE52" s="120">
        <f t="shared" si="9"/>
        <v>0</v>
      </c>
      <c r="AF52" s="120" t="str">
        <f>FISICA!DA51</f>
        <v/>
      </c>
      <c r="AG52" s="370" t="str">
        <f t="shared" si="10"/>
        <v/>
      </c>
      <c r="AH52" s="369">
        <f>'ED. FISICA'!CP51</f>
        <v>0</v>
      </c>
      <c r="AI52" s="120">
        <f>'ED. FISICA'!CQ51</f>
        <v>0</v>
      </c>
      <c r="AJ52" s="120">
        <f>'ED. FISICA'!CR51</f>
        <v>0</v>
      </c>
      <c r="AK52" s="120">
        <f t="shared" si="11"/>
        <v>0</v>
      </c>
      <c r="AL52" s="120" t="str">
        <f>'ED. FISICA'!DB51</f>
        <v/>
      </c>
      <c r="AM52" s="370" t="str">
        <f t="shared" si="12"/>
        <v/>
      </c>
      <c r="AN52" s="369">
        <f>'CONTABILIDAD GENERAL '!CP51</f>
        <v>0</v>
      </c>
      <c r="AO52" s="120">
        <f>'CONTABILIDAD GENERAL '!CQ51</f>
        <v>0</v>
      </c>
      <c r="AP52" s="120">
        <f>'CONTABILIDAD GENERAL '!CR51</f>
        <v>0</v>
      </c>
      <c r="AQ52" s="120">
        <f t="shared" si="13"/>
        <v>0</v>
      </c>
      <c r="AR52" s="373" t="str">
        <f>'CONTABILIDAD GENERAL '!DB51</f>
        <v/>
      </c>
      <c r="AS52" s="372" t="str">
        <f t="shared" si="14"/>
        <v/>
      </c>
      <c r="AT52" s="374">
        <f>BIO!CP51</f>
        <v>0</v>
      </c>
      <c r="AU52" s="375">
        <f>BIO!CQ51</f>
        <v>0</v>
      </c>
      <c r="AV52" s="375">
        <f>BIO!CR51</f>
        <v>0</v>
      </c>
      <c r="AW52" s="376">
        <f t="shared" si="15"/>
        <v>0</v>
      </c>
      <c r="AX52" s="375" t="str">
        <f>BIO!DB51</f>
        <v/>
      </c>
      <c r="AY52" s="377" t="str">
        <f t="shared" si="16"/>
        <v/>
      </c>
      <c r="AZ52" s="60">
        <f>HIST!CP51</f>
        <v>0</v>
      </c>
      <c r="BA52" s="60">
        <f>HIST!CQ51</f>
        <v>0</v>
      </c>
      <c r="BB52" s="60">
        <f>HIST!CR51</f>
        <v>0</v>
      </c>
      <c r="BC52" s="378">
        <f t="shared" si="17"/>
        <v>0</v>
      </c>
      <c r="BD52" s="379" t="str">
        <f>HIST!DB51</f>
        <v/>
      </c>
      <c r="BE52" s="377" t="str">
        <f t="shared" si="18"/>
        <v/>
      </c>
      <c r="BF52" s="374">
        <f>'E. C. A '!CP51</f>
        <v>0</v>
      </c>
      <c r="BG52" s="375">
        <f>'E. C. A '!CQ51</f>
        <v>0</v>
      </c>
      <c r="BH52" s="375">
        <f>'E. C. A '!CR51</f>
        <v>0</v>
      </c>
      <c r="BI52" s="375">
        <f t="shared" si="19"/>
        <v>0</v>
      </c>
      <c r="BJ52" s="375" t="str">
        <f>'E. C. A '!DB51</f>
        <v/>
      </c>
      <c r="BK52" s="380" t="str">
        <f t="shared" si="20"/>
        <v/>
      </c>
      <c r="BL52" s="381">
        <f>FILOSOFIA!CP51</f>
        <v>0</v>
      </c>
      <c r="BM52" s="375">
        <f>FILOSOFIA!CQ51</f>
        <v>0</v>
      </c>
      <c r="BN52" s="375">
        <f>FILOSOFIA!CR51</f>
        <v>0</v>
      </c>
      <c r="BO52" s="375">
        <f t="shared" si="21"/>
        <v>0</v>
      </c>
      <c r="BP52" s="375" t="str">
        <f>FILOSOFIA!DB51</f>
        <v/>
      </c>
      <c r="BQ52" s="382" t="str">
        <f t="shared" si="22"/>
        <v/>
      </c>
      <c r="BR52" s="383">
        <f>EMP!CP51</f>
        <v>0</v>
      </c>
      <c r="BS52" s="376">
        <f>EMP!CQ51</f>
        <v>0</v>
      </c>
      <c r="BT52" s="376">
        <f>EMP!CR51</f>
        <v>0</v>
      </c>
      <c r="BU52" s="376">
        <f t="shared" si="23"/>
        <v>0</v>
      </c>
      <c r="BV52" s="377"/>
      <c r="BW52" s="380" t="str">
        <f t="shared" si="24"/>
        <v/>
      </c>
      <c r="BX52" s="374">
        <f>'EDUCACION PARA LA CIUDADANIA '!CP51</f>
        <v>0</v>
      </c>
      <c r="BY52" s="375">
        <f>'EDUCACION PARA LA CIUDADANIA '!CQ51</f>
        <v>0</v>
      </c>
      <c r="BZ52" s="375">
        <f>'EDUCACION PARA LA CIUDADANIA '!CR51</f>
        <v>0</v>
      </c>
      <c r="CA52" s="375">
        <f t="shared" si="25"/>
        <v>0</v>
      </c>
      <c r="CB52" s="375" t="str">
        <f>'EDUCACION PARA LA CIUDADANIA '!DB51</f>
        <v/>
      </c>
      <c r="CC52" s="380" t="str">
        <f t="shared" si="26"/>
        <v/>
      </c>
      <c r="CD52" s="374">
        <f>'PAQUETES CONTABLES '!CP51</f>
        <v>0</v>
      </c>
      <c r="CE52" s="375">
        <f>'PAQUETES CONTABLES '!CQ51</f>
        <v>0</v>
      </c>
      <c r="CF52" s="375">
        <f>'PAQUETES CONTABLES '!CR51</f>
        <v>0</v>
      </c>
      <c r="CG52" s="375">
        <f t="shared" si="27"/>
        <v>0</v>
      </c>
      <c r="CH52" s="375" t="str">
        <f>'PAQUETES CONTABLES '!DB51</f>
        <v/>
      </c>
      <c r="CI52" s="380" t="str">
        <f t="shared" si="28"/>
        <v/>
      </c>
      <c r="CJ52" s="374">
        <f>'TRIBUTACION '!CP51</f>
        <v>0</v>
      </c>
      <c r="CK52" s="375">
        <f>'TRIBUTACION '!CQ51</f>
        <v>0</v>
      </c>
      <c r="CL52" s="375">
        <f>'TRIBUTACION '!CR51</f>
        <v>0</v>
      </c>
      <c r="CM52" s="375">
        <f t="shared" si="29"/>
        <v>0</v>
      </c>
      <c r="CN52" s="375" t="str">
        <f>'TRIBUTACION '!DB51</f>
        <v/>
      </c>
      <c r="CO52" s="380" t="str">
        <f t="shared" si="30"/>
        <v/>
      </c>
      <c r="CP52" s="61">
        <f t="shared" si="31"/>
        <v>0</v>
      </c>
      <c r="DF52" s="384"/>
    </row>
    <row r="53" ht="15.75" customHeight="1">
      <c r="A53" s="56">
        <v>41.0</v>
      </c>
      <c r="B53" s="124" t="str">
        <f>'SABANA CALIFICACIONES'!B52</f>
        <v/>
      </c>
      <c r="C53" s="125" t="str">
        <f>'SABANA CALIFICACIONES'!C52</f>
        <v/>
      </c>
      <c r="D53" s="369">
        <f>LEN!CP52</f>
        <v>0</v>
      </c>
      <c r="E53" s="120">
        <f>LEN!CQ52</f>
        <v>0</v>
      </c>
      <c r="F53" s="370">
        <f>LEN!CR52</f>
        <v>0</v>
      </c>
      <c r="G53" s="371">
        <f t="shared" si="1"/>
        <v>0</v>
      </c>
      <c r="H53" s="120" t="str">
        <f>LEN!DB52</f>
        <v/>
      </c>
      <c r="I53" s="372" t="str">
        <f t="shared" si="2"/>
        <v/>
      </c>
      <c r="J53" s="369">
        <f>MATE!CP52</f>
        <v>0</v>
      </c>
      <c r="K53" s="120">
        <f>MATE!CQ52</f>
        <v>0</v>
      </c>
      <c r="L53" s="120">
        <f>MATE!CR52</f>
        <v>0</v>
      </c>
      <c r="M53" s="120">
        <f t="shared" si="3"/>
        <v>0</v>
      </c>
      <c r="N53" s="120" t="str">
        <f>MATE!DB52</f>
        <v/>
      </c>
      <c r="O53" s="370" t="str">
        <f t="shared" si="4"/>
        <v/>
      </c>
      <c r="P53" s="369">
        <f>INGLES!CP52</f>
        <v>0</v>
      </c>
      <c r="Q53" s="120">
        <f>INGLES!CQ52</f>
        <v>0</v>
      </c>
      <c r="R53" s="120">
        <f>INGLES!CR52</f>
        <v>0</v>
      </c>
      <c r="S53" s="120">
        <f t="shared" si="5"/>
        <v>0</v>
      </c>
      <c r="T53" s="120" t="str">
        <f>INGLES!DB52</f>
        <v/>
      </c>
      <c r="U53" s="370" t="str">
        <f t="shared" si="6"/>
        <v/>
      </c>
      <c r="V53" s="369">
        <f>QUIMI!CP52</f>
        <v>0</v>
      </c>
      <c r="W53" s="120">
        <f>QUIMI!CQ52</f>
        <v>0</v>
      </c>
      <c r="X53" s="120">
        <f>QUIMI!CR52</f>
        <v>0</v>
      </c>
      <c r="Y53" s="120">
        <f t="shared" si="7"/>
        <v>0</v>
      </c>
      <c r="Z53" s="120" t="str">
        <f>QUIMI!DB52</f>
        <v/>
      </c>
      <c r="AA53" s="370" t="str">
        <f t="shared" si="8"/>
        <v/>
      </c>
      <c r="AB53" s="369">
        <f>FISICA!CO52</f>
        <v>0</v>
      </c>
      <c r="AC53" s="120">
        <f>FISICA!CP52</f>
        <v>0</v>
      </c>
      <c r="AD53" s="120">
        <f>FISICA!CQ52</f>
        <v>0</v>
      </c>
      <c r="AE53" s="120">
        <f t="shared" si="9"/>
        <v>0</v>
      </c>
      <c r="AF53" s="120" t="str">
        <f>FISICA!DA52</f>
        <v/>
      </c>
      <c r="AG53" s="370" t="str">
        <f t="shared" si="10"/>
        <v/>
      </c>
      <c r="AH53" s="369">
        <f>'ED. FISICA'!CP52</f>
        <v>0</v>
      </c>
      <c r="AI53" s="120">
        <f>'ED. FISICA'!CQ52</f>
        <v>0</v>
      </c>
      <c r="AJ53" s="120">
        <f>'ED. FISICA'!CR52</f>
        <v>0</v>
      </c>
      <c r="AK53" s="120">
        <f t="shared" si="11"/>
        <v>0</v>
      </c>
      <c r="AL53" s="120" t="str">
        <f>'ED. FISICA'!DB52</f>
        <v/>
      </c>
      <c r="AM53" s="370" t="str">
        <f t="shared" si="12"/>
        <v/>
      </c>
      <c r="AN53" s="369">
        <f>'CONTABILIDAD GENERAL '!CP52</f>
        <v>0</v>
      </c>
      <c r="AO53" s="120">
        <f>'CONTABILIDAD GENERAL '!CQ52</f>
        <v>0</v>
      </c>
      <c r="AP53" s="120">
        <f>'CONTABILIDAD GENERAL '!CR52</f>
        <v>0</v>
      </c>
      <c r="AQ53" s="120">
        <f t="shared" si="13"/>
        <v>0</v>
      </c>
      <c r="AR53" s="373" t="str">
        <f>'CONTABILIDAD GENERAL '!DB52</f>
        <v/>
      </c>
      <c r="AS53" s="372" t="str">
        <f t="shared" si="14"/>
        <v/>
      </c>
      <c r="AT53" s="374">
        <f>BIO!CP52</f>
        <v>0</v>
      </c>
      <c r="AU53" s="375">
        <f>BIO!CQ52</f>
        <v>0</v>
      </c>
      <c r="AV53" s="375">
        <f>BIO!CR52</f>
        <v>0</v>
      </c>
      <c r="AW53" s="376">
        <f t="shared" si="15"/>
        <v>0</v>
      </c>
      <c r="AX53" s="375" t="str">
        <f>BIO!DB52</f>
        <v/>
      </c>
      <c r="AY53" s="377" t="str">
        <f t="shared" si="16"/>
        <v/>
      </c>
      <c r="AZ53" s="60">
        <f>HIST!CP52</f>
        <v>0</v>
      </c>
      <c r="BA53" s="60">
        <f>HIST!CQ52</f>
        <v>0</v>
      </c>
      <c r="BB53" s="60">
        <f>HIST!CR52</f>
        <v>0</v>
      </c>
      <c r="BC53" s="378">
        <f t="shared" si="17"/>
        <v>0</v>
      </c>
      <c r="BD53" s="379" t="str">
        <f>HIST!DB52</f>
        <v/>
      </c>
      <c r="BE53" s="377" t="str">
        <f t="shared" si="18"/>
        <v/>
      </c>
      <c r="BF53" s="374">
        <f>'E. C. A '!CP52</f>
        <v>0</v>
      </c>
      <c r="BG53" s="375">
        <f>'E. C. A '!CQ52</f>
        <v>0</v>
      </c>
      <c r="BH53" s="375">
        <f>'E. C. A '!CR52</f>
        <v>0</v>
      </c>
      <c r="BI53" s="375">
        <f t="shared" si="19"/>
        <v>0</v>
      </c>
      <c r="BJ53" s="375" t="str">
        <f>'E. C. A '!DB52</f>
        <v/>
      </c>
      <c r="BK53" s="380" t="str">
        <f t="shared" si="20"/>
        <v/>
      </c>
      <c r="BL53" s="381">
        <f>FILOSOFIA!CP52</f>
        <v>0</v>
      </c>
      <c r="BM53" s="375">
        <f>FILOSOFIA!CQ52</f>
        <v>0</v>
      </c>
      <c r="BN53" s="375">
        <f>FILOSOFIA!CR52</f>
        <v>0</v>
      </c>
      <c r="BO53" s="375">
        <f t="shared" si="21"/>
        <v>0</v>
      </c>
      <c r="BP53" s="375" t="str">
        <f>FILOSOFIA!DB52</f>
        <v/>
      </c>
      <c r="BQ53" s="382" t="str">
        <f t="shared" si="22"/>
        <v/>
      </c>
      <c r="BR53" s="383">
        <f>EMP!CP52</f>
        <v>0</v>
      </c>
      <c r="BS53" s="376">
        <f>EMP!CQ52</f>
        <v>0</v>
      </c>
      <c r="BT53" s="376">
        <f>EMP!CR52</f>
        <v>0</v>
      </c>
      <c r="BU53" s="376">
        <f t="shared" si="23"/>
        <v>0</v>
      </c>
      <c r="BV53" s="377"/>
      <c r="BW53" s="380" t="str">
        <f t="shared" si="24"/>
        <v/>
      </c>
      <c r="BX53" s="374">
        <f>'EDUCACION PARA LA CIUDADANIA '!CP52</f>
        <v>0</v>
      </c>
      <c r="BY53" s="375">
        <f>'EDUCACION PARA LA CIUDADANIA '!CQ52</f>
        <v>0</v>
      </c>
      <c r="BZ53" s="375">
        <f>'EDUCACION PARA LA CIUDADANIA '!CR52</f>
        <v>0</v>
      </c>
      <c r="CA53" s="375">
        <f t="shared" si="25"/>
        <v>0</v>
      </c>
      <c r="CB53" s="375" t="str">
        <f>'EDUCACION PARA LA CIUDADANIA '!DB52</f>
        <v/>
      </c>
      <c r="CC53" s="380" t="str">
        <f t="shared" si="26"/>
        <v/>
      </c>
      <c r="CD53" s="374">
        <f>'PAQUETES CONTABLES '!CP52</f>
        <v>0</v>
      </c>
      <c r="CE53" s="375">
        <f>'PAQUETES CONTABLES '!CQ52</f>
        <v>0</v>
      </c>
      <c r="CF53" s="375">
        <f>'PAQUETES CONTABLES '!CR52</f>
        <v>0</v>
      </c>
      <c r="CG53" s="375">
        <f t="shared" si="27"/>
        <v>0</v>
      </c>
      <c r="CH53" s="375" t="str">
        <f>'PAQUETES CONTABLES '!DB52</f>
        <v/>
      </c>
      <c r="CI53" s="380" t="str">
        <f t="shared" si="28"/>
        <v/>
      </c>
      <c r="CJ53" s="374">
        <f>'TRIBUTACION '!CP52</f>
        <v>0</v>
      </c>
      <c r="CK53" s="375">
        <f>'TRIBUTACION '!CQ52</f>
        <v>0</v>
      </c>
      <c r="CL53" s="375">
        <f>'TRIBUTACION '!CR52</f>
        <v>0</v>
      </c>
      <c r="CM53" s="375">
        <f t="shared" si="29"/>
        <v>0</v>
      </c>
      <c r="CN53" s="375" t="str">
        <f>'TRIBUTACION '!DB52</f>
        <v/>
      </c>
      <c r="CO53" s="380" t="str">
        <f t="shared" si="30"/>
        <v/>
      </c>
      <c r="CP53" s="61">
        <f t="shared" si="31"/>
        <v>0</v>
      </c>
      <c r="DF53" s="384"/>
    </row>
    <row r="54" ht="15.75" customHeight="1">
      <c r="A54" s="56">
        <v>42.0</v>
      </c>
      <c r="B54" s="124" t="str">
        <f>'SABANA CALIFICACIONES'!B53</f>
        <v/>
      </c>
      <c r="C54" s="125" t="str">
        <f>'SABANA CALIFICACIONES'!C53</f>
        <v/>
      </c>
      <c r="D54" s="369">
        <f>LEN!CP53</f>
        <v>0</v>
      </c>
      <c r="E54" s="120">
        <f>LEN!CQ53</f>
        <v>0</v>
      </c>
      <c r="F54" s="370">
        <f>LEN!CR53</f>
        <v>0</v>
      </c>
      <c r="G54" s="371">
        <f t="shared" si="1"/>
        <v>0</v>
      </c>
      <c r="H54" s="120" t="str">
        <f>LEN!DB53</f>
        <v/>
      </c>
      <c r="I54" s="372" t="str">
        <f t="shared" si="2"/>
        <v/>
      </c>
      <c r="J54" s="369">
        <f>MATE!CP53</f>
        <v>0</v>
      </c>
      <c r="K54" s="120">
        <f>MATE!CQ53</f>
        <v>0</v>
      </c>
      <c r="L54" s="120">
        <f>MATE!CR53</f>
        <v>0</v>
      </c>
      <c r="M54" s="120">
        <f t="shared" si="3"/>
        <v>0</v>
      </c>
      <c r="N54" s="120" t="str">
        <f>MATE!DB53</f>
        <v/>
      </c>
      <c r="O54" s="370" t="str">
        <f t="shared" si="4"/>
        <v/>
      </c>
      <c r="P54" s="369">
        <f>INGLES!CP53</f>
        <v>0</v>
      </c>
      <c r="Q54" s="120">
        <f>INGLES!CQ53</f>
        <v>0</v>
      </c>
      <c r="R54" s="120">
        <f>INGLES!CR53</f>
        <v>0</v>
      </c>
      <c r="S54" s="120">
        <f t="shared" si="5"/>
        <v>0</v>
      </c>
      <c r="T54" s="120" t="str">
        <f>INGLES!DB53</f>
        <v/>
      </c>
      <c r="U54" s="370" t="str">
        <f t="shared" si="6"/>
        <v/>
      </c>
      <c r="V54" s="369">
        <f>QUIMI!CP53</f>
        <v>0</v>
      </c>
      <c r="W54" s="120">
        <f>QUIMI!CQ53</f>
        <v>0</v>
      </c>
      <c r="X54" s="120">
        <f>QUIMI!CR53</f>
        <v>0</v>
      </c>
      <c r="Y54" s="120">
        <f t="shared" si="7"/>
        <v>0</v>
      </c>
      <c r="Z54" s="120" t="str">
        <f>QUIMI!DB53</f>
        <v/>
      </c>
      <c r="AA54" s="370" t="str">
        <f t="shared" si="8"/>
        <v/>
      </c>
      <c r="AB54" s="369">
        <f>FISICA!CO53</f>
        <v>0</v>
      </c>
      <c r="AC54" s="120">
        <f>FISICA!CP53</f>
        <v>0</v>
      </c>
      <c r="AD54" s="120">
        <f>FISICA!CQ53</f>
        <v>0</v>
      </c>
      <c r="AE54" s="120">
        <f t="shared" si="9"/>
        <v>0</v>
      </c>
      <c r="AF54" s="120" t="str">
        <f>FISICA!DA53</f>
        <v/>
      </c>
      <c r="AG54" s="370" t="str">
        <f t="shared" si="10"/>
        <v/>
      </c>
      <c r="AH54" s="369">
        <f>'ED. FISICA'!CP53</f>
        <v>0</v>
      </c>
      <c r="AI54" s="120">
        <f>'ED. FISICA'!CQ53</f>
        <v>0</v>
      </c>
      <c r="AJ54" s="120">
        <f>'ED. FISICA'!CR53</f>
        <v>0</v>
      </c>
      <c r="AK54" s="120">
        <f t="shared" si="11"/>
        <v>0</v>
      </c>
      <c r="AL54" s="120" t="str">
        <f>'ED. FISICA'!DB53</f>
        <v/>
      </c>
      <c r="AM54" s="370" t="str">
        <f t="shared" si="12"/>
        <v/>
      </c>
      <c r="AN54" s="369">
        <f>'CONTABILIDAD GENERAL '!CP53</f>
        <v>0</v>
      </c>
      <c r="AO54" s="120">
        <f>'CONTABILIDAD GENERAL '!CQ53</f>
        <v>0</v>
      </c>
      <c r="AP54" s="120">
        <f>'CONTABILIDAD GENERAL '!CR53</f>
        <v>0</v>
      </c>
      <c r="AQ54" s="120">
        <f t="shared" si="13"/>
        <v>0</v>
      </c>
      <c r="AR54" s="373" t="str">
        <f>'CONTABILIDAD GENERAL '!DB53</f>
        <v/>
      </c>
      <c r="AS54" s="372" t="str">
        <f t="shared" si="14"/>
        <v/>
      </c>
      <c r="AT54" s="374">
        <f>BIO!CP53</f>
        <v>0</v>
      </c>
      <c r="AU54" s="375">
        <f>BIO!CQ53</f>
        <v>0</v>
      </c>
      <c r="AV54" s="375">
        <f>BIO!CR53</f>
        <v>0</v>
      </c>
      <c r="AW54" s="376">
        <f t="shared" si="15"/>
        <v>0</v>
      </c>
      <c r="AX54" s="375" t="str">
        <f>BIO!DB53</f>
        <v/>
      </c>
      <c r="AY54" s="377" t="str">
        <f t="shared" si="16"/>
        <v/>
      </c>
      <c r="AZ54" s="60">
        <f>HIST!CP53</f>
        <v>0</v>
      </c>
      <c r="BA54" s="60">
        <f>HIST!CQ53</f>
        <v>0</v>
      </c>
      <c r="BB54" s="60">
        <f>HIST!CR53</f>
        <v>0</v>
      </c>
      <c r="BC54" s="378">
        <f t="shared" si="17"/>
        <v>0</v>
      </c>
      <c r="BD54" s="379" t="str">
        <f>HIST!DB53</f>
        <v/>
      </c>
      <c r="BE54" s="377" t="str">
        <f t="shared" si="18"/>
        <v/>
      </c>
      <c r="BF54" s="374">
        <f>'E. C. A '!CP53</f>
        <v>0</v>
      </c>
      <c r="BG54" s="375">
        <f>'E. C. A '!CQ53</f>
        <v>0</v>
      </c>
      <c r="BH54" s="375">
        <f>'E. C. A '!CR53</f>
        <v>0</v>
      </c>
      <c r="BI54" s="375">
        <f t="shared" si="19"/>
        <v>0</v>
      </c>
      <c r="BJ54" s="375" t="str">
        <f>'E. C. A '!DB53</f>
        <v/>
      </c>
      <c r="BK54" s="380" t="str">
        <f t="shared" si="20"/>
        <v/>
      </c>
      <c r="BL54" s="381">
        <f>FILOSOFIA!CP53</f>
        <v>0</v>
      </c>
      <c r="BM54" s="375">
        <f>FILOSOFIA!CQ53</f>
        <v>0</v>
      </c>
      <c r="BN54" s="375">
        <f>FILOSOFIA!CR53</f>
        <v>0</v>
      </c>
      <c r="BO54" s="375">
        <f t="shared" si="21"/>
        <v>0</v>
      </c>
      <c r="BP54" s="375" t="str">
        <f>FILOSOFIA!DB53</f>
        <v/>
      </c>
      <c r="BQ54" s="382" t="str">
        <f t="shared" si="22"/>
        <v/>
      </c>
      <c r="BR54" s="383">
        <f>EMP!CP53</f>
        <v>0</v>
      </c>
      <c r="BS54" s="376">
        <f>EMP!CQ53</f>
        <v>0</v>
      </c>
      <c r="BT54" s="376">
        <f>EMP!CR53</f>
        <v>0</v>
      </c>
      <c r="BU54" s="376">
        <f t="shared" si="23"/>
        <v>0</v>
      </c>
      <c r="BV54" s="377"/>
      <c r="BW54" s="380" t="str">
        <f t="shared" si="24"/>
        <v/>
      </c>
      <c r="BX54" s="374">
        <f>'EDUCACION PARA LA CIUDADANIA '!CP53</f>
        <v>0</v>
      </c>
      <c r="BY54" s="375">
        <f>'EDUCACION PARA LA CIUDADANIA '!CQ53</f>
        <v>0</v>
      </c>
      <c r="BZ54" s="375">
        <f>'EDUCACION PARA LA CIUDADANIA '!CR53</f>
        <v>0</v>
      </c>
      <c r="CA54" s="375">
        <f t="shared" si="25"/>
        <v>0</v>
      </c>
      <c r="CB54" s="375" t="str">
        <f>'EDUCACION PARA LA CIUDADANIA '!DB53</f>
        <v/>
      </c>
      <c r="CC54" s="380" t="str">
        <f t="shared" si="26"/>
        <v/>
      </c>
      <c r="CD54" s="374">
        <f>'PAQUETES CONTABLES '!CP53</f>
        <v>0</v>
      </c>
      <c r="CE54" s="375">
        <f>'PAQUETES CONTABLES '!CQ53</f>
        <v>0</v>
      </c>
      <c r="CF54" s="375">
        <f>'PAQUETES CONTABLES '!CR53</f>
        <v>0</v>
      </c>
      <c r="CG54" s="375">
        <f t="shared" si="27"/>
        <v>0</v>
      </c>
      <c r="CH54" s="375" t="str">
        <f>'PAQUETES CONTABLES '!DB53</f>
        <v/>
      </c>
      <c r="CI54" s="380" t="str">
        <f t="shared" si="28"/>
        <v/>
      </c>
      <c r="CJ54" s="374">
        <f>'TRIBUTACION '!CP53</f>
        <v>0</v>
      </c>
      <c r="CK54" s="375">
        <f>'TRIBUTACION '!CQ53</f>
        <v>0</v>
      </c>
      <c r="CL54" s="375">
        <f>'TRIBUTACION '!CR53</f>
        <v>0</v>
      </c>
      <c r="CM54" s="375">
        <f t="shared" si="29"/>
        <v>0</v>
      </c>
      <c r="CN54" s="375" t="str">
        <f>'TRIBUTACION '!DB53</f>
        <v/>
      </c>
      <c r="CO54" s="380" t="str">
        <f t="shared" si="30"/>
        <v/>
      </c>
      <c r="CP54" s="61">
        <f t="shared" si="31"/>
        <v>0</v>
      </c>
      <c r="DF54" s="384"/>
    </row>
    <row r="55" ht="15.75" customHeight="1">
      <c r="A55" s="56">
        <v>43.0</v>
      </c>
      <c r="B55" s="124" t="str">
        <f>'SABANA CALIFICACIONES'!B54</f>
        <v/>
      </c>
      <c r="C55" s="125" t="str">
        <f>'SABANA CALIFICACIONES'!C54</f>
        <v/>
      </c>
      <c r="D55" s="369">
        <f>LEN!CP54</f>
        <v>0</v>
      </c>
      <c r="E55" s="120">
        <f>LEN!CQ54</f>
        <v>0</v>
      </c>
      <c r="F55" s="370">
        <f>LEN!CR54</f>
        <v>0</v>
      </c>
      <c r="G55" s="371">
        <f t="shared" si="1"/>
        <v>0</v>
      </c>
      <c r="H55" s="120" t="str">
        <f>LEN!DB54</f>
        <v/>
      </c>
      <c r="I55" s="372" t="str">
        <f t="shared" si="2"/>
        <v/>
      </c>
      <c r="J55" s="369">
        <f>MATE!CP54</f>
        <v>0</v>
      </c>
      <c r="K55" s="120">
        <f>MATE!CQ54</f>
        <v>0</v>
      </c>
      <c r="L55" s="120">
        <f>MATE!CR54</f>
        <v>0</v>
      </c>
      <c r="M55" s="120">
        <f t="shared" si="3"/>
        <v>0</v>
      </c>
      <c r="N55" s="120" t="str">
        <f>MATE!DB54</f>
        <v/>
      </c>
      <c r="O55" s="370" t="str">
        <f t="shared" si="4"/>
        <v/>
      </c>
      <c r="P55" s="369">
        <f>INGLES!CP54</f>
        <v>0</v>
      </c>
      <c r="Q55" s="120">
        <f>INGLES!CQ54</f>
        <v>0</v>
      </c>
      <c r="R55" s="120">
        <f>INGLES!CR54</f>
        <v>0</v>
      </c>
      <c r="S55" s="120">
        <f t="shared" si="5"/>
        <v>0</v>
      </c>
      <c r="T55" s="120" t="str">
        <f>INGLES!DB54</f>
        <v/>
      </c>
      <c r="U55" s="370" t="str">
        <f t="shared" si="6"/>
        <v/>
      </c>
      <c r="V55" s="369">
        <f>QUIMI!CP54</f>
        <v>0</v>
      </c>
      <c r="W55" s="120">
        <f>QUIMI!CQ54</f>
        <v>0</v>
      </c>
      <c r="X55" s="120">
        <f>QUIMI!CR54</f>
        <v>0</v>
      </c>
      <c r="Y55" s="120">
        <f t="shared" si="7"/>
        <v>0</v>
      </c>
      <c r="Z55" s="120" t="str">
        <f>QUIMI!DB54</f>
        <v/>
      </c>
      <c r="AA55" s="370" t="str">
        <f t="shared" si="8"/>
        <v/>
      </c>
      <c r="AB55" s="369">
        <f>FISICA!CO54</f>
        <v>0</v>
      </c>
      <c r="AC55" s="120">
        <f>FISICA!CP54</f>
        <v>0</v>
      </c>
      <c r="AD55" s="120">
        <f>FISICA!CQ54</f>
        <v>0</v>
      </c>
      <c r="AE55" s="120">
        <f t="shared" si="9"/>
        <v>0</v>
      </c>
      <c r="AF55" s="120" t="str">
        <f>FISICA!DA54</f>
        <v/>
      </c>
      <c r="AG55" s="370" t="str">
        <f t="shared" si="10"/>
        <v/>
      </c>
      <c r="AH55" s="369">
        <f>'ED. FISICA'!CP54</f>
        <v>0</v>
      </c>
      <c r="AI55" s="120">
        <f>'ED. FISICA'!CQ54</f>
        <v>0</v>
      </c>
      <c r="AJ55" s="120">
        <f>'ED. FISICA'!CR54</f>
        <v>0</v>
      </c>
      <c r="AK55" s="120">
        <f t="shared" si="11"/>
        <v>0</v>
      </c>
      <c r="AL55" s="120" t="str">
        <f>'ED. FISICA'!DB54</f>
        <v/>
      </c>
      <c r="AM55" s="370" t="str">
        <f t="shared" si="12"/>
        <v/>
      </c>
      <c r="AN55" s="369">
        <f>'CONTABILIDAD GENERAL '!CP54</f>
        <v>0</v>
      </c>
      <c r="AO55" s="120">
        <f>'CONTABILIDAD GENERAL '!CQ54</f>
        <v>0</v>
      </c>
      <c r="AP55" s="120">
        <f>'CONTABILIDAD GENERAL '!CR54</f>
        <v>0</v>
      </c>
      <c r="AQ55" s="120">
        <f t="shared" si="13"/>
        <v>0</v>
      </c>
      <c r="AR55" s="373" t="str">
        <f>'CONTABILIDAD GENERAL '!DB54</f>
        <v/>
      </c>
      <c r="AS55" s="372" t="str">
        <f t="shared" si="14"/>
        <v/>
      </c>
      <c r="AT55" s="374">
        <f>BIO!CP54</f>
        <v>0</v>
      </c>
      <c r="AU55" s="375">
        <f>BIO!CQ54</f>
        <v>0</v>
      </c>
      <c r="AV55" s="375">
        <f>BIO!CR54</f>
        <v>0</v>
      </c>
      <c r="AW55" s="376">
        <f t="shared" si="15"/>
        <v>0</v>
      </c>
      <c r="AX55" s="375" t="str">
        <f>BIO!DB54</f>
        <v/>
      </c>
      <c r="AY55" s="377" t="str">
        <f t="shared" si="16"/>
        <v/>
      </c>
      <c r="AZ55" s="60">
        <f>HIST!CP54</f>
        <v>0</v>
      </c>
      <c r="BA55" s="60">
        <f>HIST!CQ54</f>
        <v>0</v>
      </c>
      <c r="BB55" s="60">
        <f>HIST!CR54</f>
        <v>0</v>
      </c>
      <c r="BC55" s="378">
        <f t="shared" si="17"/>
        <v>0</v>
      </c>
      <c r="BD55" s="379" t="str">
        <f>HIST!DB54</f>
        <v/>
      </c>
      <c r="BE55" s="377" t="str">
        <f t="shared" si="18"/>
        <v/>
      </c>
      <c r="BF55" s="374">
        <f>'E. C. A '!CP54</f>
        <v>0</v>
      </c>
      <c r="BG55" s="375">
        <f>'E. C. A '!CQ54</f>
        <v>0</v>
      </c>
      <c r="BH55" s="375">
        <f>'E. C. A '!CR54</f>
        <v>0</v>
      </c>
      <c r="BI55" s="375">
        <f t="shared" si="19"/>
        <v>0</v>
      </c>
      <c r="BJ55" s="375" t="str">
        <f>'E. C. A '!DB54</f>
        <v/>
      </c>
      <c r="BK55" s="380" t="str">
        <f t="shared" si="20"/>
        <v/>
      </c>
      <c r="BL55" s="381">
        <f>FILOSOFIA!CP54</f>
        <v>0</v>
      </c>
      <c r="BM55" s="375">
        <f>FILOSOFIA!CQ54</f>
        <v>0</v>
      </c>
      <c r="BN55" s="375">
        <f>FILOSOFIA!CR54</f>
        <v>0</v>
      </c>
      <c r="BO55" s="375">
        <f t="shared" si="21"/>
        <v>0</v>
      </c>
      <c r="BP55" s="375" t="str">
        <f>FILOSOFIA!DB54</f>
        <v/>
      </c>
      <c r="BQ55" s="382" t="str">
        <f t="shared" si="22"/>
        <v/>
      </c>
      <c r="BR55" s="383">
        <f>EMP!CP54</f>
        <v>0</v>
      </c>
      <c r="BS55" s="376">
        <f>EMP!CQ54</f>
        <v>0</v>
      </c>
      <c r="BT55" s="376">
        <f>EMP!CR54</f>
        <v>0</v>
      </c>
      <c r="BU55" s="376">
        <f t="shared" si="23"/>
        <v>0</v>
      </c>
      <c r="BV55" s="377"/>
      <c r="BW55" s="380" t="str">
        <f t="shared" si="24"/>
        <v/>
      </c>
      <c r="BX55" s="374">
        <f>'EDUCACION PARA LA CIUDADANIA '!CP54</f>
        <v>0</v>
      </c>
      <c r="BY55" s="375">
        <f>'EDUCACION PARA LA CIUDADANIA '!CQ54</f>
        <v>0</v>
      </c>
      <c r="BZ55" s="375">
        <f>'EDUCACION PARA LA CIUDADANIA '!CR54</f>
        <v>0</v>
      </c>
      <c r="CA55" s="375">
        <f t="shared" si="25"/>
        <v>0</v>
      </c>
      <c r="CB55" s="375" t="str">
        <f>'EDUCACION PARA LA CIUDADANIA '!DB54</f>
        <v/>
      </c>
      <c r="CC55" s="380" t="str">
        <f t="shared" si="26"/>
        <v/>
      </c>
      <c r="CD55" s="374">
        <f>'PAQUETES CONTABLES '!CP54</f>
        <v>0</v>
      </c>
      <c r="CE55" s="375">
        <f>'PAQUETES CONTABLES '!CQ54</f>
        <v>0</v>
      </c>
      <c r="CF55" s="375">
        <f>'PAQUETES CONTABLES '!CR54</f>
        <v>0</v>
      </c>
      <c r="CG55" s="375">
        <f t="shared" si="27"/>
        <v>0</v>
      </c>
      <c r="CH55" s="375" t="str">
        <f>'PAQUETES CONTABLES '!DB54</f>
        <v/>
      </c>
      <c r="CI55" s="380" t="str">
        <f t="shared" si="28"/>
        <v/>
      </c>
      <c r="CJ55" s="374">
        <f>'TRIBUTACION '!CP54</f>
        <v>0</v>
      </c>
      <c r="CK55" s="375">
        <f>'TRIBUTACION '!CQ54</f>
        <v>0</v>
      </c>
      <c r="CL55" s="375">
        <f>'TRIBUTACION '!CR54</f>
        <v>0</v>
      </c>
      <c r="CM55" s="375">
        <f t="shared" si="29"/>
        <v>0</v>
      </c>
      <c r="CN55" s="375" t="str">
        <f>'TRIBUTACION '!DB54</f>
        <v/>
      </c>
      <c r="CO55" s="380" t="str">
        <f t="shared" si="30"/>
        <v/>
      </c>
      <c r="CP55" s="61">
        <f t="shared" si="31"/>
        <v>0</v>
      </c>
      <c r="DF55" s="384"/>
    </row>
    <row r="56" ht="15.75" customHeight="1">
      <c r="A56" s="56">
        <v>44.0</v>
      </c>
      <c r="B56" s="124" t="str">
        <f>'SABANA CALIFICACIONES'!B55</f>
        <v/>
      </c>
      <c r="C56" s="125" t="str">
        <f>'SABANA CALIFICACIONES'!C55</f>
        <v/>
      </c>
      <c r="D56" s="369">
        <f>LEN!CP55</f>
        <v>0</v>
      </c>
      <c r="E56" s="120">
        <f>LEN!CQ55</f>
        <v>0</v>
      </c>
      <c r="F56" s="370">
        <f>LEN!CR55</f>
        <v>0</v>
      </c>
      <c r="G56" s="371">
        <f t="shared" si="1"/>
        <v>0</v>
      </c>
      <c r="H56" s="120" t="str">
        <f>LEN!DB55</f>
        <v/>
      </c>
      <c r="I56" s="372" t="str">
        <f t="shared" si="2"/>
        <v/>
      </c>
      <c r="J56" s="369">
        <f>MATE!CP55</f>
        <v>0</v>
      </c>
      <c r="K56" s="120">
        <f>MATE!CQ55</f>
        <v>0</v>
      </c>
      <c r="L56" s="120">
        <f>MATE!CR55</f>
        <v>0</v>
      </c>
      <c r="M56" s="120">
        <f t="shared" si="3"/>
        <v>0</v>
      </c>
      <c r="N56" s="120" t="str">
        <f>MATE!DB55</f>
        <v/>
      </c>
      <c r="O56" s="370" t="str">
        <f t="shared" si="4"/>
        <v/>
      </c>
      <c r="P56" s="369">
        <f>INGLES!CP55</f>
        <v>0</v>
      </c>
      <c r="Q56" s="120">
        <f>INGLES!CQ55</f>
        <v>0</v>
      </c>
      <c r="R56" s="120">
        <f>INGLES!CR55</f>
        <v>0</v>
      </c>
      <c r="S56" s="120">
        <f t="shared" si="5"/>
        <v>0</v>
      </c>
      <c r="T56" s="120" t="str">
        <f>INGLES!DB55</f>
        <v/>
      </c>
      <c r="U56" s="370" t="str">
        <f t="shared" si="6"/>
        <v/>
      </c>
      <c r="V56" s="369">
        <f>QUIMI!CP55</f>
        <v>0</v>
      </c>
      <c r="W56" s="120">
        <f>QUIMI!CQ55</f>
        <v>0</v>
      </c>
      <c r="X56" s="120">
        <f>QUIMI!CR55</f>
        <v>0</v>
      </c>
      <c r="Y56" s="120">
        <f t="shared" si="7"/>
        <v>0</v>
      </c>
      <c r="Z56" s="120" t="str">
        <f>QUIMI!DB55</f>
        <v/>
      </c>
      <c r="AA56" s="370" t="str">
        <f t="shared" si="8"/>
        <v/>
      </c>
      <c r="AB56" s="369">
        <f>FISICA!CO55</f>
        <v>0</v>
      </c>
      <c r="AC56" s="120">
        <f>FISICA!CP55</f>
        <v>0</v>
      </c>
      <c r="AD56" s="120">
        <f>FISICA!CQ55</f>
        <v>0</v>
      </c>
      <c r="AE56" s="120">
        <f t="shared" si="9"/>
        <v>0</v>
      </c>
      <c r="AF56" s="120" t="str">
        <f>FISICA!DA55</f>
        <v/>
      </c>
      <c r="AG56" s="370" t="str">
        <f t="shared" si="10"/>
        <v/>
      </c>
      <c r="AH56" s="369">
        <f>'ED. FISICA'!CP55</f>
        <v>0</v>
      </c>
      <c r="AI56" s="120">
        <f>'ED. FISICA'!CQ55</f>
        <v>0</v>
      </c>
      <c r="AJ56" s="120">
        <f>'ED. FISICA'!CR55</f>
        <v>0</v>
      </c>
      <c r="AK56" s="120">
        <f t="shared" si="11"/>
        <v>0</v>
      </c>
      <c r="AL56" s="120" t="str">
        <f>'ED. FISICA'!DB55</f>
        <v/>
      </c>
      <c r="AM56" s="370" t="str">
        <f t="shared" si="12"/>
        <v/>
      </c>
      <c r="AN56" s="369">
        <f>'CONTABILIDAD GENERAL '!CP55</f>
        <v>0</v>
      </c>
      <c r="AO56" s="120">
        <f>'CONTABILIDAD GENERAL '!CQ55</f>
        <v>0</v>
      </c>
      <c r="AP56" s="120">
        <f>'CONTABILIDAD GENERAL '!CR55</f>
        <v>0</v>
      </c>
      <c r="AQ56" s="120">
        <f t="shared" si="13"/>
        <v>0</v>
      </c>
      <c r="AR56" s="373" t="str">
        <f>'CONTABILIDAD GENERAL '!DB55</f>
        <v/>
      </c>
      <c r="AS56" s="372" t="str">
        <f t="shared" si="14"/>
        <v/>
      </c>
      <c r="AT56" s="374">
        <f>BIO!CP55</f>
        <v>0</v>
      </c>
      <c r="AU56" s="375">
        <f>BIO!CQ55</f>
        <v>0</v>
      </c>
      <c r="AV56" s="375">
        <f>BIO!CR55</f>
        <v>0</v>
      </c>
      <c r="AW56" s="376">
        <f t="shared" si="15"/>
        <v>0</v>
      </c>
      <c r="AX56" s="375" t="str">
        <f>BIO!DB55</f>
        <v/>
      </c>
      <c r="AY56" s="377" t="str">
        <f t="shared" si="16"/>
        <v/>
      </c>
      <c r="AZ56" s="60">
        <f>HIST!CP55</f>
        <v>0</v>
      </c>
      <c r="BA56" s="60">
        <f>HIST!CQ55</f>
        <v>0</v>
      </c>
      <c r="BB56" s="60">
        <f>HIST!CR55</f>
        <v>0</v>
      </c>
      <c r="BC56" s="378">
        <f t="shared" si="17"/>
        <v>0</v>
      </c>
      <c r="BD56" s="379" t="str">
        <f>HIST!DB55</f>
        <v/>
      </c>
      <c r="BE56" s="377" t="str">
        <f t="shared" si="18"/>
        <v/>
      </c>
      <c r="BF56" s="374">
        <f>'E. C. A '!CP55</f>
        <v>0</v>
      </c>
      <c r="BG56" s="375">
        <f>'E. C. A '!CQ55</f>
        <v>0</v>
      </c>
      <c r="BH56" s="375">
        <f>'E. C. A '!CR55</f>
        <v>0</v>
      </c>
      <c r="BI56" s="375">
        <f t="shared" si="19"/>
        <v>0</v>
      </c>
      <c r="BJ56" s="375" t="str">
        <f>'E. C. A '!DB55</f>
        <v/>
      </c>
      <c r="BK56" s="380" t="str">
        <f t="shared" si="20"/>
        <v/>
      </c>
      <c r="BL56" s="381">
        <f>FILOSOFIA!CP55</f>
        <v>0</v>
      </c>
      <c r="BM56" s="375">
        <f>FILOSOFIA!CQ55</f>
        <v>0</v>
      </c>
      <c r="BN56" s="375">
        <f>FILOSOFIA!CR55</f>
        <v>0</v>
      </c>
      <c r="BO56" s="375">
        <f t="shared" si="21"/>
        <v>0</v>
      </c>
      <c r="BP56" s="375" t="str">
        <f>FILOSOFIA!DB55</f>
        <v/>
      </c>
      <c r="BQ56" s="382" t="str">
        <f t="shared" si="22"/>
        <v/>
      </c>
      <c r="BR56" s="383">
        <f>EMP!CP55</f>
        <v>0</v>
      </c>
      <c r="BS56" s="376">
        <f>EMP!CQ55</f>
        <v>0</v>
      </c>
      <c r="BT56" s="376">
        <f>EMP!CR55</f>
        <v>0</v>
      </c>
      <c r="BU56" s="376">
        <f t="shared" si="23"/>
        <v>0</v>
      </c>
      <c r="BV56" s="377"/>
      <c r="BW56" s="380" t="str">
        <f t="shared" si="24"/>
        <v/>
      </c>
      <c r="BX56" s="374">
        <f>'EDUCACION PARA LA CIUDADANIA '!CP55</f>
        <v>0</v>
      </c>
      <c r="BY56" s="375">
        <f>'EDUCACION PARA LA CIUDADANIA '!CQ55</f>
        <v>0</v>
      </c>
      <c r="BZ56" s="375">
        <f>'EDUCACION PARA LA CIUDADANIA '!CR55</f>
        <v>0</v>
      </c>
      <c r="CA56" s="375">
        <f t="shared" si="25"/>
        <v>0</v>
      </c>
      <c r="CB56" s="375" t="str">
        <f>'EDUCACION PARA LA CIUDADANIA '!DB55</f>
        <v/>
      </c>
      <c r="CC56" s="380" t="str">
        <f t="shared" si="26"/>
        <v/>
      </c>
      <c r="CD56" s="374">
        <f>'PAQUETES CONTABLES '!CP55</f>
        <v>0</v>
      </c>
      <c r="CE56" s="375">
        <f>'PAQUETES CONTABLES '!CQ55</f>
        <v>0</v>
      </c>
      <c r="CF56" s="375">
        <f>'PAQUETES CONTABLES '!CR55</f>
        <v>0</v>
      </c>
      <c r="CG56" s="375">
        <f t="shared" si="27"/>
        <v>0</v>
      </c>
      <c r="CH56" s="375" t="str">
        <f>'PAQUETES CONTABLES '!DB55</f>
        <v/>
      </c>
      <c r="CI56" s="380" t="str">
        <f t="shared" si="28"/>
        <v/>
      </c>
      <c r="CJ56" s="374">
        <f>'TRIBUTACION '!CP55</f>
        <v>0</v>
      </c>
      <c r="CK56" s="375">
        <f>'TRIBUTACION '!CQ55</f>
        <v>0</v>
      </c>
      <c r="CL56" s="375">
        <f>'TRIBUTACION '!CR55</f>
        <v>0</v>
      </c>
      <c r="CM56" s="375">
        <f t="shared" si="29"/>
        <v>0</v>
      </c>
      <c r="CN56" s="375" t="str">
        <f>'TRIBUTACION '!DB55</f>
        <v/>
      </c>
      <c r="CO56" s="380" t="str">
        <f t="shared" si="30"/>
        <v/>
      </c>
      <c r="CP56" s="61">
        <f t="shared" si="31"/>
        <v>0</v>
      </c>
      <c r="DF56" s="384"/>
    </row>
    <row r="57" ht="15.75" customHeight="1">
      <c r="A57" s="56">
        <v>45.0</v>
      </c>
      <c r="B57" s="124" t="str">
        <f>'SABANA CALIFICACIONES'!B56</f>
        <v/>
      </c>
      <c r="C57" s="125" t="str">
        <f>'SABANA CALIFICACIONES'!C56</f>
        <v/>
      </c>
      <c r="D57" s="369" t="str">
        <f>LEN!CP56</f>
        <v/>
      </c>
      <c r="E57" s="120" t="str">
        <f>LEN!CQ56</f>
        <v/>
      </c>
      <c r="F57" s="370" t="str">
        <f>LEN!CR56</f>
        <v/>
      </c>
      <c r="G57" s="371" t="str">
        <f t="shared" si="1"/>
        <v>#DIV/0!</v>
      </c>
      <c r="H57" s="120" t="str">
        <f>LEN!DB56</f>
        <v/>
      </c>
      <c r="I57" s="372" t="str">
        <f t="shared" si="2"/>
        <v>#DIV/0!</v>
      </c>
      <c r="J57" s="369" t="str">
        <f>MATE!CP56</f>
        <v/>
      </c>
      <c r="K57" s="120" t="str">
        <f>MATE!CQ56</f>
        <v/>
      </c>
      <c r="L57" s="120" t="str">
        <f>MATE!CR56</f>
        <v/>
      </c>
      <c r="M57" s="120" t="str">
        <f t="shared" si="3"/>
        <v>#DIV/0!</v>
      </c>
      <c r="N57" s="120" t="str">
        <f>MATE!DB56</f>
        <v/>
      </c>
      <c r="O57" s="370" t="str">
        <f t="shared" si="4"/>
        <v>#DIV/0!</v>
      </c>
      <c r="P57" s="369" t="str">
        <f>INGLES!CP56</f>
        <v/>
      </c>
      <c r="Q57" s="120" t="str">
        <f>INGLES!CQ56</f>
        <v/>
      </c>
      <c r="R57" s="120" t="str">
        <f>INGLES!CR56</f>
        <v/>
      </c>
      <c r="S57" s="120" t="str">
        <f t="shared" si="5"/>
        <v>#DIV/0!</v>
      </c>
      <c r="T57" s="120" t="str">
        <f>INGLES!DB56</f>
        <v/>
      </c>
      <c r="U57" s="370" t="str">
        <f t="shared" si="6"/>
        <v>#DIV/0!</v>
      </c>
      <c r="V57" s="369" t="str">
        <f>QUIMI!CP56</f>
        <v/>
      </c>
      <c r="W57" s="120" t="str">
        <f>QUIMI!CQ56</f>
        <v/>
      </c>
      <c r="X57" s="120" t="str">
        <f>QUIMI!CR56</f>
        <v/>
      </c>
      <c r="Y57" s="120" t="str">
        <f t="shared" si="7"/>
        <v>#DIV/0!</v>
      </c>
      <c r="Z57" s="120" t="str">
        <f>QUIMI!DB56</f>
        <v/>
      </c>
      <c r="AA57" s="370" t="str">
        <f t="shared" si="8"/>
        <v>#DIV/0!</v>
      </c>
      <c r="AB57" s="369" t="str">
        <f>FISICA!CO56</f>
        <v/>
      </c>
      <c r="AC57" s="120" t="str">
        <f>FISICA!CP56</f>
        <v/>
      </c>
      <c r="AD57" s="120" t="str">
        <f>FISICA!CQ56</f>
        <v/>
      </c>
      <c r="AE57" s="120" t="str">
        <f t="shared" si="9"/>
        <v>#DIV/0!</v>
      </c>
      <c r="AF57" s="120" t="str">
        <f>FISICA!DA56</f>
        <v/>
      </c>
      <c r="AG57" s="370" t="str">
        <f t="shared" si="10"/>
        <v>#DIV/0!</v>
      </c>
      <c r="AH57" s="369" t="str">
        <f>'ED. FISICA'!CP56</f>
        <v/>
      </c>
      <c r="AI57" s="120" t="str">
        <f>'ED. FISICA'!CQ56</f>
        <v/>
      </c>
      <c r="AJ57" s="120" t="str">
        <f>'ED. FISICA'!CR56</f>
        <v/>
      </c>
      <c r="AK57" s="120" t="str">
        <f t="shared" si="11"/>
        <v>#DIV/0!</v>
      </c>
      <c r="AL57" s="120" t="str">
        <f>'ED. FISICA'!DB56</f>
        <v/>
      </c>
      <c r="AM57" s="370" t="str">
        <f t="shared" si="12"/>
        <v>#DIV/0!</v>
      </c>
      <c r="AN57" s="369" t="str">
        <f>'CONTABILIDAD GENERAL '!CP56</f>
        <v/>
      </c>
      <c r="AO57" s="120" t="str">
        <f>'CONTABILIDAD GENERAL '!CQ56</f>
        <v/>
      </c>
      <c r="AP57" s="120" t="str">
        <f>'CONTABILIDAD GENERAL '!CR56</f>
        <v/>
      </c>
      <c r="AQ57" s="120" t="str">
        <f t="shared" si="13"/>
        <v>#DIV/0!</v>
      </c>
      <c r="AR57" s="373" t="str">
        <f>'CONTABILIDAD GENERAL '!DB56</f>
        <v/>
      </c>
      <c r="AS57" s="372" t="str">
        <f t="shared" si="14"/>
        <v>#DIV/0!</v>
      </c>
      <c r="AT57" s="374" t="str">
        <f>BIO!CP56</f>
        <v/>
      </c>
      <c r="AU57" s="375" t="str">
        <f>BIO!CQ56</f>
        <v/>
      </c>
      <c r="AV57" s="375" t="str">
        <f>BIO!CR56</f>
        <v/>
      </c>
      <c r="AW57" s="376" t="str">
        <f t="shared" si="15"/>
        <v>#DIV/0!</v>
      </c>
      <c r="AX57" s="375" t="str">
        <f>BIO!DB56</f>
        <v/>
      </c>
      <c r="AY57" s="377" t="str">
        <f t="shared" si="16"/>
        <v>#DIV/0!</v>
      </c>
      <c r="AZ57" s="60" t="str">
        <f>HIST!CP56</f>
        <v/>
      </c>
      <c r="BA57" s="60" t="str">
        <f>HIST!CQ56</f>
        <v/>
      </c>
      <c r="BB57" s="60" t="str">
        <f>HIST!CR56</f>
        <v/>
      </c>
      <c r="BC57" s="378" t="str">
        <f t="shared" si="17"/>
        <v>#DIV/0!</v>
      </c>
      <c r="BD57" s="379" t="str">
        <f>HIST!DB56</f>
        <v/>
      </c>
      <c r="BE57" s="377" t="str">
        <f t="shared" si="18"/>
        <v>#DIV/0!</v>
      </c>
      <c r="BF57" s="374" t="str">
        <f>'E. C. A '!CP56</f>
        <v/>
      </c>
      <c r="BG57" s="375" t="str">
        <f>'E. C. A '!CQ56</f>
        <v/>
      </c>
      <c r="BH57" s="375" t="str">
        <f>'E. C. A '!CR56</f>
        <v/>
      </c>
      <c r="BI57" s="375" t="str">
        <f t="shared" si="19"/>
        <v>#DIV/0!</v>
      </c>
      <c r="BJ57" s="375" t="str">
        <f>'E. C. A '!DB56</f>
        <v/>
      </c>
      <c r="BK57" s="380" t="str">
        <f t="shared" si="20"/>
        <v>#DIV/0!</v>
      </c>
      <c r="BL57" s="381" t="str">
        <f>FILOSOFIA!CP56</f>
        <v/>
      </c>
      <c r="BM57" s="375" t="str">
        <f>FILOSOFIA!CQ56</f>
        <v/>
      </c>
      <c r="BN57" s="375" t="str">
        <f>FILOSOFIA!CR56</f>
        <v/>
      </c>
      <c r="BO57" s="375" t="str">
        <f t="shared" si="21"/>
        <v>#DIV/0!</v>
      </c>
      <c r="BP57" s="375" t="str">
        <f>FILOSOFIA!DB56</f>
        <v/>
      </c>
      <c r="BQ57" s="382" t="str">
        <f t="shared" si="22"/>
        <v>#DIV/0!</v>
      </c>
      <c r="BR57" s="383" t="str">
        <f>EMP!CP56</f>
        <v/>
      </c>
      <c r="BS57" s="376" t="str">
        <f>EMP!CQ56</f>
        <v/>
      </c>
      <c r="BT57" s="376" t="str">
        <f>EMP!CR56</f>
        <v/>
      </c>
      <c r="BU57" s="376" t="str">
        <f t="shared" si="23"/>
        <v>#DIV/0!</v>
      </c>
      <c r="BV57" s="377"/>
      <c r="BW57" s="380" t="str">
        <f t="shared" si="24"/>
        <v>#DIV/0!</v>
      </c>
      <c r="BX57" s="374" t="str">
        <f>'EDUCACION PARA LA CIUDADANIA '!CP56</f>
        <v/>
      </c>
      <c r="BY57" s="375" t="str">
        <f>'EDUCACION PARA LA CIUDADANIA '!CQ56</f>
        <v/>
      </c>
      <c r="BZ57" s="375" t="str">
        <f>'EDUCACION PARA LA CIUDADANIA '!CR56</f>
        <v/>
      </c>
      <c r="CA57" s="375" t="str">
        <f t="shared" si="25"/>
        <v>#DIV/0!</v>
      </c>
      <c r="CB57" s="375" t="str">
        <f>'EDUCACION PARA LA CIUDADANIA '!DB56</f>
        <v/>
      </c>
      <c r="CC57" s="380" t="str">
        <f t="shared" si="26"/>
        <v>#DIV/0!</v>
      </c>
      <c r="CD57" s="374" t="str">
        <f>'PAQUETES CONTABLES '!CP56</f>
        <v/>
      </c>
      <c r="CE57" s="375" t="str">
        <f>'PAQUETES CONTABLES '!CQ56</f>
        <v/>
      </c>
      <c r="CF57" s="375" t="str">
        <f>'PAQUETES CONTABLES '!CR56</f>
        <v/>
      </c>
      <c r="CG57" s="375" t="str">
        <f t="shared" si="27"/>
        <v>#DIV/0!</v>
      </c>
      <c r="CH57" s="375" t="str">
        <f>'PAQUETES CONTABLES '!DB56</f>
        <v/>
      </c>
      <c r="CI57" s="380" t="str">
        <f t="shared" si="28"/>
        <v>#DIV/0!</v>
      </c>
      <c r="CJ57" s="374" t="str">
        <f>'TRIBUTACION '!CP56</f>
        <v/>
      </c>
      <c r="CK57" s="375" t="str">
        <f>'TRIBUTACION '!CQ56</f>
        <v/>
      </c>
      <c r="CL57" s="375" t="str">
        <f>'TRIBUTACION '!CR56</f>
        <v/>
      </c>
      <c r="CM57" s="375" t="str">
        <f t="shared" si="29"/>
        <v>#DIV/0!</v>
      </c>
      <c r="CN57" s="375" t="str">
        <f>'TRIBUTACION '!DB56</f>
        <v/>
      </c>
      <c r="CO57" s="380" t="str">
        <f t="shared" si="30"/>
        <v>#DIV/0!</v>
      </c>
      <c r="CP57" s="61" t="str">
        <f t="shared" si="31"/>
        <v>#DIV/0!</v>
      </c>
      <c r="DF57" s="384"/>
    </row>
    <row r="58" ht="15.75" customHeight="1">
      <c r="A58" s="56">
        <v>46.0</v>
      </c>
      <c r="B58" s="124" t="str">
        <f>'SABANA CALIFICACIONES'!B57</f>
        <v/>
      </c>
      <c r="C58" s="125" t="str">
        <f>'SABANA CALIFICACIONES'!C57</f>
        <v/>
      </c>
      <c r="D58" s="369" t="str">
        <f>LEN!CP57</f>
        <v/>
      </c>
      <c r="E58" s="120" t="str">
        <f>LEN!CQ57</f>
        <v/>
      </c>
      <c r="F58" s="370" t="str">
        <f>LEN!CR57</f>
        <v/>
      </c>
      <c r="G58" s="371" t="str">
        <f t="shared" si="1"/>
        <v>#DIV/0!</v>
      </c>
      <c r="H58" s="120" t="str">
        <f>LEN!DB57</f>
        <v/>
      </c>
      <c r="I58" s="372" t="str">
        <f t="shared" si="2"/>
        <v>#DIV/0!</v>
      </c>
      <c r="J58" s="369" t="str">
        <f>MATE!CP57</f>
        <v/>
      </c>
      <c r="K58" s="120" t="str">
        <f>MATE!CQ57</f>
        <v/>
      </c>
      <c r="L58" s="120" t="str">
        <f>MATE!CR57</f>
        <v/>
      </c>
      <c r="M58" s="120" t="str">
        <f t="shared" si="3"/>
        <v>#DIV/0!</v>
      </c>
      <c r="N58" s="120" t="str">
        <f>MATE!DB57</f>
        <v/>
      </c>
      <c r="O58" s="370" t="str">
        <f t="shared" si="4"/>
        <v>#DIV/0!</v>
      </c>
      <c r="P58" s="369" t="str">
        <f>INGLES!CP57</f>
        <v/>
      </c>
      <c r="Q58" s="120" t="str">
        <f>INGLES!CQ57</f>
        <v/>
      </c>
      <c r="R58" s="120" t="str">
        <f>INGLES!CR57</f>
        <v/>
      </c>
      <c r="S58" s="120" t="str">
        <f t="shared" si="5"/>
        <v>#DIV/0!</v>
      </c>
      <c r="T58" s="120" t="str">
        <f>INGLES!DB57</f>
        <v/>
      </c>
      <c r="U58" s="370" t="str">
        <f t="shared" si="6"/>
        <v>#DIV/0!</v>
      </c>
      <c r="V58" s="369" t="str">
        <f>QUIMI!CP57</f>
        <v/>
      </c>
      <c r="W58" s="120" t="str">
        <f>QUIMI!CQ57</f>
        <v/>
      </c>
      <c r="X58" s="120" t="str">
        <f>QUIMI!CR57</f>
        <v/>
      </c>
      <c r="Y58" s="120" t="str">
        <f t="shared" si="7"/>
        <v>#DIV/0!</v>
      </c>
      <c r="Z58" s="120" t="str">
        <f>QUIMI!DB57</f>
        <v/>
      </c>
      <c r="AA58" s="370" t="str">
        <f t="shared" si="8"/>
        <v>#DIV/0!</v>
      </c>
      <c r="AB58" s="369" t="str">
        <f>FISICA!CO57</f>
        <v/>
      </c>
      <c r="AC58" s="120" t="str">
        <f>FISICA!CP57</f>
        <v/>
      </c>
      <c r="AD58" s="120" t="str">
        <f>FISICA!CQ57</f>
        <v/>
      </c>
      <c r="AE58" s="120" t="str">
        <f t="shared" si="9"/>
        <v>#DIV/0!</v>
      </c>
      <c r="AF58" s="120" t="str">
        <f>FISICA!DA57</f>
        <v/>
      </c>
      <c r="AG58" s="370" t="str">
        <f t="shared" si="10"/>
        <v>#DIV/0!</v>
      </c>
      <c r="AH58" s="369" t="str">
        <f>'ED. FISICA'!CP57</f>
        <v/>
      </c>
      <c r="AI58" s="120" t="str">
        <f>'ED. FISICA'!CQ57</f>
        <v/>
      </c>
      <c r="AJ58" s="120" t="str">
        <f>'ED. FISICA'!CR57</f>
        <v/>
      </c>
      <c r="AK58" s="120" t="str">
        <f t="shared" si="11"/>
        <v>#DIV/0!</v>
      </c>
      <c r="AL58" s="120" t="str">
        <f>'ED. FISICA'!DB57</f>
        <v/>
      </c>
      <c r="AM58" s="370" t="str">
        <f t="shared" si="12"/>
        <v>#DIV/0!</v>
      </c>
      <c r="AN58" s="369" t="str">
        <f>'CONTABILIDAD GENERAL '!CP57</f>
        <v/>
      </c>
      <c r="AO58" s="120" t="str">
        <f>'CONTABILIDAD GENERAL '!CQ57</f>
        <v/>
      </c>
      <c r="AP58" s="120" t="str">
        <f>'CONTABILIDAD GENERAL '!CR57</f>
        <v/>
      </c>
      <c r="AQ58" s="120" t="str">
        <f t="shared" si="13"/>
        <v>#DIV/0!</v>
      </c>
      <c r="AR58" s="373" t="str">
        <f>'CONTABILIDAD GENERAL '!DB57</f>
        <v/>
      </c>
      <c r="AS58" s="372" t="str">
        <f t="shared" si="14"/>
        <v>#DIV/0!</v>
      </c>
      <c r="AT58" s="374" t="str">
        <f>BIO!CP57</f>
        <v/>
      </c>
      <c r="AU58" s="375" t="str">
        <f>BIO!CQ57</f>
        <v/>
      </c>
      <c r="AV58" s="375" t="str">
        <f>BIO!CR57</f>
        <v/>
      </c>
      <c r="AW58" s="376" t="str">
        <f t="shared" si="15"/>
        <v>#DIV/0!</v>
      </c>
      <c r="AX58" s="375" t="str">
        <f>BIO!DB57</f>
        <v/>
      </c>
      <c r="AY58" s="377" t="str">
        <f t="shared" si="16"/>
        <v>#DIV/0!</v>
      </c>
      <c r="AZ58" s="60" t="str">
        <f>HIST!CP57</f>
        <v/>
      </c>
      <c r="BA58" s="60" t="str">
        <f>HIST!CQ57</f>
        <v/>
      </c>
      <c r="BB58" s="60" t="str">
        <f>HIST!CR57</f>
        <v/>
      </c>
      <c r="BC58" s="378" t="str">
        <f t="shared" si="17"/>
        <v>#DIV/0!</v>
      </c>
      <c r="BD58" s="379" t="str">
        <f>HIST!DB57</f>
        <v/>
      </c>
      <c r="BE58" s="377" t="str">
        <f t="shared" si="18"/>
        <v>#DIV/0!</v>
      </c>
      <c r="BF58" s="374" t="str">
        <f>'E. C. A '!CP57</f>
        <v/>
      </c>
      <c r="BG58" s="375" t="str">
        <f>'E. C. A '!CQ57</f>
        <v/>
      </c>
      <c r="BH58" s="375" t="str">
        <f>'E. C. A '!CR57</f>
        <v/>
      </c>
      <c r="BI58" s="375" t="str">
        <f t="shared" si="19"/>
        <v>#DIV/0!</v>
      </c>
      <c r="BJ58" s="375" t="str">
        <f>'E. C. A '!DB57</f>
        <v/>
      </c>
      <c r="BK58" s="380" t="str">
        <f t="shared" si="20"/>
        <v>#DIV/0!</v>
      </c>
      <c r="BL58" s="381" t="str">
        <f>FILOSOFIA!CP57</f>
        <v/>
      </c>
      <c r="BM58" s="375" t="str">
        <f>FILOSOFIA!CQ57</f>
        <v/>
      </c>
      <c r="BN58" s="375" t="str">
        <f>FILOSOFIA!CR57</f>
        <v/>
      </c>
      <c r="BO58" s="375" t="str">
        <f t="shared" si="21"/>
        <v>#DIV/0!</v>
      </c>
      <c r="BP58" s="375" t="str">
        <f>FILOSOFIA!DB57</f>
        <v/>
      </c>
      <c r="BQ58" s="382" t="str">
        <f t="shared" si="22"/>
        <v>#DIV/0!</v>
      </c>
      <c r="BR58" s="383" t="str">
        <f>EMP!CP57</f>
        <v/>
      </c>
      <c r="BS58" s="376" t="str">
        <f>EMP!CQ57</f>
        <v/>
      </c>
      <c r="BT58" s="376" t="str">
        <f>EMP!CR57</f>
        <v/>
      </c>
      <c r="BU58" s="376" t="str">
        <f t="shared" si="23"/>
        <v>#DIV/0!</v>
      </c>
      <c r="BV58" s="377"/>
      <c r="BW58" s="380" t="str">
        <f t="shared" si="24"/>
        <v>#DIV/0!</v>
      </c>
      <c r="BX58" s="374" t="str">
        <f>'EDUCACION PARA LA CIUDADANIA '!CP57</f>
        <v/>
      </c>
      <c r="BY58" s="375" t="str">
        <f>'EDUCACION PARA LA CIUDADANIA '!CQ57</f>
        <v/>
      </c>
      <c r="BZ58" s="375" t="str">
        <f>'EDUCACION PARA LA CIUDADANIA '!CR57</f>
        <v/>
      </c>
      <c r="CA58" s="375" t="str">
        <f t="shared" si="25"/>
        <v>#DIV/0!</v>
      </c>
      <c r="CB58" s="375" t="str">
        <f>'EDUCACION PARA LA CIUDADANIA '!DB57</f>
        <v/>
      </c>
      <c r="CC58" s="380" t="str">
        <f t="shared" si="26"/>
        <v>#DIV/0!</v>
      </c>
      <c r="CD58" s="374" t="str">
        <f>'PAQUETES CONTABLES '!CP57</f>
        <v/>
      </c>
      <c r="CE58" s="375" t="str">
        <f>'PAQUETES CONTABLES '!CQ57</f>
        <v/>
      </c>
      <c r="CF58" s="375" t="str">
        <f>'PAQUETES CONTABLES '!CR57</f>
        <v/>
      </c>
      <c r="CG58" s="375" t="str">
        <f t="shared" si="27"/>
        <v>#DIV/0!</v>
      </c>
      <c r="CH58" s="375" t="str">
        <f>'PAQUETES CONTABLES '!DB57</f>
        <v/>
      </c>
      <c r="CI58" s="380" t="str">
        <f t="shared" si="28"/>
        <v>#DIV/0!</v>
      </c>
      <c r="CJ58" s="374" t="str">
        <f>'TRIBUTACION '!CP57</f>
        <v/>
      </c>
      <c r="CK58" s="375" t="str">
        <f>'TRIBUTACION '!CQ57</f>
        <v/>
      </c>
      <c r="CL58" s="375" t="str">
        <f>'TRIBUTACION '!CR57</f>
        <v/>
      </c>
      <c r="CM58" s="375" t="str">
        <f t="shared" si="29"/>
        <v>#DIV/0!</v>
      </c>
      <c r="CN58" s="375" t="str">
        <f>'TRIBUTACION '!DB57</f>
        <v/>
      </c>
      <c r="CO58" s="380" t="str">
        <f t="shared" si="30"/>
        <v>#DIV/0!</v>
      </c>
      <c r="CP58" s="61" t="str">
        <f t="shared" si="31"/>
        <v>#DIV/0!</v>
      </c>
      <c r="DF58" s="384"/>
    </row>
    <row r="59" ht="15.75" customHeight="1">
      <c r="A59" s="56">
        <v>47.0</v>
      </c>
      <c r="B59" s="124" t="str">
        <f>'SABANA CALIFICACIONES'!B58</f>
        <v/>
      </c>
      <c r="C59" s="125" t="str">
        <f>'SABANA CALIFICACIONES'!C58</f>
        <v/>
      </c>
      <c r="D59" s="369" t="str">
        <f>LEN!CP58</f>
        <v/>
      </c>
      <c r="E59" s="120" t="str">
        <f>LEN!CQ58</f>
        <v/>
      </c>
      <c r="F59" s="370" t="str">
        <f>LEN!CR58</f>
        <v/>
      </c>
      <c r="G59" s="371" t="str">
        <f t="shared" si="1"/>
        <v>#DIV/0!</v>
      </c>
      <c r="H59" s="120" t="str">
        <f>LEN!DB58</f>
        <v/>
      </c>
      <c r="I59" s="372" t="str">
        <f t="shared" si="2"/>
        <v>#DIV/0!</v>
      </c>
      <c r="J59" s="369" t="str">
        <f>MATE!CP58</f>
        <v/>
      </c>
      <c r="K59" s="120" t="str">
        <f>MATE!CQ58</f>
        <v/>
      </c>
      <c r="L59" s="120" t="str">
        <f>MATE!CR58</f>
        <v/>
      </c>
      <c r="M59" s="120" t="str">
        <f t="shared" si="3"/>
        <v>#DIV/0!</v>
      </c>
      <c r="N59" s="120" t="str">
        <f>MATE!DB58</f>
        <v/>
      </c>
      <c r="O59" s="370" t="str">
        <f t="shared" si="4"/>
        <v>#DIV/0!</v>
      </c>
      <c r="P59" s="369" t="str">
        <f>INGLES!CP58</f>
        <v/>
      </c>
      <c r="Q59" s="120" t="str">
        <f>INGLES!CQ58</f>
        <v/>
      </c>
      <c r="R59" s="120" t="str">
        <f>INGLES!CR58</f>
        <v/>
      </c>
      <c r="S59" s="120" t="str">
        <f t="shared" si="5"/>
        <v>#DIV/0!</v>
      </c>
      <c r="T59" s="120" t="str">
        <f>INGLES!DB58</f>
        <v/>
      </c>
      <c r="U59" s="370" t="str">
        <f t="shared" si="6"/>
        <v>#DIV/0!</v>
      </c>
      <c r="V59" s="369" t="str">
        <f>QUIMI!CP58</f>
        <v/>
      </c>
      <c r="W59" s="120" t="str">
        <f>QUIMI!CQ58</f>
        <v/>
      </c>
      <c r="X59" s="120" t="str">
        <f>QUIMI!CR58</f>
        <v/>
      </c>
      <c r="Y59" s="120" t="str">
        <f t="shared" si="7"/>
        <v>#DIV/0!</v>
      </c>
      <c r="Z59" s="120" t="str">
        <f>QUIMI!DB58</f>
        <v/>
      </c>
      <c r="AA59" s="370" t="str">
        <f t="shared" si="8"/>
        <v>#DIV/0!</v>
      </c>
      <c r="AB59" s="369" t="str">
        <f>FISICA!CO58</f>
        <v/>
      </c>
      <c r="AC59" s="120" t="str">
        <f>FISICA!CP58</f>
        <v/>
      </c>
      <c r="AD59" s="120" t="str">
        <f>FISICA!CQ58</f>
        <v/>
      </c>
      <c r="AE59" s="120" t="str">
        <f t="shared" si="9"/>
        <v>#DIV/0!</v>
      </c>
      <c r="AF59" s="120" t="str">
        <f>FISICA!DA58</f>
        <v/>
      </c>
      <c r="AG59" s="370" t="str">
        <f t="shared" si="10"/>
        <v>#DIV/0!</v>
      </c>
      <c r="AH59" s="369" t="str">
        <f>'ED. FISICA'!CP58</f>
        <v/>
      </c>
      <c r="AI59" s="120" t="str">
        <f>'ED. FISICA'!CQ58</f>
        <v/>
      </c>
      <c r="AJ59" s="120" t="str">
        <f>'ED. FISICA'!CR58</f>
        <v/>
      </c>
      <c r="AK59" s="120" t="str">
        <f t="shared" si="11"/>
        <v>#DIV/0!</v>
      </c>
      <c r="AL59" s="120" t="str">
        <f>'ED. FISICA'!DB58</f>
        <v/>
      </c>
      <c r="AM59" s="370" t="str">
        <f t="shared" si="12"/>
        <v>#DIV/0!</v>
      </c>
      <c r="AN59" s="369" t="str">
        <f>'CONTABILIDAD GENERAL '!CP58</f>
        <v/>
      </c>
      <c r="AO59" s="120" t="str">
        <f>'CONTABILIDAD GENERAL '!CQ58</f>
        <v/>
      </c>
      <c r="AP59" s="120" t="str">
        <f>'CONTABILIDAD GENERAL '!CR58</f>
        <v/>
      </c>
      <c r="AQ59" s="120" t="str">
        <f t="shared" si="13"/>
        <v>#DIV/0!</v>
      </c>
      <c r="AR59" s="373" t="str">
        <f>'CONTABILIDAD GENERAL '!DB58</f>
        <v/>
      </c>
      <c r="AS59" s="372" t="str">
        <f t="shared" si="14"/>
        <v>#DIV/0!</v>
      </c>
      <c r="AT59" s="374" t="str">
        <f>BIO!CP58</f>
        <v/>
      </c>
      <c r="AU59" s="375" t="str">
        <f>BIO!CQ58</f>
        <v/>
      </c>
      <c r="AV59" s="375" t="str">
        <f>BIO!CR58</f>
        <v/>
      </c>
      <c r="AW59" s="376" t="str">
        <f t="shared" si="15"/>
        <v>#DIV/0!</v>
      </c>
      <c r="AX59" s="375" t="str">
        <f>BIO!DB58</f>
        <v/>
      </c>
      <c r="AY59" s="377" t="str">
        <f t="shared" si="16"/>
        <v>#DIV/0!</v>
      </c>
      <c r="AZ59" s="60" t="str">
        <f>HIST!CP58</f>
        <v/>
      </c>
      <c r="BA59" s="60" t="str">
        <f>HIST!CQ58</f>
        <v/>
      </c>
      <c r="BB59" s="60" t="str">
        <f>HIST!CR58</f>
        <v/>
      </c>
      <c r="BC59" s="378" t="str">
        <f t="shared" si="17"/>
        <v>#DIV/0!</v>
      </c>
      <c r="BD59" s="379" t="str">
        <f>HIST!DB58</f>
        <v/>
      </c>
      <c r="BE59" s="377" t="str">
        <f t="shared" si="18"/>
        <v>#DIV/0!</v>
      </c>
      <c r="BF59" s="374" t="str">
        <f>'E. C. A '!CP58</f>
        <v/>
      </c>
      <c r="BG59" s="375" t="str">
        <f>'E. C. A '!CQ58</f>
        <v/>
      </c>
      <c r="BH59" s="375" t="str">
        <f>'E. C. A '!CR58</f>
        <v/>
      </c>
      <c r="BI59" s="375" t="str">
        <f t="shared" si="19"/>
        <v>#DIV/0!</v>
      </c>
      <c r="BJ59" s="375" t="str">
        <f>'E. C. A '!DB58</f>
        <v/>
      </c>
      <c r="BK59" s="380" t="str">
        <f t="shared" si="20"/>
        <v>#DIV/0!</v>
      </c>
      <c r="BL59" s="381" t="str">
        <f>FILOSOFIA!CP58</f>
        <v/>
      </c>
      <c r="BM59" s="375" t="str">
        <f>FILOSOFIA!CQ58</f>
        <v/>
      </c>
      <c r="BN59" s="375" t="str">
        <f>FILOSOFIA!CR58</f>
        <v/>
      </c>
      <c r="BO59" s="375" t="str">
        <f t="shared" si="21"/>
        <v>#DIV/0!</v>
      </c>
      <c r="BP59" s="375" t="str">
        <f>FILOSOFIA!DB58</f>
        <v/>
      </c>
      <c r="BQ59" s="382" t="str">
        <f t="shared" si="22"/>
        <v>#DIV/0!</v>
      </c>
      <c r="BR59" s="383" t="str">
        <f>EMP!CP58</f>
        <v/>
      </c>
      <c r="BS59" s="376" t="str">
        <f>EMP!CQ58</f>
        <v/>
      </c>
      <c r="BT59" s="376" t="str">
        <f>EMP!CR58</f>
        <v/>
      </c>
      <c r="BU59" s="376" t="str">
        <f t="shared" si="23"/>
        <v>#DIV/0!</v>
      </c>
      <c r="BV59" s="377"/>
      <c r="BW59" s="380" t="str">
        <f t="shared" si="24"/>
        <v>#DIV/0!</v>
      </c>
      <c r="BX59" s="374" t="str">
        <f>'EDUCACION PARA LA CIUDADANIA '!CP58</f>
        <v/>
      </c>
      <c r="BY59" s="375" t="str">
        <f>'EDUCACION PARA LA CIUDADANIA '!CQ58</f>
        <v/>
      </c>
      <c r="BZ59" s="375" t="str">
        <f>'EDUCACION PARA LA CIUDADANIA '!CR58</f>
        <v/>
      </c>
      <c r="CA59" s="375" t="str">
        <f t="shared" si="25"/>
        <v>#DIV/0!</v>
      </c>
      <c r="CB59" s="375" t="str">
        <f>'EDUCACION PARA LA CIUDADANIA '!DB58</f>
        <v/>
      </c>
      <c r="CC59" s="380" t="str">
        <f t="shared" si="26"/>
        <v>#DIV/0!</v>
      </c>
      <c r="CD59" s="374" t="str">
        <f>'PAQUETES CONTABLES '!CP58</f>
        <v/>
      </c>
      <c r="CE59" s="375" t="str">
        <f>'PAQUETES CONTABLES '!CQ58</f>
        <v/>
      </c>
      <c r="CF59" s="375" t="str">
        <f>'PAQUETES CONTABLES '!CR58</f>
        <v/>
      </c>
      <c r="CG59" s="375" t="str">
        <f t="shared" si="27"/>
        <v>#DIV/0!</v>
      </c>
      <c r="CH59" s="375" t="str">
        <f>'PAQUETES CONTABLES '!DB58</f>
        <v/>
      </c>
      <c r="CI59" s="380" t="str">
        <f t="shared" si="28"/>
        <v>#DIV/0!</v>
      </c>
      <c r="CJ59" s="374" t="str">
        <f>'TRIBUTACION '!CP58</f>
        <v/>
      </c>
      <c r="CK59" s="375" t="str">
        <f>'TRIBUTACION '!CQ58</f>
        <v/>
      </c>
      <c r="CL59" s="375" t="str">
        <f>'TRIBUTACION '!CR58</f>
        <v/>
      </c>
      <c r="CM59" s="375" t="str">
        <f t="shared" si="29"/>
        <v>#DIV/0!</v>
      </c>
      <c r="CN59" s="375" t="str">
        <f>'TRIBUTACION '!DB58</f>
        <v/>
      </c>
      <c r="CO59" s="380" t="str">
        <f t="shared" si="30"/>
        <v>#DIV/0!</v>
      </c>
      <c r="CP59" s="61" t="str">
        <f t="shared" si="31"/>
        <v>#DIV/0!</v>
      </c>
      <c r="DF59" s="384"/>
    </row>
    <row r="60" ht="15.75" customHeight="1">
      <c r="A60" s="56">
        <v>48.0</v>
      </c>
      <c r="B60" s="124" t="str">
        <f>'SABANA CALIFICACIONES'!B59</f>
        <v/>
      </c>
      <c r="C60" s="125" t="str">
        <f>'SABANA CALIFICACIONES'!C59</f>
        <v/>
      </c>
      <c r="D60" s="369" t="str">
        <f>LEN!CP59</f>
        <v/>
      </c>
      <c r="E60" s="120" t="str">
        <f>LEN!CQ59</f>
        <v/>
      </c>
      <c r="F60" s="370" t="str">
        <f>LEN!CR59</f>
        <v/>
      </c>
      <c r="G60" s="371" t="str">
        <f t="shared" si="1"/>
        <v>#DIV/0!</v>
      </c>
      <c r="H60" s="120" t="str">
        <f>LEN!DB59</f>
        <v/>
      </c>
      <c r="I60" s="372" t="str">
        <f t="shared" si="2"/>
        <v>#DIV/0!</v>
      </c>
      <c r="J60" s="369" t="str">
        <f>MATE!CP59</f>
        <v/>
      </c>
      <c r="K60" s="120" t="str">
        <f>MATE!CQ59</f>
        <v/>
      </c>
      <c r="L60" s="120" t="str">
        <f>MATE!CR59</f>
        <v/>
      </c>
      <c r="M60" s="120" t="str">
        <f t="shared" si="3"/>
        <v>#DIV/0!</v>
      </c>
      <c r="N60" s="120" t="str">
        <f>MATE!DB59</f>
        <v/>
      </c>
      <c r="O60" s="370" t="str">
        <f t="shared" si="4"/>
        <v>#DIV/0!</v>
      </c>
      <c r="P60" s="369" t="str">
        <f>INGLES!CP59</f>
        <v/>
      </c>
      <c r="Q60" s="120" t="str">
        <f>INGLES!CQ59</f>
        <v/>
      </c>
      <c r="R60" s="120" t="str">
        <f>INGLES!CR59</f>
        <v/>
      </c>
      <c r="S60" s="120" t="str">
        <f t="shared" si="5"/>
        <v>#DIV/0!</v>
      </c>
      <c r="T60" s="120" t="str">
        <f>INGLES!DB59</f>
        <v/>
      </c>
      <c r="U60" s="370" t="str">
        <f t="shared" si="6"/>
        <v>#DIV/0!</v>
      </c>
      <c r="V60" s="369" t="str">
        <f>QUIMI!CP59</f>
        <v/>
      </c>
      <c r="W60" s="120" t="str">
        <f>QUIMI!CQ59</f>
        <v/>
      </c>
      <c r="X60" s="120" t="str">
        <f>QUIMI!CR59</f>
        <v/>
      </c>
      <c r="Y60" s="120" t="str">
        <f t="shared" si="7"/>
        <v>#DIV/0!</v>
      </c>
      <c r="Z60" s="120" t="str">
        <f>QUIMI!DB59</f>
        <v/>
      </c>
      <c r="AA60" s="370" t="str">
        <f t="shared" si="8"/>
        <v>#DIV/0!</v>
      </c>
      <c r="AB60" s="369" t="str">
        <f>FISICA!CO59</f>
        <v/>
      </c>
      <c r="AC60" s="120" t="str">
        <f>FISICA!CP59</f>
        <v/>
      </c>
      <c r="AD60" s="120" t="str">
        <f>FISICA!CQ59</f>
        <v/>
      </c>
      <c r="AE60" s="120" t="str">
        <f t="shared" si="9"/>
        <v>#DIV/0!</v>
      </c>
      <c r="AF60" s="120" t="str">
        <f>FISICA!DA59</f>
        <v/>
      </c>
      <c r="AG60" s="370" t="str">
        <f t="shared" si="10"/>
        <v>#DIV/0!</v>
      </c>
      <c r="AH60" s="369" t="str">
        <f>'ED. FISICA'!CP59</f>
        <v/>
      </c>
      <c r="AI60" s="120" t="str">
        <f>'ED. FISICA'!CQ59</f>
        <v/>
      </c>
      <c r="AJ60" s="120" t="str">
        <f>'ED. FISICA'!CR59</f>
        <v/>
      </c>
      <c r="AK60" s="120" t="str">
        <f t="shared" si="11"/>
        <v>#DIV/0!</v>
      </c>
      <c r="AL60" s="120" t="str">
        <f>'ED. FISICA'!DB59</f>
        <v/>
      </c>
      <c r="AM60" s="370" t="str">
        <f t="shared" si="12"/>
        <v>#DIV/0!</v>
      </c>
      <c r="AN60" s="369" t="str">
        <f>'CONTABILIDAD GENERAL '!CP59</f>
        <v/>
      </c>
      <c r="AO60" s="120" t="str">
        <f>'CONTABILIDAD GENERAL '!CQ59</f>
        <v/>
      </c>
      <c r="AP60" s="120" t="str">
        <f>'CONTABILIDAD GENERAL '!CR59</f>
        <v/>
      </c>
      <c r="AQ60" s="120" t="str">
        <f t="shared" si="13"/>
        <v>#DIV/0!</v>
      </c>
      <c r="AR60" s="373" t="str">
        <f>'CONTABILIDAD GENERAL '!DB59</f>
        <v/>
      </c>
      <c r="AS60" s="372" t="str">
        <f t="shared" si="14"/>
        <v>#DIV/0!</v>
      </c>
      <c r="AT60" s="374" t="str">
        <f>BIO!CP59</f>
        <v/>
      </c>
      <c r="AU60" s="375" t="str">
        <f>BIO!CQ59</f>
        <v/>
      </c>
      <c r="AV60" s="375" t="str">
        <f>BIO!CR59</f>
        <v/>
      </c>
      <c r="AW60" s="376" t="str">
        <f t="shared" si="15"/>
        <v>#DIV/0!</v>
      </c>
      <c r="AX60" s="375" t="str">
        <f>BIO!DB59</f>
        <v/>
      </c>
      <c r="AY60" s="377" t="str">
        <f t="shared" si="16"/>
        <v>#DIV/0!</v>
      </c>
      <c r="AZ60" s="60" t="str">
        <f>HIST!CP59</f>
        <v/>
      </c>
      <c r="BA60" s="60" t="str">
        <f>HIST!CQ59</f>
        <v/>
      </c>
      <c r="BB60" s="60" t="str">
        <f>HIST!CR59</f>
        <v/>
      </c>
      <c r="BC60" s="378" t="str">
        <f t="shared" si="17"/>
        <v>#DIV/0!</v>
      </c>
      <c r="BD60" s="379" t="str">
        <f>HIST!DB59</f>
        <v/>
      </c>
      <c r="BE60" s="377" t="str">
        <f t="shared" si="18"/>
        <v>#DIV/0!</v>
      </c>
      <c r="BF60" s="374" t="str">
        <f>'E. C. A '!CP59</f>
        <v/>
      </c>
      <c r="BG60" s="375" t="str">
        <f>'E. C. A '!CQ59</f>
        <v/>
      </c>
      <c r="BH60" s="375" t="str">
        <f>'E. C. A '!CR59</f>
        <v/>
      </c>
      <c r="BI60" s="375" t="str">
        <f t="shared" si="19"/>
        <v>#DIV/0!</v>
      </c>
      <c r="BJ60" s="375" t="str">
        <f>'E. C. A '!DB59</f>
        <v/>
      </c>
      <c r="BK60" s="380" t="str">
        <f t="shared" si="20"/>
        <v>#DIV/0!</v>
      </c>
      <c r="BL60" s="381" t="str">
        <f>FILOSOFIA!CP59</f>
        <v/>
      </c>
      <c r="BM60" s="375" t="str">
        <f>FILOSOFIA!CQ59</f>
        <v/>
      </c>
      <c r="BN60" s="375" t="str">
        <f>FILOSOFIA!CR59</f>
        <v/>
      </c>
      <c r="BO60" s="375" t="str">
        <f t="shared" si="21"/>
        <v>#DIV/0!</v>
      </c>
      <c r="BP60" s="375" t="str">
        <f>FILOSOFIA!DB59</f>
        <v/>
      </c>
      <c r="BQ60" s="382" t="str">
        <f t="shared" si="22"/>
        <v>#DIV/0!</v>
      </c>
      <c r="BR60" s="383" t="str">
        <f>EMP!CP59</f>
        <v/>
      </c>
      <c r="BS60" s="376" t="str">
        <f>EMP!CQ59</f>
        <v/>
      </c>
      <c r="BT60" s="376" t="str">
        <f>EMP!CR59</f>
        <v/>
      </c>
      <c r="BU60" s="376" t="str">
        <f t="shared" si="23"/>
        <v>#DIV/0!</v>
      </c>
      <c r="BV60" s="377"/>
      <c r="BW60" s="380" t="str">
        <f t="shared" si="24"/>
        <v>#DIV/0!</v>
      </c>
      <c r="BX60" s="374" t="str">
        <f>'EDUCACION PARA LA CIUDADANIA '!CP59</f>
        <v/>
      </c>
      <c r="BY60" s="375" t="str">
        <f>'EDUCACION PARA LA CIUDADANIA '!CQ59</f>
        <v/>
      </c>
      <c r="BZ60" s="375" t="str">
        <f>'EDUCACION PARA LA CIUDADANIA '!CR59</f>
        <v/>
      </c>
      <c r="CA60" s="375" t="str">
        <f t="shared" si="25"/>
        <v>#DIV/0!</v>
      </c>
      <c r="CB60" s="375" t="str">
        <f>'EDUCACION PARA LA CIUDADANIA '!DB59</f>
        <v/>
      </c>
      <c r="CC60" s="380" t="str">
        <f t="shared" si="26"/>
        <v>#DIV/0!</v>
      </c>
      <c r="CD60" s="374" t="str">
        <f>'PAQUETES CONTABLES '!CP59</f>
        <v/>
      </c>
      <c r="CE60" s="375" t="str">
        <f>'PAQUETES CONTABLES '!CQ59</f>
        <v/>
      </c>
      <c r="CF60" s="375" t="str">
        <f>'PAQUETES CONTABLES '!CR59</f>
        <v/>
      </c>
      <c r="CG60" s="375" t="str">
        <f t="shared" si="27"/>
        <v>#DIV/0!</v>
      </c>
      <c r="CH60" s="375" t="str">
        <f>'PAQUETES CONTABLES '!DB59</f>
        <v/>
      </c>
      <c r="CI60" s="380" t="str">
        <f t="shared" si="28"/>
        <v>#DIV/0!</v>
      </c>
      <c r="CJ60" s="374" t="str">
        <f>'TRIBUTACION '!CP59</f>
        <v/>
      </c>
      <c r="CK60" s="375" t="str">
        <f>'TRIBUTACION '!CQ59</f>
        <v/>
      </c>
      <c r="CL60" s="375" t="str">
        <f>'TRIBUTACION '!CR59</f>
        <v/>
      </c>
      <c r="CM60" s="375" t="str">
        <f t="shared" si="29"/>
        <v>#DIV/0!</v>
      </c>
      <c r="CN60" s="375" t="str">
        <f>'TRIBUTACION '!DB59</f>
        <v/>
      </c>
      <c r="CO60" s="380" t="str">
        <f t="shared" si="30"/>
        <v>#DIV/0!</v>
      </c>
      <c r="CP60" s="61" t="str">
        <f t="shared" si="31"/>
        <v>#DIV/0!</v>
      </c>
      <c r="DF60" s="384"/>
    </row>
    <row r="61" ht="15.75" customHeight="1">
      <c r="A61" s="56">
        <v>49.0</v>
      </c>
      <c r="B61" s="124" t="str">
        <f>'SABANA CALIFICACIONES'!B60</f>
        <v/>
      </c>
      <c r="C61" s="125" t="str">
        <f>'SABANA CALIFICACIONES'!C60</f>
        <v/>
      </c>
      <c r="D61" s="369" t="str">
        <f>LEN!CP60</f>
        <v/>
      </c>
      <c r="E61" s="120" t="str">
        <f>LEN!CQ60</f>
        <v/>
      </c>
      <c r="F61" s="370" t="str">
        <f>LEN!CR60</f>
        <v/>
      </c>
      <c r="G61" s="371" t="str">
        <f t="shared" si="1"/>
        <v>#DIV/0!</v>
      </c>
      <c r="H61" s="120" t="str">
        <f>LEN!DB60</f>
        <v/>
      </c>
      <c r="I61" s="372" t="str">
        <f t="shared" si="2"/>
        <v>#DIV/0!</v>
      </c>
      <c r="J61" s="369" t="str">
        <f>MATE!CP60</f>
        <v/>
      </c>
      <c r="K61" s="120" t="str">
        <f>MATE!CQ60</f>
        <v/>
      </c>
      <c r="L61" s="120" t="str">
        <f>MATE!CR60</f>
        <v/>
      </c>
      <c r="M61" s="120" t="str">
        <f t="shared" si="3"/>
        <v>#DIV/0!</v>
      </c>
      <c r="N61" s="120" t="str">
        <f>MATE!DB60</f>
        <v/>
      </c>
      <c r="O61" s="370" t="str">
        <f t="shared" si="4"/>
        <v>#DIV/0!</v>
      </c>
      <c r="P61" s="369" t="str">
        <f>INGLES!CP60</f>
        <v/>
      </c>
      <c r="Q61" s="120" t="str">
        <f>INGLES!CQ60</f>
        <v/>
      </c>
      <c r="R61" s="120" t="str">
        <f>INGLES!CR60</f>
        <v/>
      </c>
      <c r="S61" s="120" t="str">
        <f t="shared" si="5"/>
        <v>#DIV/0!</v>
      </c>
      <c r="T61" s="120" t="str">
        <f>INGLES!DB60</f>
        <v/>
      </c>
      <c r="U61" s="370" t="str">
        <f t="shared" si="6"/>
        <v>#DIV/0!</v>
      </c>
      <c r="V61" s="369" t="str">
        <f>QUIMI!CP60</f>
        <v/>
      </c>
      <c r="W61" s="120" t="str">
        <f>QUIMI!CQ60</f>
        <v/>
      </c>
      <c r="X61" s="120" t="str">
        <f>QUIMI!CR60</f>
        <v/>
      </c>
      <c r="Y61" s="120" t="str">
        <f t="shared" si="7"/>
        <v>#DIV/0!</v>
      </c>
      <c r="Z61" s="120" t="str">
        <f>QUIMI!DB60</f>
        <v/>
      </c>
      <c r="AA61" s="370" t="str">
        <f t="shared" si="8"/>
        <v>#DIV/0!</v>
      </c>
      <c r="AB61" s="369" t="str">
        <f>FISICA!CO60</f>
        <v/>
      </c>
      <c r="AC61" s="120" t="str">
        <f>FISICA!CP60</f>
        <v/>
      </c>
      <c r="AD61" s="120" t="str">
        <f>FISICA!CQ60</f>
        <v/>
      </c>
      <c r="AE61" s="120" t="str">
        <f t="shared" si="9"/>
        <v>#DIV/0!</v>
      </c>
      <c r="AF61" s="120" t="str">
        <f>FISICA!DA60</f>
        <v/>
      </c>
      <c r="AG61" s="370" t="str">
        <f t="shared" si="10"/>
        <v>#DIV/0!</v>
      </c>
      <c r="AH61" s="369" t="str">
        <f>'ED. FISICA'!CP60</f>
        <v/>
      </c>
      <c r="AI61" s="120" t="str">
        <f>'ED. FISICA'!CQ60</f>
        <v/>
      </c>
      <c r="AJ61" s="120" t="str">
        <f>'ED. FISICA'!CR60</f>
        <v/>
      </c>
      <c r="AK61" s="120" t="str">
        <f t="shared" si="11"/>
        <v>#DIV/0!</v>
      </c>
      <c r="AL61" s="120" t="str">
        <f>'ED. FISICA'!DB60</f>
        <v/>
      </c>
      <c r="AM61" s="370" t="str">
        <f t="shared" si="12"/>
        <v>#DIV/0!</v>
      </c>
      <c r="AN61" s="369" t="str">
        <f>'CONTABILIDAD GENERAL '!CP60</f>
        <v/>
      </c>
      <c r="AO61" s="120" t="str">
        <f>'CONTABILIDAD GENERAL '!CQ60</f>
        <v/>
      </c>
      <c r="AP61" s="120" t="str">
        <f>'CONTABILIDAD GENERAL '!CR60</f>
        <v/>
      </c>
      <c r="AQ61" s="120" t="str">
        <f t="shared" si="13"/>
        <v>#DIV/0!</v>
      </c>
      <c r="AR61" s="373" t="str">
        <f>'CONTABILIDAD GENERAL '!DB60</f>
        <v/>
      </c>
      <c r="AS61" s="372" t="str">
        <f t="shared" si="14"/>
        <v>#DIV/0!</v>
      </c>
      <c r="AT61" s="374" t="str">
        <f>BIO!CP60</f>
        <v/>
      </c>
      <c r="AU61" s="375" t="str">
        <f>BIO!CQ60</f>
        <v/>
      </c>
      <c r="AV61" s="375" t="str">
        <f>BIO!CR60</f>
        <v/>
      </c>
      <c r="AW61" s="376" t="str">
        <f t="shared" si="15"/>
        <v>#DIV/0!</v>
      </c>
      <c r="AX61" s="375" t="str">
        <f>BIO!DB60</f>
        <v/>
      </c>
      <c r="AY61" s="377" t="str">
        <f t="shared" si="16"/>
        <v>#DIV/0!</v>
      </c>
      <c r="AZ61" s="60" t="str">
        <f>HIST!CP60</f>
        <v/>
      </c>
      <c r="BA61" s="60" t="str">
        <f>HIST!CQ60</f>
        <v/>
      </c>
      <c r="BB61" s="60" t="str">
        <f>HIST!CR60</f>
        <v/>
      </c>
      <c r="BC61" s="378" t="str">
        <f t="shared" si="17"/>
        <v>#DIV/0!</v>
      </c>
      <c r="BD61" s="379" t="str">
        <f>HIST!DB60</f>
        <v/>
      </c>
      <c r="BE61" s="377" t="str">
        <f t="shared" si="18"/>
        <v>#DIV/0!</v>
      </c>
      <c r="BF61" s="374" t="str">
        <f>'E. C. A '!CP60</f>
        <v/>
      </c>
      <c r="BG61" s="375" t="str">
        <f>'E. C. A '!CQ60</f>
        <v/>
      </c>
      <c r="BH61" s="375" t="str">
        <f>'E. C. A '!CR60</f>
        <v/>
      </c>
      <c r="BI61" s="375" t="str">
        <f t="shared" si="19"/>
        <v>#DIV/0!</v>
      </c>
      <c r="BJ61" s="375" t="str">
        <f>'E. C. A '!DB60</f>
        <v/>
      </c>
      <c r="BK61" s="380" t="str">
        <f t="shared" si="20"/>
        <v>#DIV/0!</v>
      </c>
      <c r="BL61" s="381" t="str">
        <f>FILOSOFIA!CP60</f>
        <v/>
      </c>
      <c r="BM61" s="375" t="str">
        <f>FILOSOFIA!CQ60</f>
        <v/>
      </c>
      <c r="BN61" s="375" t="str">
        <f>FILOSOFIA!CR60</f>
        <v/>
      </c>
      <c r="BO61" s="375" t="str">
        <f t="shared" si="21"/>
        <v>#DIV/0!</v>
      </c>
      <c r="BP61" s="375" t="str">
        <f>FILOSOFIA!DB60</f>
        <v/>
      </c>
      <c r="BQ61" s="382" t="str">
        <f t="shared" si="22"/>
        <v>#DIV/0!</v>
      </c>
      <c r="BR61" s="383" t="str">
        <f>EMP!CP60</f>
        <v/>
      </c>
      <c r="BS61" s="376" t="str">
        <f>EMP!CQ60</f>
        <v/>
      </c>
      <c r="BT61" s="376" t="str">
        <f>EMP!CR60</f>
        <v/>
      </c>
      <c r="BU61" s="376" t="str">
        <f t="shared" si="23"/>
        <v>#DIV/0!</v>
      </c>
      <c r="BV61" s="377"/>
      <c r="BW61" s="380" t="str">
        <f t="shared" si="24"/>
        <v>#DIV/0!</v>
      </c>
      <c r="BX61" s="374" t="str">
        <f>'EDUCACION PARA LA CIUDADANIA '!CP60</f>
        <v/>
      </c>
      <c r="BY61" s="375" t="str">
        <f>'EDUCACION PARA LA CIUDADANIA '!CQ60</f>
        <v/>
      </c>
      <c r="BZ61" s="375" t="str">
        <f>'EDUCACION PARA LA CIUDADANIA '!CR60</f>
        <v/>
      </c>
      <c r="CA61" s="375" t="str">
        <f t="shared" si="25"/>
        <v>#DIV/0!</v>
      </c>
      <c r="CB61" s="375" t="str">
        <f>'EDUCACION PARA LA CIUDADANIA '!DB60</f>
        <v/>
      </c>
      <c r="CC61" s="380" t="str">
        <f t="shared" si="26"/>
        <v>#DIV/0!</v>
      </c>
      <c r="CD61" s="374" t="str">
        <f>'PAQUETES CONTABLES '!CP60</f>
        <v/>
      </c>
      <c r="CE61" s="375" t="str">
        <f>'PAQUETES CONTABLES '!CQ60</f>
        <v/>
      </c>
      <c r="CF61" s="375" t="str">
        <f>'PAQUETES CONTABLES '!CR60</f>
        <v/>
      </c>
      <c r="CG61" s="375" t="str">
        <f t="shared" si="27"/>
        <v>#DIV/0!</v>
      </c>
      <c r="CH61" s="375" t="str">
        <f>'PAQUETES CONTABLES '!DB60</f>
        <v/>
      </c>
      <c r="CI61" s="380" t="str">
        <f t="shared" si="28"/>
        <v>#DIV/0!</v>
      </c>
      <c r="CJ61" s="374" t="str">
        <f>'TRIBUTACION '!CP60</f>
        <v/>
      </c>
      <c r="CK61" s="375" t="str">
        <f>'TRIBUTACION '!CQ60</f>
        <v/>
      </c>
      <c r="CL61" s="375" t="str">
        <f>'TRIBUTACION '!CR60</f>
        <v/>
      </c>
      <c r="CM61" s="375" t="str">
        <f t="shared" si="29"/>
        <v>#DIV/0!</v>
      </c>
      <c r="CN61" s="375" t="str">
        <f>'TRIBUTACION '!DB60</f>
        <v/>
      </c>
      <c r="CO61" s="380" t="str">
        <f t="shared" si="30"/>
        <v>#DIV/0!</v>
      </c>
      <c r="CP61" s="61" t="str">
        <f t="shared" si="31"/>
        <v>#DIV/0!</v>
      </c>
      <c r="DF61" s="384"/>
    </row>
    <row r="62" ht="15.75" customHeight="1">
      <c r="A62" s="56">
        <v>50.0</v>
      </c>
      <c r="B62" s="124" t="str">
        <f>'SABANA CALIFICACIONES'!B61</f>
        <v/>
      </c>
      <c r="C62" s="125" t="str">
        <f>'SABANA CALIFICACIONES'!C61</f>
        <v/>
      </c>
      <c r="D62" s="369" t="str">
        <f>LEN!CP61</f>
        <v/>
      </c>
      <c r="E62" s="120" t="str">
        <f>LEN!CQ61</f>
        <v/>
      </c>
      <c r="F62" s="370" t="str">
        <f>LEN!CR61</f>
        <v/>
      </c>
      <c r="G62" s="371" t="str">
        <f t="shared" si="1"/>
        <v>#DIV/0!</v>
      </c>
      <c r="H62" s="120" t="str">
        <f>LEN!DB61</f>
        <v/>
      </c>
      <c r="I62" s="372" t="str">
        <f t="shared" si="2"/>
        <v>#DIV/0!</v>
      </c>
      <c r="J62" s="369" t="str">
        <f>MATE!CP61</f>
        <v/>
      </c>
      <c r="K62" s="120" t="str">
        <f>MATE!CQ61</f>
        <v/>
      </c>
      <c r="L62" s="120" t="str">
        <f>MATE!CR61</f>
        <v/>
      </c>
      <c r="M62" s="120" t="str">
        <f t="shared" si="3"/>
        <v>#DIV/0!</v>
      </c>
      <c r="N62" s="120" t="str">
        <f>MATE!DB61</f>
        <v/>
      </c>
      <c r="O62" s="370" t="str">
        <f t="shared" si="4"/>
        <v>#DIV/0!</v>
      </c>
      <c r="P62" s="369" t="str">
        <f>INGLES!CP61</f>
        <v/>
      </c>
      <c r="Q62" s="120" t="str">
        <f>INGLES!CQ61</f>
        <v/>
      </c>
      <c r="R62" s="120" t="str">
        <f>INGLES!CR61</f>
        <v/>
      </c>
      <c r="S62" s="120" t="str">
        <f t="shared" si="5"/>
        <v>#DIV/0!</v>
      </c>
      <c r="T62" s="120" t="str">
        <f>INGLES!DB61</f>
        <v/>
      </c>
      <c r="U62" s="370" t="str">
        <f t="shared" si="6"/>
        <v>#DIV/0!</v>
      </c>
      <c r="V62" s="369" t="str">
        <f>QUIMI!CP61</f>
        <v/>
      </c>
      <c r="W62" s="120" t="str">
        <f>QUIMI!CQ61</f>
        <v/>
      </c>
      <c r="X62" s="120" t="str">
        <f>QUIMI!CR61</f>
        <v/>
      </c>
      <c r="Y62" s="120" t="str">
        <f t="shared" si="7"/>
        <v>#DIV/0!</v>
      </c>
      <c r="Z62" s="120" t="str">
        <f>QUIMI!DB61</f>
        <v/>
      </c>
      <c r="AA62" s="370" t="str">
        <f t="shared" si="8"/>
        <v>#DIV/0!</v>
      </c>
      <c r="AB62" s="369" t="str">
        <f>FISICA!CO61</f>
        <v/>
      </c>
      <c r="AC62" s="120" t="str">
        <f>FISICA!CP61</f>
        <v/>
      </c>
      <c r="AD62" s="120" t="str">
        <f>FISICA!CQ61</f>
        <v/>
      </c>
      <c r="AE62" s="120" t="str">
        <f t="shared" si="9"/>
        <v>#DIV/0!</v>
      </c>
      <c r="AF62" s="120" t="str">
        <f>FISICA!DA61</f>
        <v/>
      </c>
      <c r="AG62" s="370" t="str">
        <f t="shared" si="10"/>
        <v>#DIV/0!</v>
      </c>
      <c r="AH62" s="369" t="str">
        <f>'ED. FISICA'!CP61</f>
        <v/>
      </c>
      <c r="AI62" s="120" t="str">
        <f>'ED. FISICA'!CQ61</f>
        <v/>
      </c>
      <c r="AJ62" s="120" t="str">
        <f>'ED. FISICA'!CR61</f>
        <v/>
      </c>
      <c r="AK62" s="120" t="str">
        <f t="shared" si="11"/>
        <v>#DIV/0!</v>
      </c>
      <c r="AL62" s="120" t="str">
        <f>'ED. FISICA'!DB61</f>
        <v/>
      </c>
      <c r="AM62" s="370" t="str">
        <f t="shared" si="12"/>
        <v>#DIV/0!</v>
      </c>
      <c r="AN62" s="369" t="str">
        <f>'CONTABILIDAD GENERAL '!CP61</f>
        <v/>
      </c>
      <c r="AO62" s="120" t="str">
        <f>'CONTABILIDAD GENERAL '!CQ61</f>
        <v/>
      </c>
      <c r="AP62" s="120" t="str">
        <f>'CONTABILIDAD GENERAL '!CR61</f>
        <v/>
      </c>
      <c r="AQ62" s="120" t="str">
        <f t="shared" si="13"/>
        <v>#DIV/0!</v>
      </c>
      <c r="AR62" s="373" t="str">
        <f>'CONTABILIDAD GENERAL '!DB61</f>
        <v/>
      </c>
      <c r="AS62" s="372" t="str">
        <f t="shared" si="14"/>
        <v>#DIV/0!</v>
      </c>
      <c r="AT62" s="374" t="str">
        <f>BIO!CP61</f>
        <v/>
      </c>
      <c r="AU62" s="375" t="str">
        <f>BIO!CQ61</f>
        <v/>
      </c>
      <c r="AV62" s="375" t="str">
        <f>BIO!CR61</f>
        <v/>
      </c>
      <c r="AW62" s="376" t="str">
        <f t="shared" si="15"/>
        <v>#DIV/0!</v>
      </c>
      <c r="AX62" s="375" t="str">
        <f>BIO!DB61</f>
        <v/>
      </c>
      <c r="AY62" s="377" t="str">
        <f t="shared" si="16"/>
        <v>#DIV/0!</v>
      </c>
      <c r="AZ62" s="60" t="str">
        <f>HIST!CP61</f>
        <v/>
      </c>
      <c r="BA62" s="60" t="str">
        <f>HIST!CQ61</f>
        <v/>
      </c>
      <c r="BB62" s="60" t="str">
        <f>HIST!CR61</f>
        <v/>
      </c>
      <c r="BC62" s="378" t="str">
        <f t="shared" si="17"/>
        <v>#DIV/0!</v>
      </c>
      <c r="BD62" s="379" t="str">
        <f>HIST!DB61</f>
        <v/>
      </c>
      <c r="BE62" s="377" t="str">
        <f t="shared" si="18"/>
        <v>#DIV/0!</v>
      </c>
      <c r="BF62" s="374" t="str">
        <f>'E. C. A '!CP61</f>
        <v/>
      </c>
      <c r="BG62" s="375" t="str">
        <f>'E. C. A '!CQ61</f>
        <v/>
      </c>
      <c r="BH62" s="375" t="str">
        <f>'E. C. A '!CR61</f>
        <v/>
      </c>
      <c r="BI62" s="375" t="str">
        <f t="shared" si="19"/>
        <v>#DIV/0!</v>
      </c>
      <c r="BJ62" s="375" t="str">
        <f>'E. C. A '!DB61</f>
        <v/>
      </c>
      <c r="BK62" s="380" t="str">
        <f t="shared" si="20"/>
        <v>#DIV/0!</v>
      </c>
      <c r="BL62" s="381" t="str">
        <f>FILOSOFIA!CP61</f>
        <v/>
      </c>
      <c r="BM62" s="375">
        <f>FILOSOFIA!CQ61</f>
        <v>0</v>
      </c>
      <c r="BN62" s="375" t="str">
        <f>FILOSOFIA!CR61</f>
        <v/>
      </c>
      <c r="BO62" s="375">
        <f t="shared" si="21"/>
        <v>0</v>
      </c>
      <c r="BP62" s="375" t="str">
        <f>FILOSOFIA!DB61</f>
        <v/>
      </c>
      <c r="BQ62" s="382" t="str">
        <f t="shared" si="22"/>
        <v/>
      </c>
      <c r="BR62" s="383" t="str">
        <f>EMP!CP61</f>
        <v/>
      </c>
      <c r="BS62" s="376" t="str">
        <f>EMP!CQ61</f>
        <v/>
      </c>
      <c r="BT62" s="376" t="str">
        <f>EMP!CR61</f>
        <v/>
      </c>
      <c r="BU62" s="376" t="str">
        <f t="shared" si="23"/>
        <v>#DIV/0!</v>
      </c>
      <c r="BV62" s="377"/>
      <c r="BW62" s="380" t="str">
        <f t="shared" si="24"/>
        <v>#DIV/0!</v>
      </c>
      <c r="BX62" s="374" t="str">
        <f>'EDUCACION PARA LA CIUDADANIA '!CP61</f>
        <v/>
      </c>
      <c r="BY62" s="375" t="str">
        <f>'EDUCACION PARA LA CIUDADANIA '!CQ61</f>
        <v/>
      </c>
      <c r="BZ62" s="375" t="str">
        <f>'EDUCACION PARA LA CIUDADANIA '!CR61</f>
        <v/>
      </c>
      <c r="CA62" s="375" t="str">
        <f t="shared" si="25"/>
        <v>#DIV/0!</v>
      </c>
      <c r="CB62" s="375" t="str">
        <f>'EDUCACION PARA LA CIUDADANIA '!DB61</f>
        <v/>
      </c>
      <c r="CC62" s="380" t="str">
        <f t="shared" si="26"/>
        <v>#DIV/0!</v>
      </c>
      <c r="CD62" s="374" t="str">
        <f>'PAQUETES CONTABLES '!CP61</f>
        <v/>
      </c>
      <c r="CE62" s="375" t="str">
        <f>'PAQUETES CONTABLES '!CQ61</f>
        <v/>
      </c>
      <c r="CF62" s="375" t="str">
        <f>'PAQUETES CONTABLES '!CR61</f>
        <v/>
      </c>
      <c r="CG62" s="375" t="str">
        <f t="shared" si="27"/>
        <v>#DIV/0!</v>
      </c>
      <c r="CH62" s="375" t="str">
        <f>'PAQUETES CONTABLES '!DB61</f>
        <v/>
      </c>
      <c r="CI62" s="380" t="str">
        <f t="shared" si="28"/>
        <v>#DIV/0!</v>
      </c>
      <c r="CJ62" s="374" t="str">
        <f>'TRIBUTACION '!CP61</f>
        <v/>
      </c>
      <c r="CK62" s="375" t="str">
        <f>'TRIBUTACION '!CQ61</f>
        <v/>
      </c>
      <c r="CL62" s="375" t="str">
        <f>'TRIBUTACION '!CR61</f>
        <v/>
      </c>
      <c r="CM62" s="375" t="str">
        <f t="shared" si="29"/>
        <v>#DIV/0!</v>
      </c>
      <c r="CN62" s="375" t="str">
        <f>'TRIBUTACION '!DB61</f>
        <v/>
      </c>
      <c r="CO62" s="380" t="str">
        <f t="shared" si="30"/>
        <v>#DIV/0!</v>
      </c>
      <c r="CP62" s="61" t="str">
        <f t="shared" si="31"/>
        <v>#DIV/0!</v>
      </c>
      <c r="DF62" s="38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4:B4"/>
    <mergeCell ref="A8:C10"/>
    <mergeCell ref="B11:B12"/>
    <mergeCell ref="A2:B2"/>
    <mergeCell ref="C2:CP2"/>
    <mergeCell ref="A3:B3"/>
    <mergeCell ref="C3:CP3"/>
    <mergeCell ref="D4:P4"/>
    <mergeCell ref="A6:CP6"/>
    <mergeCell ref="A7:CP7"/>
    <mergeCell ref="AH11:AM11"/>
    <mergeCell ref="AN11:AS11"/>
    <mergeCell ref="AT11:AY11"/>
    <mergeCell ref="AZ11:BE11"/>
    <mergeCell ref="BF11:BK11"/>
    <mergeCell ref="BL11:BQ11"/>
    <mergeCell ref="BR11:BW11"/>
    <mergeCell ref="BX11:CC11"/>
    <mergeCell ref="CD11:CI11"/>
    <mergeCell ref="CJ11:CO11"/>
    <mergeCell ref="D8:CO10"/>
    <mergeCell ref="CP8:CP12"/>
    <mergeCell ref="D11:I11"/>
    <mergeCell ref="J11:O11"/>
    <mergeCell ref="P11:U11"/>
    <mergeCell ref="V11:AA11"/>
    <mergeCell ref="AB11:AG11"/>
  </mergeCells>
  <conditionalFormatting sqref="D13:CO62">
    <cfRule type="cellIs" dxfId="0" priority="1" operator="lessThan">
      <formula>7</formula>
    </cfRule>
  </conditionalFormatting>
  <printOptions/>
  <pageMargins bottom="0.1968503937007874" footer="0.0" header="0.0" left="0.1968503937007874" right="0.1968503937007874" top="0.1968503937007874"/>
  <pageSetup paperSize="9" scale="7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1.71"/>
    <col customWidth="1" min="3" max="3" width="40.71"/>
    <col customWidth="1" min="4" max="19" width="4.86"/>
    <col customWidth="1" min="20" max="21" width="2.57"/>
  </cols>
  <sheetData>
    <row r="1" ht="82.5" customHeight="1">
      <c r="U1" s="2"/>
    </row>
    <row r="2" ht="21.0" customHeight="1">
      <c r="A2" s="3" t="s">
        <v>0</v>
      </c>
      <c r="B2" s="4"/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  <c r="U2" s="2"/>
    </row>
    <row r="3" ht="21.0" customHeight="1">
      <c r="A3" s="3" t="s">
        <v>2</v>
      </c>
      <c r="B3" s="4"/>
      <c r="C3" s="8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U3" s="2"/>
    </row>
    <row r="4" ht="21.0" customHeight="1">
      <c r="A4" s="3" t="s">
        <v>4</v>
      </c>
      <c r="B4" s="4"/>
      <c r="C4" s="12" t="str">
        <f>LEN!C4</f>
        <v>1ER. AÑO DE BACHILLERATO TECNICO</v>
      </c>
      <c r="D4" s="10" t="s">
        <v>6</v>
      </c>
      <c r="E4" s="6"/>
      <c r="F4" s="4"/>
      <c r="G4" s="11" t="str">
        <f>LEN!G4</f>
        <v>B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U4" s="2"/>
    </row>
    <row r="5" ht="25.5" customHeight="1">
      <c r="U5" s="2"/>
    </row>
    <row r="6" ht="30.0" customHeight="1">
      <c r="A6" s="274" t="s">
        <v>227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4"/>
      <c r="U6" s="2"/>
    </row>
    <row r="7" ht="25.5" customHeight="1">
      <c r="A7" s="1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4"/>
      <c r="U7" s="2"/>
    </row>
    <row r="8" ht="20.25" customHeight="1">
      <c r="A8" s="17" t="s">
        <v>12</v>
      </c>
      <c r="B8" s="18"/>
      <c r="C8" s="19"/>
      <c r="D8" s="385" t="s">
        <v>228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386" t="s">
        <v>229</v>
      </c>
      <c r="U8" s="2"/>
    </row>
    <row r="9" ht="27.0" customHeight="1">
      <c r="A9" s="27"/>
      <c r="C9" s="28"/>
      <c r="D9" s="29"/>
      <c r="R9" s="28"/>
      <c r="S9" s="30"/>
      <c r="U9" s="2"/>
    </row>
    <row r="10" ht="30.0" customHeight="1">
      <c r="A10" s="32"/>
      <c r="B10" s="33"/>
      <c r="C10" s="34"/>
      <c r="D10" s="387"/>
      <c r="E10" s="388"/>
      <c r="F10" s="388"/>
      <c r="G10" s="388"/>
      <c r="H10" s="388"/>
      <c r="I10" s="388"/>
      <c r="J10" s="388"/>
      <c r="K10" s="388"/>
      <c r="L10" s="388"/>
      <c r="M10" s="388"/>
      <c r="N10" s="388"/>
      <c r="O10" s="388"/>
      <c r="P10" s="388"/>
      <c r="Q10" s="388"/>
      <c r="R10" s="389"/>
      <c r="S10" s="30"/>
      <c r="U10" s="2"/>
    </row>
    <row r="11" ht="77.25" customHeight="1">
      <c r="A11" s="38" t="s">
        <v>23</v>
      </c>
      <c r="B11" s="38" t="s">
        <v>24</v>
      </c>
      <c r="C11" s="39" t="s">
        <v>25</v>
      </c>
      <c r="D11" s="40" t="s">
        <v>26</v>
      </c>
      <c r="E11" s="41" t="s">
        <v>27</v>
      </c>
      <c r="F11" s="42" t="s">
        <v>28</v>
      </c>
      <c r="G11" s="43" t="s">
        <v>29</v>
      </c>
      <c r="H11" s="44" t="s">
        <v>30</v>
      </c>
      <c r="I11" s="45" t="s">
        <v>31</v>
      </c>
      <c r="J11" s="46" t="s">
        <v>32</v>
      </c>
      <c r="K11" s="47" t="s">
        <v>33</v>
      </c>
      <c r="L11" s="48" t="s">
        <v>34</v>
      </c>
      <c r="M11" s="49" t="s">
        <v>35</v>
      </c>
      <c r="N11" s="41" t="s">
        <v>36</v>
      </c>
      <c r="O11" s="50" t="s">
        <v>37</v>
      </c>
      <c r="P11" s="51" t="s">
        <v>38</v>
      </c>
      <c r="Q11" s="52" t="s">
        <v>39</v>
      </c>
      <c r="R11" s="53" t="s">
        <v>40</v>
      </c>
      <c r="S11" s="54"/>
      <c r="U11" s="2"/>
    </row>
    <row r="12" ht="15.0" customHeight="1">
      <c r="A12" s="56">
        <v>1.0</v>
      </c>
      <c r="B12" s="124" t="str">
        <f>LEN!B12</f>
        <v/>
      </c>
      <c r="C12" s="125" t="str">
        <f>LEN!C12</f>
        <v>Almeida Alvarado Ariana Guisela</v>
      </c>
      <c r="D12" s="120">
        <f>'ACTA FINAL'!I13</f>
        <v>6.35</v>
      </c>
      <c r="E12" s="120">
        <f>'ACTA FINAL'!O13</f>
        <v>6.136666667</v>
      </c>
      <c r="F12" s="120">
        <f>'ACTA FINAL'!U13</f>
        <v>6.336666667</v>
      </c>
      <c r="G12" s="120">
        <f>'ACTA FINAL'!AA13</f>
        <v>6.566666667</v>
      </c>
      <c r="H12" s="120">
        <f>'ACTA FINAL'!AG13</f>
        <v>8.82</v>
      </c>
      <c r="I12" s="120">
        <f>'ACTA FINAL'!AM13</f>
        <v>6.343333333</v>
      </c>
      <c r="J12" s="120">
        <f>'ACTA FINAL'!AS13</f>
        <v>6.55</v>
      </c>
      <c r="K12" s="120">
        <f>'ACTA FINAL'!AY13</f>
        <v>6.666666667</v>
      </c>
      <c r="L12" s="120">
        <f>'ACTA FINAL'!BE13</f>
        <v>6.666666667</v>
      </c>
      <c r="M12" s="120">
        <f>'ACTA FINAL'!BK13</f>
        <v>6.45</v>
      </c>
      <c r="N12" s="120">
        <f>'ACTA FINAL'!BQ13</f>
        <v>6.666666667</v>
      </c>
      <c r="O12" s="120">
        <f>'ACTA FINAL'!BW13</f>
        <v>6.63</v>
      </c>
      <c r="P12" s="120">
        <f>'ACTA FINAL'!CC13</f>
        <v>6.666666667</v>
      </c>
      <c r="Q12" s="120">
        <f>'ACTA FINAL'!CI13</f>
        <v>6.563333333</v>
      </c>
      <c r="R12" s="120">
        <f>'ACTA FINAL'!CP13</f>
        <v>6.74047619</v>
      </c>
      <c r="S12" s="122">
        <f t="shared" ref="S12:S61" si="1">AVERAGE(D12:Q12)</f>
        <v>6.672380952</v>
      </c>
      <c r="T12" s="292"/>
      <c r="U12" s="2"/>
    </row>
    <row r="13" ht="15.0" customHeight="1">
      <c r="A13" s="56">
        <v>2.0</v>
      </c>
      <c r="B13" s="124" t="str">
        <f>LEN!B13</f>
        <v/>
      </c>
      <c r="C13" s="125" t="str">
        <f>LEN!C13</f>
        <v>Alvarado Vargas Dacmar Alejandra</v>
      </c>
      <c r="D13" s="120">
        <f>'ACTA FINAL'!I14</f>
        <v>6.216666667</v>
      </c>
      <c r="E13" s="120">
        <f>'ACTA FINAL'!O14</f>
        <v>5.686666667</v>
      </c>
      <c r="F13" s="120">
        <f>'ACTA FINAL'!U14</f>
        <v>5.89</v>
      </c>
      <c r="G13" s="120">
        <f>'ACTA FINAL'!AA14</f>
        <v>6.366666667</v>
      </c>
      <c r="H13" s="120">
        <f>'ACTA FINAL'!AG14</f>
        <v>8.536666667</v>
      </c>
      <c r="I13" s="120">
        <f>'ACTA FINAL'!AM14</f>
        <v>6.343333333</v>
      </c>
      <c r="J13" s="120">
        <f>'ACTA FINAL'!AS14</f>
        <v>6.666666667</v>
      </c>
      <c r="K13" s="120">
        <f>'ACTA FINAL'!AY14</f>
        <v>6.666666667</v>
      </c>
      <c r="L13" s="120">
        <f>'ACTA FINAL'!BE14</f>
        <v>6.666666667</v>
      </c>
      <c r="M13" s="120">
        <f>'ACTA FINAL'!BK14</f>
        <v>6.216666667</v>
      </c>
      <c r="N13" s="120">
        <f>'ACTA FINAL'!BQ14</f>
        <v>6.45</v>
      </c>
      <c r="O13" s="120">
        <f>'ACTA FINAL'!BW14</f>
        <v>6.616666667</v>
      </c>
      <c r="P13" s="120">
        <f>'ACTA FINAL'!CC14</f>
        <v>6.47</v>
      </c>
      <c r="Q13" s="120">
        <f>'ACTA FINAL'!CI14</f>
        <v>6.596666667</v>
      </c>
      <c r="R13" s="120">
        <f>'ACTA FINAL'!CP14</f>
        <v>6.522380952</v>
      </c>
      <c r="S13" s="122">
        <f t="shared" si="1"/>
        <v>6.527857143</v>
      </c>
      <c r="U13" s="2"/>
    </row>
    <row r="14" ht="15.0" customHeight="1">
      <c r="A14" s="56">
        <v>3.0</v>
      </c>
      <c r="B14" s="124" t="str">
        <f>LEN!B14</f>
        <v/>
      </c>
      <c r="C14" s="125" t="str">
        <f>LEN!C14</f>
        <v>Ampuero Cornejo Cesar Jeanpierre</v>
      </c>
      <c r="D14" s="120">
        <f>'ACTA FINAL'!I15</f>
        <v>5.493333333</v>
      </c>
      <c r="E14" s="120">
        <f>'ACTA FINAL'!O15</f>
        <v>5.003333333</v>
      </c>
      <c r="F14" s="120">
        <f>'ACTA FINAL'!U15</f>
        <v>6.073333333</v>
      </c>
      <c r="G14" s="120">
        <f>'ACTA FINAL'!AA15</f>
        <v>5.673333333</v>
      </c>
      <c r="H14" s="120">
        <f>'ACTA FINAL'!AG15</f>
        <v>7.396666667</v>
      </c>
      <c r="I14" s="120">
        <f>'ACTA FINAL'!AM15</f>
        <v>6.253333333</v>
      </c>
      <c r="J14" s="120">
        <f>'ACTA FINAL'!AS15</f>
        <v>6.36</v>
      </c>
      <c r="K14" s="120">
        <f>'ACTA FINAL'!AY15</f>
        <v>5.143333333</v>
      </c>
      <c r="L14" s="120">
        <f>'ACTA FINAL'!BE15</f>
        <v>6.46</v>
      </c>
      <c r="M14" s="120">
        <f>'ACTA FINAL'!BK15</f>
        <v>6.036666667</v>
      </c>
      <c r="N14" s="120">
        <f>'ACTA FINAL'!BQ15</f>
        <v>5.63</v>
      </c>
      <c r="O14" s="120">
        <f>'ACTA FINAL'!BW15</f>
        <v>5.8</v>
      </c>
      <c r="P14" s="120">
        <f>'ACTA FINAL'!CC15</f>
        <v>5.756666667</v>
      </c>
      <c r="Q14" s="120">
        <f>'ACTA FINAL'!CI15</f>
        <v>5.54</v>
      </c>
      <c r="R14" s="120">
        <f>'ACTA FINAL'!CP15</f>
        <v>5.956190476</v>
      </c>
      <c r="S14" s="122">
        <f t="shared" si="1"/>
        <v>5.901428571</v>
      </c>
      <c r="U14" s="2"/>
    </row>
    <row r="15" ht="15.0" customHeight="1">
      <c r="A15" s="56">
        <v>4.0</v>
      </c>
      <c r="B15" s="124" t="str">
        <f>LEN!B15</f>
        <v/>
      </c>
      <c r="C15" s="125" t="str">
        <f>LEN!C15</f>
        <v>Aylla Murillo Kerly Kristhel</v>
      </c>
      <c r="D15" s="120">
        <f>'ACTA FINAL'!I16</f>
        <v>5.443333333</v>
      </c>
      <c r="E15" s="120">
        <f>'ACTA FINAL'!O16</f>
        <v>4.8</v>
      </c>
      <c r="F15" s="120">
        <f>'ACTA FINAL'!U16</f>
        <v>5.45</v>
      </c>
      <c r="G15" s="120">
        <f>'ACTA FINAL'!AA16</f>
        <v>4.66</v>
      </c>
      <c r="H15" s="120">
        <f>'ACTA FINAL'!AG16</f>
        <v>7.476666667</v>
      </c>
      <c r="I15" s="120">
        <f>'ACTA FINAL'!AM16</f>
        <v>6.023333333</v>
      </c>
      <c r="J15" s="120">
        <f>'ACTA FINAL'!AS16</f>
        <v>4.843333333</v>
      </c>
      <c r="K15" s="120">
        <f>'ACTA FINAL'!AY16</f>
        <v>5.043333333</v>
      </c>
      <c r="L15" s="120">
        <f>'ACTA FINAL'!BE16</f>
        <v>5.976666667</v>
      </c>
      <c r="M15" s="120">
        <f>'ACTA FINAL'!BK16</f>
        <v>5.493333333</v>
      </c>
      <c r="N15" s="120">
        <f>'ACTA FINAL'!BQ16</f>
        <v>5.4</v>
      </c>
      <c r="O15" s="120">
        <f>'ACTA FINAL'!BW16</f>
        <v>4.85</v>
      </c>
      <c r="P15" s="120">
        <f>'ACTA FINAL'!CC16</f>
        <v>5.203333333</v>
      </c>
      <c r="Q15" s="120">
        <f>'ACTA FINAL'!CI16</f>
        <v>5</v>
      </c>
      <c r="R15" s="120">
        <f>'ACTA FINAL'!CP16</f>
        <v>5.529047619</v>
      </c>
      <c r="S15" s="122">
        <f t="shared" si="1"/>
        <v>5.40452381</v>
      </c>
      <c r="U15" s="2"/>
    </row>
    <row r="16" ht="15.0" customHeight="1">
      <c r="A16" s="56">
        <v>5.0</v>
      </c>
      <c r="B16" s="124" t="str">
        <f>LEN!B16</f>
        <v/>
      </c>
      <c r="C16" s="125" t="str">
        <f>LEN!C16</f>
        <v>Campuzano Meza Naydelyn Odeth</v>
      </c>
      <c r="D16" s="120">
        <f>'ACTA FINAL'!I17</f>
        <v>4.94</v>
      </c>
      <c r="E16" s="120">
        <f>'ACTA FINAL'!O17</f>
        <v>5.033333333</v>
      </c>
      <c r="F16" s="120">
        <f>'ACTA FINAL'!U17</f>
        <v>4.613333333</v>
      </c>
      <c r="G16" s="120">
        <f>'ACTA FINAL'!AA17</f>
        <v>5.06</v>
      </c>
      <c r="H16" s="120">
        <f>'ACTA FINAL'!AG17</f>
        <v>5.02</v>
      </c>
      <c r="I16" s="120">
        <f>'ACTA FINAL'!AM17</f>
        <v>5.15</v>
      </c>
      <c r="J16" s="120">
        <f>'ACTA FINAL'!AS17</f>
        <v>4.983333333</v>
      </c>
      <c r="K16" s="120">
        <f>'ACTA FINAL'!AY17</f>
        <v>4.24</v>
      </c>
      <c r="L16" s="120">
        <f>'ACTA FINAL'!BE17</f>
        <v>3.65</v>
      </c>
      <c r="M16" s="120">
        <f>'ACTA FINAL'!BK17</f>
        <v>5.06</v>
      </c>
      <c r="N16" s="120">
        <f>'ACTA FINAL'!BQ17</f>
        <v>4.913333333</v>
      </c>
      <c r="O16" s="120">
        <f>'ACTA FINAL'!BW17</f>
        <v>4.806666667</v>
      </c>
      <c r="P16" s="120">
        <f>'ACTA FINAL'!CC17</f>
        <v>4.723333333</v>
      </c>
      <c r="Q16" s="120">
        <f>'ACTA FINAL'!CI17</f>
        <v>4.803333333</v>
      </c>
      <c r="R16" s="120">
        <f>'ACTA FINAL'!CP17</f>
        <v>4.946190476</v>
      </c>
      <c r="S16" s="122">
        <f t="shared" si="1"/>
        <v>4.78547619</v>
      </c>
      <c r="U16" s="2"/>
    </row>
    <row r="17" ht="15.0" customHeight="1">
      <c r="A17" s="56">
        <v>6.0</v>
      </c>
      <c r="B17" s="124" t="str">
        <f>LEN!B17</f>
        <v/>
      </c>
      <c r="C17" s="125" t="str">
        <f>LEN!C17</f>
        <v>Cantos Zúñiga a Hernán Snayder</v>
      </c>
      <c r="D17" s="120">
        <f>'ACTA FINAL'!I18</f>
        <v>5.673333333</v>
      </c>
      <c r="E17" s="120">
        <f>'ACTA FINAL'!O18</f>
        <v>5.24</v>
      </c>
      <c r="F17" s="120">
        <f>'ACTA FINAL'!U18</f>
        <v>5.726666667</v>
      </c>
      <c r="G17" s="120">
        <f>'ACTA FINAL'!AA18</f>
        <v>5.833333333</v>
      </c>
      <c r="H17" s="120">
        <f>'ACTA FINAL'!AG18</f>
        <v>8.606666667</v>
      </c>
      <c r="I17" s="120">
        <f>'ACTA FINAL'!AM18</f>
        <v>6.026666667</v>
      </c>
      <c r="J17" s="120">
        <f>'ACTA FINAL'!AS18</f>
        <v>6.126666667</v>
      </c>
      <c r="K17" s="120">
        <f>'ACTA FINAL'!AY18</f>
        <v>5.366666667</v>
      </c>
      <c r="L17" s="120">
        <f>'ACTA FINAL'!BE18</f>
        <v>6.376666667</v>
      </c>
      <c r="M17" s="120">
        <f>'ACTA FINAL'!BK18</f>
        <v>6.266666667</v>
      </c>
      <c r="N17" s="120">
        <f>'ACTA FINAL'!BQ18</f>
        <v>5.996666667</v>
      </c>
      <c r="O17" s="120">
        <f>'ACTA FINAL'!BW18</f>
        <v>6.14</v>
      </c>
      <c r="P17" s="120">
        <f>'ACTA FINAL'!CC18</f>
        <v>5.7</v>
      </c>
      <c r="Q17" s="120">
        <f>'ACTA FINAL'!CI18</f>
        <v>6.04</v>
      </c>
      <c r="R17" s="120">
        <f>'ACTA FINAL'!CP18</f>
        <v>6.178095238</v>
      </c>
      <c r="S17" s="122">
        <f t="shared" si="1"/>
        <v>6.08</v>
      </c>
      <c r="U17" s="2"/>
    </row>
    <row r="18" ht="15.0" customHeight="1">
      <c r="A18" s="56">
        <v>7.0</v>
      </c>
      <c r="B18" s="124" t="str">
        <f>LEN!B18</f>
        <v/>
      </c>
      <c r="C18" s="125" t="str">
        <f>LEN!C18</f>
        <v>Carranza Dumes Genesis Daniela</v>
      </c>
      <c r="D18" s="120">
        <f>'ACTA FINAL'!I19</f>
        <v>5.473333333</v>
      </c>
      <c r="E18" s="120">
        <f>'ACTA FINAL'!O19</f>
        <v>5.366666667</v>
      </c>
      <c r="F18" s="120">
        <f>'ACTA FINAL'!U19</f>
        <v>5.303333333</v>
      </c>
      <c r="G18" s="120">
        <f>'ACTA FINAL'!AA19</f>
        <v>5.226666667</v>
      </c>
      <c r="H18" s="120">
        <f>'ACTA FINAL'!AG19</f>
        <v>7.073333333</v>
      </c>
      <c r="I18" s="120">
        <f>'ACTA FINAL'!AM19</f>
        <v>5.893333333</v>
      </c>
      <c r="J18" s="120">
        <f>'ACTA FINAL'!AS19</f>
        <v>5.63</v>
      </c>
      <c r="K18" s="120">
        <f>'ACTA FINAL'!AY19</f>
        <v>4.8</v>
      </c>
      <c r="L18" s="120">
        <f>'ACTA FINAL'!BE19</f>
        <v>5.616666667</v>
      </c>
      <c r="M18" s="120">
        <f>'ACTA FINAL'!BK19</f>
        <v>5.9</v>
      </c>
      <c r="N18" s="120">
        <f>'ACTA FINAL'!BQ19</f>
        <v>5.71</v>
      </c>
      <c r="O18" s="120">
        <f>'ACTA FINAL'!BW19</f>
        <v>5.153333333</v>
      </c>
      <c r="P18" s="120">
        <f>'ACTA FINAL'!CC19</f>
        <v>5.59</v>
      </c>
      <c r="Q18" s="120">
        <f>'ACTA FINAL'!CI19</f>
        <v>5.296666667</v>
      </c>
      <c r="R18" s="120">
        <f>'ACTA FINAL'!CP19</f>
        <v>5.641428571</v>
      </c>
      <c r="S18" s="122">
        <f t="shared" si="1"/>
        <v>5.573809524</v>
      </c>
      <c r="U18" s="2"/>
    </row>
    <row r="19" ht="15.0" customHeight="1">
      <c r="A19" s="56">
        <v>8.0</v>
      </c>
      <c r="B19" s="124" t="str">
        <f>LEN!B19</f>
        <v/>
      </c>
      <c r="C19" s="125" t="str">
        <f>LEN!C19</f>
        <v>Castro De La Rosa Cristopher Ruben</v>
      </c>
      <c r="D19" s="120">
        <f>'ACTA FINAL'!I20</f>
        <v>4.666666667</v>
      </c>
      <c r="E19" s="120">
        <f>'ACTA FINAL'!O20</f>
        <v>5.033333333</v>
      </c>
      <c r="F19" s="120">
        <f>'ACTA FINAL'!U20</f>
        <v>4.276666667</v>
      </c>
      <c r="G19" s="120">
        <f>'ACTA FINAL'!AA20</f>
        <v>3.17</v>
      </c>
      <c r="H19" s="120">
        <f>'ACTA FINAL'!AG20</f>
        <v>5.993333333</v>
      </c>
      <c r="I19" s="120">
        <f>'ACTA FINAL'!AM20</f>
        <v>5.536666667</v>
      </c>
      <c r="J19" s="120">
        <f>'ACTA FINAL'!AS20</f>
        <v>4.1</v>
      </c>
      <c r="K19" s="120">
        <f>'ACTA FINAL'!AY20</f>
        <v>3.873333333</v>
      </c>
      <c r="L19" s="120">
        <f>'ACTA FINAL'!BE20</f>
        <v>4.723333333</v>
      </c>
      <c r="M19" s="120">
        <f>'ACTA FINAL'!BK20</f>
        <v>4.876666667</v>
      </c>
      <c r="N19" s="120">
        <f>'ACTA FINAL'!BQ20</f>
        <v>5.136666667</v>
      </c>
      <c r="O19" s="120">
        <f>'ACTA FINAL'!BW20</f>
        <v>4.866666667</v>
      </c>
      <c r="P19" s="120">
        <f>'ACTA FINAL'!CC20</f>
        <v>5.033333333</v>
      </c>
      <c r="Q19" s="120">
        <f>'ACTA FINAL'!CI20</f>
        <v>4.48</v>
      </c>
      <c r="R19" s="120">
        <f>'ACTA FINAL'!CP20</f>
        <v>4.791904762</v>
      </c>
      <c r="S19" s="122">
        <f t="shared" si="1"/>
        <v>4.697619048</v>
      </c>
      <c r="U19" s="2"/>
    </row>
    <row r="20" ht="15.0" customHeight="1">
      <c r="A20" s="56">
        <v>9.0</v>
      </c>
      <c r="B20" s="124" t="str">
        <f>LEN!B20</f>
        <v/>
      </c>
      <c r="C20" s="125" t="str">
        <f>LEN!C20</f>
        <v>Chamba Maurad Joshelyn Juleixi</v>
      </c>
      <c r="D20" s="120">
        <f>'ACTA FINAL'!I21</f>
        <v>4.823333333</v>
      </c>
      <c r="E20" s="120">
        <f>'ACTA FINAL'!O21</f>
        <v>4.813333333</v>
      </c>
      <c r="F20" s="120">
        <f>'ACTA FINAL'!U21</f>
        <v>4.92</v>
      </c>
      <c r="G20" s="120">
        <f>'ACTA FINAL'!AA21</f>
        <v>3.836666667</v>
      </c>
      <c r="H20" s="120">
        <f>'ACTA FINAL'!AG21</f>
        <v>6.393333333</v>
      </c>
      <c r="I20" s="120">
        <f>'ACTA FINAL'!AM21</f>
        <v>5.936666667</v>
      </c>
      <c r="J20" s="120">
        <f>'ACTA FINAL'!AS21</f>
        <v>4.87</v>
      </c>
      <c r="K20" s="120">
        <f>'ACTA FINAL'!AY21</f>
        <v>4.516666667</v>
      </c>
      <c r="L20" s="120">
        <f>'ACTA FINAL'!BE21</f>
        <v>2.933333333</v>
      </c>
      <c r="M20" s="120">
        <f>'ACTA FINAL'!BK21</f>
        <v>5.176666667</v>
      </c>
      <c r="N20" s="120">
        <f>'ACTA FINAL'!BQ21</f>
        <v>5.186666667</v>
      </c>
      <c r="O20" s="120">
        <f>'ACTA FINAL'!BW21</f>
        <v>4.846666667</v>
      </c>
      <c r="P20" s="120">
        <f>'ACTA FINAL'!CC21</f>
        <v>4.96</v>
      </c>
      <c r="Q20" s="120">
        <f>'ACTA FINAL'!CI21</f>
        <v>4.546666667</v>
      </c>
      <c r="R20" s="120">
        <f>'ACTA FINAL'!CP21</f>
        <v>5.081428571</v>
      </c>
      <c r="S20" s="122">
        <f t="shared" si="1"/>
        <v>4.84</v>
      </c>
      <c r="U20" s="2"/>
    </row>
    <row r="21" ht="15.0" customHeight="1">
      <c r="A21" s="56">
        <v>10.0</v>
      </c>
      <c r="B21" s="124" t="str">
        <f>LEN!B21</f>
        <v/>
      </c>
      <c r="C21" s="125" t="str">
        <f>LEN!C21</f>
        <v>Cedeño Sanchez Josué</v>
      </c>
      <c r="D21" s="120">
        <f>'ACTA FINAL'!I22</f>
        <v>4.673333333</v>
      </c>
      <c r="E21" s="120">
        <f>'ACTA FINAL'!O22</f>
        <v>4.366666667</v>
      </c>
      <c r="F21" s="120">
        <f>'ACTA FINAL'!U22</f>
        <v>4.27</v>
      </c>
      <c r="G21" s="120">
        <f>'ACTA FINAL'!AA22</f>
        <v>2.86</v>
      </c>
      <c r="H21" s="120">
        <f>'ACTA FINAL'!AG22</f>
        <v>5.683333333</v>
      </c>
      <c r="I21" s="120">
        <f>'ACTA FINAL'!AM22</f>
        <v>5.586666667</v>
      </c>
      <c r="J21" s="120">
        <f>'ACTA FINAL'!AS22</f>
        <v>3.076666667</v>
      </c>
      <c r="K21" s="120">
        <f>'ACTA FINAL'!AY22</f>
        <v>3.613333333</v>
      </c>
      <c r="L21" s="120">
        <f>'ACTA FINAL'!BE22</f>
        <v>5.006666667</v>
      </c>
      <c r="M21" s="120">
        <f>'ACTA FINAL'!BK22</f>
        <v>4.8</v>
      </c>
      <c r="N21" s="120">
        <f>'ACTA FINAL'!BQ22</f>
        <v>2.493333333</v>
      </c>
      <c r="O21" s="120">
        <f>'ACTA FINAL'!BW22</f>
        <v>4.636666667</v>
      </c>
      <c r="P21" s="120">
        <f>'ACTA FINAL'!CC22</f>
        <v>2.533333333</v>
      </c>
      <c r="Q21" s="120">
        <f>'ACTA FINAL'!CI22</f>
        <v>4.42</v>
      </c>
      <c r="R21" s="120">
        <f>'ACTA FINAL'!CP22</f>
        <v>4.582380952</v>
      </c>
      <c r="S21" s="122">
        <f t="shared" si="1"/>
        <v>4.144285714</v>
      </c>
      <c r="U21" s="2"/>
    </row>
    <row r="22" ht="15.0" customHeight="1">
      <c r="A22" s="56">
        <v>11.0</v>
      </c>
      <c r="B22" s="124" t="str">
        <f>LEN!B22</f>
        <v/>
      </c>
      <c r="C22" s="125" t="str">
        <f>LEN!C22</f>
        <v>Espinoza Martinez Stefano Juliano</v>
      </c>
      <c r="D22" s="120">
        <f>'ACTA FINAL'!I23</f>
        <v>6.666666667</v>
      </c>
      <c r="E22" s="120">
        <f>'ACTA FINAL'!O23</f>
        <v>6.303333333</v>
      </c>
      <c r="F22" s="120">
        <f>'ACTA FINAL'!U23</f>
        <v>6.153333333</v>
      </c>
      <c r="G22" s="120">
        <f>'ACTA FINAL'!AA23</f>
        <v>6.336666667</v>
      </c>
      <c r="H22" s="120">
        <f>'ACTA FINAL'!AG23</f>
        <v>8.77</v>
      </c>
      <c r="I22" s="120">
        <f>'ACTA FINAL'!AM23</f>
        <v>6.343333333</v>
      </c>
      <c r="J22" s="120">
        <f>'ACTA FINAL'!AS23</f>
        <v>6.566666667</v>
      </c>
      <c r="K22" s="120">
        <f>'ACTA FINAL'!AY23</f>
        <v>6.04</v>
      </c>
      <c r="L22" s="120">
        <f>'ACTA FINAL'!BE23</f>
        <v>5.983333333</v>
      </c>
      <c r="M22" s="120">
        <f>'ACTA FINAL'!BK23</f>
        <v>6.426666667</v>
      </c>
      <c r="N22" s="120">
        <f>'ACTA FINAL'!BQ23</f>
        <v>6.666666667</v>
      </c>
      <c r="O22" s="120">
        <f>'ACTA FINAL'!BW23</f>
        <v>6.63</v>
      </c>
      <c r="P22" s="120">
        <f>'ACTA FINAL'!CC23</f>
        <v>6.666666667</v>
      </c>
      <c r="Q22" s="120">
        <f>'ACTA FINAL'!CI23</f>
        <v>6.513333333</v>
      </c>
      <c r="R22" s="120">
        <f>'ACTA FINAL'!CP23</f>
        <v>6.743333333</v>
      </c>
      <c r="S22" s="122">
        <f t="shared" si="1"/>
        <v>6.576190476</v>
      </c>
      <c r="U22" s="2"/>
    </row>
    <row r="23" ht="15.0" customHeight="1">
      <c r="A23" s="56">
        <v>12.0</v>
      </c>
      <c r="B23" s="124" t="str">
        <f>LEN!B23</f>
        <v/>
      </c>
      <c r="C23" s="125" t="str">
        <f>LEN!C23</f>
        <v>Espinoza Morante Melany Ginger</v>
      </c>
      <c r="D23" s="120">
        <f>'ACTA FINAL'!I24</f>
        <v>6.293333333</v>
      </c>
      <c r="E23" s="120">
        <f>'ACTA FINAL'!O24</f>
        <v>5.313333333</v>
      </c>
      <c r="F23" s="120">
        <f>'ACTA FINAL'!U24</f>
        <v>5.613333333</v>
      </c>
      <c r="G23" s="120">
        <f>'ACTA FINAL'!AA24</f>
        <v>5.73</v>
      </c>
      <c r="H23" s="120">
        <f>'ACTA FINAL'!AG24</f>
        <v>7.62</v>
      </c>
      <c r="I23" s="120">
        <f>'ACTA FINAL'!AM24</f>
        <v>6.203333333</v>
      </c>
      <c r="J23" s="120">
        <f>'ACTA FINAL'!AS24</f>
        <v>6.306666667</v>
      </c>
      <c r="K23" s="120">
        <f>'ACTA FINAL'!AY24</f>
        <v>6.41</v>
      </c>
      <c r="L23" s="120">
        <f>'ACTA FINAL'!BE24</f>
        <v>6.526666667</v>
      </c>
      <c r="M23" s="120">
        <f>'ACTA FINAL'!BK24</f>
        <v>6.153333333</v>
      </c>
      <c r="N23" s="120">
        <f>'ACTA FINAL'!BQ24</f>
        <v>6.29</v>
      </c>
      <c r="O23" s="120">
        <f>'ACTA FINAL'!BW24</f>
        <v>6.09</v>
      </c>
      <c r="P23" s="120">
        <f>'ACTA FINAL'!CC24</f>
        <v>5.696666667</v>
      </c>
      <c r="Q23" s="120">
        <f>'ACTA FINAL'!CI24</f>
        <v>6.03</v>
      </c>
      <c r="R23" s="120">
        <f>'ACTA FINAL'!CP24</f>
        <v>6.123333333</v>
      </c>
      <c r="S23" s="122">
        <f t="shared" si="1"/>
        <v>6.162619048</v>
      </c>
      <c r="U23" s="2"/>
    </row>
    <row r="24" ht="15.0" customHeight="1">
      <c r="A24" s="56">
        <v>13.0</v>
      </c>
      <c r="B24" s="124" t="str">
        <f>LEN!B24</f>
        <v/>
      </c>
      <c r="C24" s="125" t="str">
        <f>LEN!C24</f>
        <v>Garrido franco Génesis Lissette</v>
      </c>
      <c r="D24" s="120">
        <f>'ACTA FINAL'!I25</f>
        <v>6.106666667</v>
      </c>
      <c r="E24" s="120">
        <f>'ACTA FINAL'!O25</f>
        <v>5.92</v>
      </c>
      <c r="F24" s="120">
        <f>'ACTA FINAL'!U25</f>
        <v>5.506666667</v>
      </c>
      <c r="G24" s="120">
        <f>'ACTA FINAL'!AA25</f>
        <v>5.46</v>
      </c>
      <c r="H24" s="120">
        <f>'ACTA FINAL'!AG25</f>
        <v>8.176666667</v>
      </c>
      <c r="I24" s="120">
        <f>'ACTA FINAL'!AM25</f>
        <v>6.293333333</v>
      </c>
      <c r="J24" s="120">
        <f>'ACTA FINAL'!AS25</f>
        <v>6.09</v>
      </c>
      <c r="K24" s="120">
        <f>'ACTA FINAL'!AY25</f>
        <v>5.55</v>
      </c>
      <c r="L24" s="120">
        <f>'ACTA FINAL'!BE25</f>
        <v>6.616666667</v>
      </c>
      <c r="M24" s="120">
        <f>'ACTA FINAL'!BK25</f>
        <v>6</v>
      </c>
      <c r="N24" s="120">
        <f>'ACTA FINAL'!BQ25</f>
        <v>5.66</v>
      </c>
      <c r="O24" s="120">
        <f>'ACTA FINAL'!BW25</f>
        <v>6.616666667</v>
      </c>
      <c r="P24" s="120">
        <f>'ACTA FINAL'!CC25</f>
        <v>5.58</v>
      </c>
      <c r="Q24" s="120">
        <f>'ACTA FINAL'!CI25</f>
        <v>6.333333333</v>
      </c>
      <c r="R24" s="120">
        <f>'ACTA FINAL'!CP25</f>
        <v>6.297142857</v>
      </c>
      <c r="S24" s="122">
        <f t="shared" si="1"/>
        <v>6.136428571</v>
      </c>
      <c r="U24" s="2"/>
    </row>
    <row r="25" ht="15.0" customHeight="1">
      <c r="A25" s="56">
        <v>14.0</v>
      </c>
      <c r="B25" s="124" t="str">
        <f>LEN!B25</f>
        <v/>
      </c>
      <c r="C25" s="125" t="str">
        <f>LEN!C25</f>
        <v>Gonzalez Gonzalez Jean Carlos</v>
      </c>
      <c r="D25" s="120">
        <f>'ACTA FINAL'!I26</f>
        <v>5.066666667</v>
      </c>
      <c r="E25" s="120">
        <f>'ACTA FINAL'!O26</f>
        <v>4.816666667</v>
      </c>
      <c r="F25" s="120">
        <f>'ACTA FINAL'!U26</f>
        <v>4.79</v>
      </c>
      <c r="G25" s="120">
        <f>'ACTA FINAL'!AA26</f>
        <v>4.72</v>
      </c>
      <c r="H25" s="120">
        <f>'ACTA FINAL'!AG26</f>
        <v>4.45</v>
      </c>
      <c r="I25" s="120">
        <f>'ACTA FINAL'!AM26</f>
        <v>6.143333333</v>
      </c>
      <c r="J25" s="120">
        <f>'ACTA FINAL'!AS26</f>
        <v>5.513333333</v>
      </c>
      <c r="K25" s="120">
        <f>'ACTA FINAL'!AY26</f>
        <v>4.353333333</v>
      </c>
      <c r="L25" s="120">
        <f>'ACTA FINAL'!BE26</f>
        <v>5.623333333</v>
      </c>
      <c r="M25" s="120">
        <f>'ACTA FINAL'!BK26</f>
        <v>5.303333333</v>
      </c>
      <c r="N25" s="120">
        <f>'ACTA FINAL'!BQ26</f>
        <v>5.253333333</v>
      </c>
      <c r="O25" s="120">
        <f>'ACTA FINAL'!BW26</f>
        <v>4.863333333</v>
      </c>
      <c r="P25" s="120">
        <f>'ACTA FINAL'!CC26</f>
        <v>5.236666667</v>
      </c>
      <c r="Q25" s="120">
        <f>'ACTA FINAL'!CI26</f>
        <v>4.836666667</v>
      </c>
      <c r="R25" s="120">
        <f>'ACTA FINAL'!CP26</f>
        <v>4.978571429</v>
      </c>
      <c r="S25" s="122">
        <f t="shared" si="1"/>
        <v>5.069285714</v>
      </c>
      <c r="U25" s="2"/>
    </row>
    <row r="26" ht="15.0" customHeight="1">
      <c r="A26" s="56">
        <v>15.0</v>
      </c>
      <c r="B26" s="124" t="str">
        <f>LEN!B26</f>
        <v/>
      </c>
      <c r="C26" s="125" t="str">
        <f>LEN!C26</f>
        <v>Guevara Benites Jean Pierre</v>
      </c>
      <c r="D26" s="120">
        <f>'ACTA FINAL'!I27</f>
        <v>5.993333333</v>
      </c>
      <c r="E26" s="120">
        <f>'ACTA FINAL'!O27</f>
        <v>5.406666667</v>
      </c>
      <c r="F26" s="120">
        <f>'ACTA FINAL'!U27</f>
        <v>5.9</v>
      </c>
      <c r="G26" s="120">
        <f>'ACTA FINAL'!AA27</f>
        <v>5.166666667</v>
      </c>
      <c r="H26" s="120">
        <f>'ACTA FINAL'!AG27</f>
        <v>8.073333333</v>
      </c>
      <c r="I26" s="120">
        <f>'ACTA FINAL'!AM27</f>
        <v>6.23</v>
      </c>
      <c r="J26" s="120">
        <f>'ACTA FINAL'!AS27</f>
        <v>6.013333333</v>
      </c>
      <c r="K26" s="120">
        <f>'ACTA FINAL'!AY27</f>
        <v>4.83</v>
      </c>
      <c r="L26" s="120">
        <f>'ACTA FINAL'!BE27</f>
        <v>5.8</v>
      </c>
      <c r="M26" s="120">
        <f>'ACTA FINAL'!BK27</f>
        <v>5.73</v>
      </c>
      <c r="N26" s="120">
        <f>'ACTA FINAL'!BQ27</f>
        <v>5.713333333</v>
      </c>
      <c r="O26" s="120">
        <f>'ACTA FINAL'!BW27</f>
        <v>6.09</v>
      </c>
      <c r="P26" s="120">
        <f>'ACTA FINAL'!CC27</f>
        <v>5.89</v>
      </c>
      <c r="Q26" s="120">
        <f>'ACTA FINAL'!CI27</f>
        <v>5.983333333</v>
      </c>
      <c r="R26" s="120">
        <f>'ACTA FINAL'!CP27</f>
        <v>6.122857143</v>
      </c>
      <c r="S26" s="122">
        <f t="shared" si="1"/>
        <v>5.915714286</v>
      </c>
      <c r="U26" s="2"/>
    </row>
    <row r="27" ht="15.0" customHeight="1">
      <c r="A27" s="56">
        <v>16.0</v>
      </c>
      <c r="B27" s="124" t="str">
        <f>LEN!B27</f>
        <v/>
      </c>
      <c r="C27" s="125" t="str">
        <f>LEN!C27</f>
        <v>Mero Carcamo Adriana Carolina</v>
      </c>
      <c r="D27" s="120">
        <f>'ACTA FINAL'!I28</f>
        <v>4.966666667</v>
      </c>
      <c r="E27" s="120">
        <f>'ACTA FINAL'!O28</f>
        <v>4.726666667</v>
      </c>
      <c r="F27" s="120">
        <f>'ACTA FINAL'!U28</f>
        <v>5.263333333</v>
      </c>
      <c r="G27" s="120">
        <f>'ACTA FINAL'!AA28</f>
        <v>4.776666667</v>
      </c>
      <c r="H27" s="120">
        <f>'ACTA FINAL'!AG28</f>
        <v>7.04</v>
      </c>
      <c r="I27" s="120">
        <f>'ACTA FINAL'!AM28</f>
        <v>5.743333333</v>
      </c>
      <c r="J27" s="120">
        <f>'ACTA FINAL'!AS28</f>
        <v>5.74</v>
      </c>
      <c r="K27" s="120">
        <f>'ACTA FINAL'!AY28</f>
        <v>5.253333333</v>
      </c>
      <c r="L27" s="120">
        <f>'ACTA FINAL'!BE28</f>
        <v>6.466666667</v>
      </c>
      <c r="M27" s="120">
        <f>'ACTA FINAL'!BK28</f>
        <v>4.91</v>
      </c>
      <c r="N27" s="120">
        <f>'ACTA FINAL'!BQ28</f>
        <v>4.97</v>
      </c>
      <c r="O27" s="120">
        <f>'ACTA FINAL'!BW28</f>
        <v>4.746666667</v>
      </c>
      <c r="P27" s="120">
        <f>'ACTA FINAL'!CC28</f>
        <v>5.003333333</v>
      </c>
      <c r="Q27" s="120">
        <f>'ACTA FINAL'!CI28</f>
        <v>4.786666667</v>
      </c>
      <c r="R27" s="120">
        <f>'ACTA FINAL'!CP28</f>
        <v>5.323333333</v>
      </c>
      <c r="S27" s="122">
        <f t="shared" si="1"/>
        <v>5.313809524</v>
      </c>
      <c r="U27" s="2"/>
    </row>
    <row r="28" ht="15.0" customHeight="1">
      <c r="A28" s="56">
        <v>17.0</v>
      </c>
      <c r="B28" s="124" t="str">
        <f>LEN!B28</f>
        <v/>
      </c>
      <c r="C28" s="125" t="str">
        <f>LEN!C28</f>
        <v>Moreira Villamar Darwin Matias</v>
      </c>
      <c r="D28" s="120">
        <f>'ACTA FINAL'!I29</f>
        <v>6.243333333</v>
      </c>
      <c r="E28" s="120">
        <f>'ACTA FINAL'!O29</f>
        <v>5.156666667</v>
      </c>
      <c r="F28" s="120">
        <f>'ACTA FINAL'!U29</f>
        <v>6.14</v>
      </c>
      <c r="G28" s="120">
        <f>'ACTA FINAL'!AA29</f>
        <v>6.286666667</v>
      </c>
      <c r="H28" s="120">
        <f>'ACTA FINAL'!AG29</f>
        <v>8.64</v>
      </c>
      <c r="I28" s="120">
        <f>'ACTA FINAL'!AM29</f>
        <v>6.33</v>
      </c>
      <c r="J28" s="120">
        <f>'ACTA FINAL'!AS29</f>
        <v>5.606666667</v>
      </c>
      <c r="K28" s="120">
        <f>'ACTA FINAL'!AY29</f>
        <v>6.306666667</v>
      </c>
      <c r="L28" s="120">
        <f>'ACTA FINAL'!BE29</f>
        <v>6.65</v>
      </c>
      <c r="M28" s="120">
        <f>'ACTA FINAL'!BK29</f>
        <v>6.543333333</v>
      </c>
      <c r="N28" s="120">
        <f>'ACTA FINAL'!BQ29</f>
        <v>6.366666667</v>
      </c>
      <c r="O28" s="120">
        <f>'ACTA FINAL'!BW29</f>
        <v>6.55</v>
      </c>
      <c r="P28" s="120">
        <f>'ACTA FINAL'!CC29</f>
        <v>6.34</v>
      </c>
      <c r="Q28" s="120">
        <f>'ACTA FINAL'!CI29</f>
        <v>6.55</v>
      </c>
      <c r="R28" s="120">
        <f>'ACTA FINAL'!CP29</f>
        <v>6.478095238</v>
      </c>
      <c r="S28" s="122">
        <f t="shared" si="1"/>
        <v>6.407857143</v>
      </c>
      <c r="U28" s="2"/>
    </row>
    <row r="29" ht="15.0" customHeight="1">
      <c r="A29" s="56">
        <v>18.0</v>
      </c>
      <c r="B29" s="124" t="str">
        <f>LEN!B29</f>
        <v/>
      </c>
      <c r="C29" s="125" t="str">
        <f>LEN!C29</f>
        <v>Peña Macias Enrique Alexander</v>
      </c>
      <c r="D29" s="120">
        <f>'ACTA FINAL'!I30</f>
        <v>6.233333333</v>
      </c>
      <c r="E29" s="120">
        <f>'ACTA FINAL'!O30</f>
        <v>5.696666667</v>
      </c>
      <c r="F29" s="120">
        <f>'ACTA FINAL'!U30</f>
        <v>5.833333333</v>
      </c>
      <c r="G29" s="120">
        <f>'ACTA FINAL'!AA30</f>
        <v>5.686666667</v>
      </c>
      <c r="H29" s="120">
        <f>'ACTA FINAL'!AG30</f>
        <v>8.573333333</v>
      </c>
      <c r="I29" s="120">
        <f>'ACTA FINAL'!AM30</f>
        <v>6.146666667</v>
      </c>
      <c r="J29" s="120">
        <f>'ACTA FINAL'!AS30</f>
        <v>5.893333333</v>
      </c>
      <c r="K29" s="120">
        <f>'ACTA FINAL'!AY30</f>
        <v>5.543333333</v>
      </c>
      <c r="L29" s="120">
        <f>'ACTA FINAL'!BE30</f>
        <v>6.626666667</v>
      </c>
      <c r="M29" s="120">
        <f>'ACTA FINAL'!BK30</f>
        <v>6.47</v>
      </c>
      <c r="N29" s="120">
        <f>'ACTA FINAL'!BQ30</f>
        <v>6.43</v>
      </c>
      <c r="O29" s="120">
        <f>'ACTA FINAL'!BW30</f>
        <v>5.96</v>
      </c>
      <c r="P29" s="120">
        <f>'ACTA FINAL'!CC30</f>
        <v>6.47</v>
      </c>
      <c r="Q29" s="120">
        <f>'ACTA FINAL'!CI30</f>
        <v>5.99</v>
      </c>
      <c r="R29" s="120">
        <f>'ACTA FINAL'!CP30</f>
        <v>6.304285714</v>
      </c>
      <c r="S29" s="122">
        <f t="shared" si="1"/>
        <v>6.253809524</v>
      </c>
      <c r="U29" s="2"/>
    </row>
    <row r="30" ht="15.0" customHeight="1">
      <c r="A30" s="56">
        <v>19.0</v>
      </c>
      <c r="B30" s="124" t="str">
        <f>LEN!B30</f>
        <v/>
      </c>
      <c r="C30" s="125" t="str">
        <f>LEN!C30</f>
        <v>Roman Arreaga Stefani Asley</v>
      </c>
      <c r="D30" s="120">
        <f>'ACTA FINAL'!I31</f>
        <v>6.256666667</v>
      </c>
      <c r="E30" s="120">
        <f>'ACTA FINAL'!O31</f>
        <v>5.143333333</v>
      </c>
      <c r="F30" s="120">
        <f>'ACTA FINAL'!U31</f>
        <v>6.243333333</v>
      </c>
      <c r="G30" s="120">
        <f>'ACTA FINAL'!AA31</f>
        <v>5.493333333</v>
      </c>
      <c r="H30" s="120">
        <f>'ACTA FINAL'!AG31</f>
        <v>7.783333333</v>
      </c>
      <c r="I30" s="120">
        <f>'ACTA FINAL'!AM31</f>
        <v>6.16</v>
      </c>
      <c r="J30" s="120">
        <f>'ACTA FINAL'!AS31</f>
        <v>6.3</v>
      </c>
      <c r="K30" s="120">
        <f>'ACTA FINAL'!AY31</f>
        <v>5.873333333</v>
      </c>
      <c r="L30" s="120">
        <f>'ACTA FINAL'!BE31</f>
        <v>6.64</v>
      </c>
      <c r="M30" s="120">
        <f>'ACTA FINAL'!BK31</f>
        <v>6.266666667</v>
      </c>
      <c r="N30" s="120">
        <f>'ACTA FINAL'!BQ31</f>
        <v>6.25</v>
      </c>
      <c r="O30" s="120">
        <f>'ACTA FINAL'!BW31</f>
        <v>5.96</v>
      </c>
      <c r="P30" s="120">
        <f>'ACTA FINAL'!CC31</f>
        <v>6.056666667</v>
      </c>
      <c r="Q30" s="120">
        <f>'ACTA FINAL'!CI31</f>
        <v>5.706666667</v>
      </c>
      <c r="R30" s="120">
        <f>'ACTA FINAL'!CP31</f>
        <v>6.148571429</v>
      </c>
      <c r="S30" s="122">
        <f t="shared" si="1"/>
        <v>6.152380952</v>
      </c>
      <c r="U30" s="2"/>
    </row>
    <row r="31" ht="15.0" customHeight="1">
      <c r="A31" s="56">
        <v>20.0</v>
      </c>
      <c r="B31" s="124" t="str">
        <f>LEN!B31</f>
        <v/>
      </c>
      <c r="C31" s="125" t="str">
        <f>LEN!C31</f>
        <v>Sánchez Ponce Sandra Stefania</v>
      </c>
      <c r="D31" s="120">
        <f>'ACTA FINAL'!I32</f>
        <v>6.516666667</v>
      </c>
      <c r="E31" s="120">
        <f>'ACTA FINAL'!O32</f>
        <v>6.666666667</v>
      </c>
      <c r="F31" s="120">
        <f>'ACTA FINAL'!U32</f>
        <v>6.396666667</v>
      </c>
      <c r="G31" s="120">
        <f>'ACTA FINAL'!AA32</f>
        <v>6.666666667</v>
      </c>
      <c r="H31" s="120">
        <f>'ACTA FINAL'!AG32</f>
        <v>8.793333333</v>
      </c>
      <c r="I31" s="120">
        <f>'ACTA FINAL'!AM32</f>
        <v>6.5</v>
      </c>
      <c r="J31" s="120">
        <f>'ACTA FINAL'!AS32</f>
        <v>6.666666667</v>
      </c>
      <c r="K31" s="120">
        <f>'ACTA FINAL'!AY32</f>
        <v>6.666666667</v>
      </c>
      <c r="L31" s="120">
        <f>'ACTA FINAL'!BE32</f>
        <v>6.666666667</v>
      </c>
      <c r="M31" s="120">
        <f>'ACTA FINAL'!BK32</f>
        <v>6.566666667</v>
      </c>
      <c r="N31" s="120">
        <f>'ACTA FINAL'!BQ32</f>
        <v>6.586666667</v>
      </c>
      <c r="O31" s="120">
        <f>'ACTA FINAL'!BW32</f>
        <v>6.666666667</v>
      </c>
      <c r="P31" s="120">
        <f>'ACTA FINAL'!CC32</f>
        <v>6.586666667</v>
      </c>
      <c r="Q31" s="120">
        <f>'ACTA FINAL'!CI32</f>
        <v>6.666666667</v>
      </c>
      <c r="R31" s="120">
        <f>'ACTA FINAL'!CP32</f>
        <v>6.886666667</v>
      </c>
      <c r="S31" s="122">
        <f t="shared" si="1"/>
        <v>6.758095238</v>
      </c>
      <c r="U31" s="2"/>
    </row>
    <row r="32" ht="15.0" customHeight="1">
      <c r="A32" s="56">
        <v>21.0</v>
      </c>
      <c r="B32" s="124" t="str">
        <f>LEN!B32</f>
        <v/>
      </c>
      <c r="C32" s="125" t="str">
        <f>LEN!C32</f>
        <v>Torres Vera Anderson</v>
      </c>
      <c r="D32" s="120">
        <f>'ACTA FINAL'!I33</f>
        <v>5.463333333</v>
      </c>
      <c r="E32" s="120">
        <f>'ACTA FINAL'!O33</f>
        <v>4.866666667</v>
      </c>
      <c r="F32" s="120">
        <f>'ACTA FINAL'!U33</f>
        <v>5.36</v>
      </c>
      <c r="G32" s="120">
        <f>'ACTA FINAL'!AA33</f>
        <v>5.223333333</v>
      </c>
      <c r="H32" s="120">
        <f>'ACTA FINAL'!AG33</f>
        <v>4.706666667</v>
      </c>
      <c r="I32" s="120">
        <f>'ACTA FINAL'!AM33</f>
        <v>6.166666667</v>
      </c>
      <c r="J32" s="120">
        <f>'ACTA FINAL'!AS33</f>
        <v>5.17</v>
      </c>
      <c r="K32" s="120">
        <f>'ACTA FINAL'!AY33</f>
        <v>4.793333333</v>
      </c>
      <c r="L32" s="120">
        <f>'ACTA FINAL'!BE33</f>
        <v>4.806666667</v>
      </c>
      <c r="M32" s="120">
        <f>'ACTA FINAL'!BK33</f>
        <v>5.766666667</v>
      </c>
      <c r="N32" s="120">
        <f>'ACTA FINAL'!BQ33</f>
        <v>5.32</v>
      </c>
      <c r="O32" s="120">
        <f>'ACTA FINAL'!BW33</f>
        <v>5.326666667</v>
      </c>
      <c r="P32" s="120">
        <f>'ACTA FINAL'!CC33</f>
        <v>5.23</v>
      </c>
      <c r="Q32" s="120">
        <f>'ACTA FINAL'!CI33</f>
        <v>5.36</v>
      </c>
      <c r="R32" s="120">
        <f>'ACTA FINAL'!CP33</f>
        <v>5.301904762</v>
      </c>
      <c r="S32" s="122">
        <f t="shared" si="1"/>
        <v>5.254285714</v>
      </c>
      <c r="U32" s="2"/>
    </row>
    <row r="33" ht="15.0" customHeight="1">
      <c r="A33" s="56">
        <v>22.0</v>
      </c>
      <c r="B33" s="124" t="str">
        <f>LEN!B33</f>
        <v/>
      </c>
      <c r="C33" s="125" t="str">
        <f>LEN!C33</f>
        <v>Valero Pefiafiel Carlos José</v>
      </c>
      <c r="D33" s="120">
        <f>'ACTA FINAL'!I34</f>
        <v>5.85</v>
      </c>
      <c r="E33" s="120">
        <f>'ACTA FINAL'!O34</f>
        <v>5.08</v>
      </c>
      <c r="F33" s="120">
        <f>'ACTA FINAL'!U34</f>
        <v>5.38</v>
      </c>
      <c r="G33" s="120">
        <f>'ACTA FINAL'!AA34</f>
        <v>5.546666667</v>
      </c>
      <c r="H33" s="120">
        <f>'ACTA FINAL'!AG34</f>
        <v>6.943333333</v>
      </c>
      <c r="I33" s="120">
        <f>'ACTA FINAL'!AM34</f>
        <v>6.303333333</v>
      </c>
      <c r="J33" s="120">
        <f>'ACTA FINAL'!AS34</f>
        <v>5.723333333</v>
      </c>
      <c r="K33" s="120">
        <f>'ACTA FINAL'!AY34</f>
        <v>5.08</v>
      </c>
      <c r="L33" s="120">
        <f>'ACTA FINAL'!BE34</f>
        <v>5.733333333</v>
      </c>
      <c r="M33" s="120">
        <f>'ACTA FINAL'!BK34</f>
        <v>5.616666667</v>
      </c>
      <c r="N33" s="120">
        <f>'ACTA FINAL'!BQ34</f>
        <v>5.913333333</v>
      </c>
      <c r="O33" s="120">
        <f>'ACTA FINAL'!BW34</f>
        <v>5.78</v>
      </c>
      <c r="P33" s="120">
        <f>'ACTA FINAL'!CC34</f>
        <v>5.576666667</v>
      </c>
      <c r="Q33" s="120">
        <f>'ACTA FINAL'!CI34</f>
        <v>5.696666667</v>
      </c>
      <c r="R33" s="120">
        <f>'ACTA FINAL'!CP34</f>
        <v>5.84047619</v>
      </c>
      <c r="S33" s="122">
        <f t="shared" si="1"/>
        <v>5.730238095</v>
      </c>
      <c r="U33" s="2"/>
    </row>
    <row r="34" ht="15.0" customHeight="1">
      <c r="A34" s="56">
        <v>23.0</v>
      </c>
      <c r="B34" s="124" t="str">
        <f>LEN!B34</f>
        <v/>
      </c>
      <c r="C34" s="125" t="str">
        <f>LEN!C34</f>
        <v>Veliz chicaiza Alex isaac</v>
      </c>
      <c r="D34" s="120">
        <f>'ACTA FINAL'!I35</f>
        <v>5.206666667</v>
      </c>
      <c r="E34" s="120">
        <f>'ACTA FINAL'!O35</f>
        <v>4.983333333</v>
      </c>
      <c r="F34" s="120">
        <f>'ACTA FINAL'!U35</f>
        <v>5.56</v>
      </c>
      <c r="G34" s="120">
        <f>'ACTA FINAL'!AA35</f>
        <v>5.186666667</v>
      </c>
      <c r="H34" s="120">
        <f>'ACTA FINAL'!AG35</f>
        <v>6.846666667</v>
      </c>
      <c r="I34" s="120">
        <f>'ACTA FINAL'!AM35</f>
        <v>6.053333333</v>
      </c>
      <c r="J34" s="120">
        <f>'ACTA FINAL'!AS35</f>
        <v>6.12</v>
      </c>
      <c r="K34" s="120">
        <f>'ACTA FINAL'!AY35</f>
        <v>4.933333333</v>
      </c>
      <c r="L34" s="120">
        <f>'ACTA FINAL'!BE35</f>
        <v>5.68</v>
      </c>
      <c r="M34" s="120">
        <f>'ACTA FINAL'!BK35</f>
        <v>5.34</v>
      </c>
      <c r="N34" s="120">
        <f>'ACTA FINAL'!BQ35</f>
        <v>5.663333333</v>
      </c>
      <c r="O34" s="120">
        <f>'ACTA FINAL'!BW35</f>
        <v>5.603333333</v>
      </c>
      <c r="P34" s="120">
        <f>'ACTA FINAL'!CC35</f>
        <v>5.516666667</v>
      </c>
      <c r="Q34" s="120">
        <f>'ACTA FINAL'!CI35</f>
        <v>5.436666667</v>
      </c>
      <c r="R34" s="120">
        <f>'ACTA FINAL'!CP35</f>
        <v>5.634285714</v>
      </c>
      <c r="S34" s="122">
        <f t="shared" si="1"/>
        <v>5.580714286</v>
      </c>
      <c r="U34" s="2"/>
    </row>
    <row r="35" ht="15.0" customHeight="1">
      <c r="A35" s="56">
        <v>24.0</v>
      </c>
      <c r="B35" s="124" t="str">
        <f>LEN!B35</f>
        <v/>
      </c>
      <c r="C35" s="125" t="str">
        <f>LEN!C35</f>
        <v>Zambrano Zhicay Victor Humberto</v>
      </c>
      <c r="D35" s="120">
        <f>'ACTA FINAL'!I36</f>
        <v>6.08</v>
      </c>
      <c r="E35" s="120">
        <f>'ACTA FINAL'!O36</f>
        <v>5.066666667</v>
      </c>
      <c r="F35" s="120">
        <f>'ACTA FINAL'!U36</f>
        <v>5.913333333</v>
      </c>
      <c r="G35" s="120">
        <f>'ACTA FINAL'!AA36</f>
        <v>5.95</v>
      </c>
      <c r="H35" s="120">
        <f>'ACTA FINAL'!AG36</f>
        <v>8.366666667</v>
      </c>
      <c r="I35" s="120">
        <f>'ACTA FINAL'!AM36</f>
        <v>6.29</v>
      </c>
      <c r="J35" s="120">
        <f>'ACTA FINAL'!AS36</f>
        <v>6.066666667</v>
      </c>
      <c r="K35" s="120">
        <f>'ACTA FINAL'!AY36</f>
        <v>5.373333333</v>
      </c>
      <c r="L35" s="120">
        <f>'ACTA FINAL'!BE36</f>
        <v>6.65</v>
      </c>
      <c r="M35" s="120">
        <f>'ACTA FINAL'!BK36</f>
        <v>6.513333333</v>
      </c>
      <c r="N35" s="120">
        <f>'ACTA FINAL'!BQ36</f>
        <v>5.873333333</v>
      </c>
      <c r="O35" s="120">
        <f>'ACTA FINAL'!BW36</f>
        <v>6.636666667</v>
      </c>
      <c r="P35" s="120">
        <f>'ACTA FINAL'!CC36</f>
        <v>5.82</v>
      </c>
      <c r="Q35" s="120">
        <f>'ACTA FINAL'!CI36</f>
        <v>6.616666667</v>
      </c>
      <c r="R35" s="120">
        <f>'ACTA FINAL'!CP36</f>
        <v>6.329047619</v>
      </c>
      <c r="S35" s="122">
        <f t="shared" si="1"/>
        <v>6.229761905</v>
      </c>
      <c r="U35" s="2"/>
    </row>
    <row r="36" ht="15.0" customHeight="1">
      <c r="A36" s="56">
        <v>25.0</v>
      </c>
      <c r="B36" s="124" t="str">
        <f>LEN!B36</f>
        <v/>
      </c>
      <c r="C36" s="125" t="str">
        <f>LEN!C36</f>
        <v/>
      </c>
      <c r="D36" s="120" t="str">
        <f>'ACTA FINAL'!I37</f>
        <v/>
      </c>
      <c r="E36" s="120" t="str">
        <f>'ACTA FINAL'!O37</f>
        <v/>
      </c>
      <c r="F36" s="120" t="str">
        <f>'ACTA FINAL'!U37</f>
        <v/>
      </c>
      <c r="G36" s="120" t="str">
        <f>'ACTA FINAL'!AA37</f>
        <v/>
      </c>
      <c r="H36" s="120" t="str">
        <f>'ACTA FINAL'!AG37</f>
        <v/>
      </c>
      <c r="I36" s="120" t="str">
        <f>'ACTA FINAL'!AM37</f>
        <v/>
      </c>
      <c r="J36" s="120" t="str">
        <f>'ACTA FINAL'!AS37</f>
        <v/>
      </c>
      <c r="K36" s="120" t="str">
        <f>'ACTA FINAL'!AY37</f>
        <v/>
      </c>
      <c r="L36" s="120" t="str">
        <f>'ACTA FINAL'!BE37</f>
        <v/>
      </c>
      <c r="M36" s="120" t="str">
        <f>'ACTA FINAL'!BK37</f>
        <v/>
      </c>
      <c r="N36" s="120" t="str">
        <f>'ACTA FINAL'!BQ37</f>
        <v/>
      </c>
      <c r="O36" s="120" t="str">
        <f>'ACTA FINAL'!BW37</f>
        <v/>
      </c>
      <c r="P36" s="120" t="str">
        <f>'ACTA FINAL'!CC37</f>
        <v/>
      </c>
      <c r="Q36" s="120" t="str">
        <f>'ACTA FINAL'!CI37</f>
        <v/>
      </c>
      <c r="R36" s="120">
        <f>'ACTA FINAL'!CP37</f>
        <v>0</v>
      </c>
      <c r="S36" s="122" t="str">
        <f t="shared" si="1"/>
        <v>#DIV/0!</v>
      </c>
      <c r="U36" s="2"/>
    </row>
    <row r="37" ht="15.0" customHeight="1">
      <c r="A37" s="56">
        <v>26.0</v>
      </c>
      <c r="B37" s="124" t="str">
        <f>LEN!B37</f>
        <v/>
      </c>
      <c r="C37" s="125" t="str">
        <f>LEN!C37</f>
        <v/>
      </c>
      <c r="D37" s="120" t="str">
        <f>'ACTA FINAL'!I38</f>
        <v/>
      </c>
      <c r="E37" s="120" t="str">
        <f>'ACTA FINAL'!O38</f>
        <v/>
      </c>
      <c r="F37" s="120" t="str">
        <f>'ACTA FINAL'!U38</f>
        <v/>
      </c>
      <c r="G37" s="120" t="str">
        <f>'ACTA FINAL'!AA38</f>
        <v/>
      </c>
      <c r="H37" s="120" t="str">
        <f>'ACTA FINAL'!AG38</f>
        <v/>
      </c>
      <c r="I37" s="120" t="str">
        <f>'ACTA FINAL'!AM38</f>
        <v/>
      </c>
      <c r="J37" s="120" t="str">
        <f>'ACTA FINAL'!AS38</f>
        <v/>
      </c>
      <c r="K37" s="120" t="str">
        <f>'ACTA FINAL'!AY38</f>
        <v/>
      </c>
      <c r="L37" s="120" t="str">
        <f>'ACTA FINAL'!BE38</f>
        <v/>
      </c>
      <c r="M37" s="120" t="str">
        <f>'ACTA FINAL'!BK38</f>
        <v/>
      </c>
      <c r="N37" s="120" t="str">
        <f>'ACTA FINAL'!BQ38</f>
        <v/>
      </c>
      <c r="O37" s="120" t="str">
        <f>'ACTA FINAL'!BW38</f>
        <v/>
      </c>
      <c r="P37" s="120" t="str">
        <f>'ACTA FINAL'!CC38</f>
        <v/>
      </c>
      <c r="Q37" s="120" t="str">
        <f>'ACTA FINAL'!CI38</f>
        <v/>
      </c>
      <c r="R37" s="120">
        <f>'ACTA FINAL'!CP38</f>
        <v>0</v>
      </c>
      <c r="S37" s="122" t="str">
        <f t="shared" si="1"/>
        <v>#DIV/0!</v>
      </c>
      <c r="U37" s="2"/>
    </row>
    <row r="38" ht="15.0" customHeight="1">
      <c r="A38" s="56">
        <v>27.0</v>
      </c>
      <c r="B38" s="124" t="str">
        <f>LEN!B38</f>
        <v/>
      </c>
      <c r="C38" s="125" t="str">
        <f>LEN!C38</f>
        <v/>
      </c>
      <c r="D38" s="120" t="str">
        <f>'ACTA FINAL'!I39</f>
        <v/>
      </c>
      <c r="E38" s="120" t="str">
        <f>'ACTA FINAL'!O39</f>
        <v/>
      </c>
      <c r="F38" s="120" t="str">
        <f>'ACTA FINAL'!U39</f>
        <v/>
      </c>
      <c r="G38" s="120" t="str">
        <f>'ACTA FINAL'!AA39</f>
        <v/>
      </c>
      <c r="H38" s="120" t="str">
        <f>'ACTA FINAL'!AG39</f>
        <v/>
      </c>
      <c r="I38" s="120" t="str">
        <f>'ACTA FINAL'!AM39</f>
        <v/>
      </c>
      <c r="J38" s="120" t="str">
        <f>'ACTA FINAL'!AS39</f>
        <v/>
      </c>
      <c r="K38" s="120" t="str">
        <f>'ACTA FINAL'!AY39</f>
        <v/>
      </c>
      <c r="L38" s="120" t="str">
        <f>'ACTA FINAL'!BE39</f>
        <v/>
      </c>
      <c r="M38" s="120" t="str">
        <f>'ACTA FINAL'!BK39</f>
        <v/>
      </c>
      <c r="N38" s="120" t="str">
        <f>'ACTA FINAL'!BQ39</f>
        <v/>
      </c>
      <c r="O38" s="120" t="str">
        <f>'ACTA FINAL'!BW39</f>
        <v/>
      </c>
      <c r="P38" s="120" t="str">
        <f>'ACTA FINAL'!CC39</f>
        <v/>
      </c>
      <c r="Q38" s="120" t="str">
        <f>'ACTA FINAL'!CI39</f>
        <v/>
      </c>
      <c r="R38" s="120">
        <f>'ACTA FINAL'!CP39</f>
        <v>0</v>
      </c>
      <c r="S38" s="122" t="str">
        <f t="shared" si="1"/>
        <v>#DIV/0!</v>
      </c>
      <c r="U38" s="2"/>
    </row>
    <row r="39" ht="15.0" customHeight="1">
      <c r="A39" s="56">
        <v>28.0</v>
      </c>
      <c r="B39" s="124" t="str">
        <f>LEN!B39</f>
        <v/>
      </c>
      <c r="C39" s="125" t="str">
        <f>LEN!C39</f>
        <v/>
      </c>
      <c r="D39" s="120" t="str">
        <f>'ACTA FINAL'!I40</f>
        <v/>
      </c>
      <c r="E39" s="120" t="str">
        <f>'ACTA FINAL'!O40</f>
        <v/>
      </c>
      <c r="F39" s="120" t="str">
        <f>'ACTA FINAL'!U40</f>
        <v/>
      </c>
      <c r="G39" s="120" t="str">
        <f>'ACTA FINAL'!AA40</f>
        <v/>
      </c>
      <c r="H39" s="120" t="str">
        <f>'ACTA FINAL'!AG40</f>
        <v/>
      </c>
      <c r="I39" s="120" t="str">
        <f>'ACTA FINAL'!AM40</f>
        <v/>
      </c>
      <c r="J39" s="120" t="str">
        <f>'ACTA FINAL'!AS40</f>
        <v/>
      </c>
      <c r="K39" s="120" t="str">
        <f>'ACTA FINAL'!AY40</f>
        <v/>
      </c>
      <c r="L39" s="120" t="str">
        <f>'ACTA FINAL'!BE40</f>
        <v/>
      </c>
      <c r="M39" s="120" t="str">
        <f>'ACTA FINAL'!BK40</f>
        <v/>
      </c>
      <c r="N39" s="120" t="str">
        <f>'ACTA FINAL'!BQ40</f>
        <v/>
      </c>
      <c r="O39" s="120" t="str">
        <f>'ACTA FINAL'!BW40</f>
        <v/>
      </c>
      <c r="P39" s="120" t="str">
        <f>'ACTA FINAL'!CC40</f>
        <v/>
      </c>
      <c r="Q39" s="120" t="str">
        <f>'ACTA FINAL'!CI40</f>
        <v/>
      </c>
      <c r="R39" s="120">
        <f>'ACTA FINAL'!CP40</f>
        <v>0</v>
      </c>
      <c r="S39" s="122" t="str">
        <f t="shared" si="1"/>
        <v>#DIV/0!</v>
      </c>
      <c r="U39" s="2"/>
    </row>
    <row r="40" ht="15.0" customHeight="1">
      <c r="A40" s="56">
        <v>29.0</v>
      </c>
      <c r="B40" s="124" t="str">
        <f>LEN!B40</f>
        <v/>
      </c>
      <c r="C40" s="125" t="str">
        <f>LEN!C40</f>
        <v/>
      </c>
      <c r="D40" s="120" t="str">
        <f>'ACTA FINAL'!I41</f>
        <v/>
      </c>
      <c r="E40" s="120" t="str">
        <f>'ACTA FINAL'!O41</f>
        <v/>
      </c>
      <c r="F40" s="120" t="str">
        <f>'ACTA FINAL'!U41</f>
        <v/>
      </c>
      <c r="G40" s="120" t="str">
        <f>'ACTA FINAL'!AA41</f>
        <v/>
      </c>
      <c r="H40" s="120" t="str">
        <f>'ACTA FINAL'!AG41</f>
        <v/>
      </c>
      <c r="I40" s="120" t="str">
        <f>'ACTA FINAL'!AM41</f>
        <v/>
      </c>
      <c r="J40" s="120" t="str">
        <f>'ACTA FINAL'!AS41</f>
        <v/>
      </c>
      <c r="K40" s="120" t="str">
        <f>'ACTA FINAL'!AY41</f>
        <v/>
      </c>
      <c r="L40" s="120" t="str">
        <f>'ACTA FINAL'!BE41</f>
        <v/>
      </c>
      <c r="M40" s="120" t="str">
        <f>'ACTA FINAL'!BK41</f>
        <v/>
      </c>
      <c r="N40" s="120" t="str">
        <f>'ACTA FINAL'!BQ41</f>
        <v/>
      </c>
      <c r="O40" s="120" t="str">
        <f>'ACTA FINAL'!BW41</f>
        <v/>
      </c>
      <c r="P40" s="120" t="str">
        <f>'ACTA FINAL'!CC41</f>
        <v/>
      </c>
      <c r="Q40" s="120" t="str">
        <f>'ACTA FINAL'!CI41</f>
        <v/>
      </c>
      <c r="R40" s="120">
        <f>'ACTA FINAL'!CP41</f>
        <v>0</v>
      </c>
      <c r="S40" s="122" t="str">
        <f t="shared" si="1"/>
        <v>#DIV/0!</v>
      </c>
      <c r="U40" s="2"/>
    </row>
    <row r="41" ht="15.0" customHeight="1">
      <c r="A41" s="56">
        <v>30.0</v>
      </c>
      <c r="B41" s="124" t="str">
        <f>LEN!B41</f>
        <v/>
      </c>
      <c r="C41" s="125" t="str">
        <f>LEN!C41</f>
        <v/>
      </c>
      <c r="D41" s="120" t="str">
        <f>'ACTA FINAL'!I42</f>
        <v/>
      </c>
      <c r="E41" s="120" t="str">
        <f>'ACTA FINAL'!O42</f>
        <v/>
      </c>
      <c r="F41" s="120" t="str">
        <f>'ACTA FINAL'!U42</f>
        <v/>
      </c>
      <c r="G41" s="120" t="str">
        <f>'ACTA FINAL'!AA42</f>
        <v/>
      </c>
      <c r="H41" s="120" t="str">
        <f>'ACTA FINAL'!AG42</f>
        <v/>
      </c>
      <c r="I41" s="120" t="str">
        <f>'ACTA FINAL'!AM42</f>
        <v/>
      </c>
      <c r="J41" s="120" t="str">
        <f>'ACTA FINAL'!AS42</f>
        <v/>
      </c>
      <c r="K41" s="120" t="str">
        <f>'ACTA FINAL'!AY42</f>
        <v/>
      </c>
      <c r="L41" s="120" t="str">
        <f>'ACTA FINAL'!BE42</f>
        <v/>
      </c>
      <c r="M41" s="120" t="str">
        <f>'ACTA FINAL'!BK42</f>
        <v/>
      </c>
      <c r="N41" s="120" t="str">
        <f>'ACTA FINAL'!BQ42</f>
        <v/>
      </c>
      <c r="O41" s="120" t="str">
        <f>'ACTA FINAL'!BW42</f>
        <v/>
      </c>
      <c r="P41" s="120" t="str">
        <f>'ACTA FINAL'!CC42</f>
        <v/>
      </c>
      <c r="Q41" s="120" t="str">
        <f>'ACTA FINAL'!CI42</f>
        <v/>
      </c>
      <c r="R41" s="120">
        <f>'ACTA FINAL'!CP42</f>
        <v>0</v>
      </c>
      <c r="S41" s="122" t="str">
        <f t="shared" si="1"/>
        <v>#DIV/0!</v>
      </c>
      <c r="U41" s="2"/>
    </row>
    <row r="42" ht="15.0" customHeight="1">
      <c r="A42" s="56">
        <v>31.0</v>
      </c>
      <c r="B42" s="124" t="str">
        <f>LEN!B42</f>
        <v/>
      </c>
      <c r="C42" s="125" t="str">
        <f>LEN!C42</f>
        <v/>
      </c>
      <c r="D42" s="120" t="str">
        <f>'ACTA FINAL'!I43</f>
        <v/>
      </c>
      <c r="E42" s="120" t="str">
        <f>'ACTA FINAL'!O43</f>
        <v/>
      </c>
      <c r="F42" s="120" t="str">
        <f>'ACTA FINAL'!U43</f>
        <v/>
      </c>
      <c r="G42" s="120" t="str">
        <f>'ACTA FINAL'!AA43</f>
        <v/>
      </c>
      <c r="H42" s="120" t="str">
        <f>'ACTA FINAL'!AG43</f>
        <v/>
      </c>
      <c r="I42" s="120" t="str">
        <f>'ACTA FINAL'!AM43</f>
        <v/>
      </c>
      <c r="J42" s="120" t="str">
        <f>'ACTA FINAL'!AS43</f>
        <v/>
      </c>
      <c r="K42" s="120" t="str">
        <f>'ACTA FINAL'!AY43</f>
        <v/>
      </c>
      <c r="L42" s="120" t="str">
        <f>'ACTA FINAL'!BE43</f>
        <v/>
      </c>
      <c r="M42" s="120" t="str">
        <f>'ACTA FINAL'!BK43</f>
        <v/>
      </c>
      <c r="N42" s="120" t="str">
        <f>'ACTA FINAL'!BQ43</f>
        <v/>
      </c>
      <c r="O42" s="120" t="str">
        <f>'ACTA FINAL'!BW43</f>
        <v/>
      </c>
      <c r="P42" s="120" t="str">
        <f>'ACTA FINAL'!CC43</f>
        <v/>
      </c>
      <c r="Q42" s="120" t="str">
        <f>'ACTA FINAL'!CI43</f>
        <v/>
      </c>
      <c r="R42" s="120">
        <f>'ACTA FINAL'!CP43</f>
        <v>0</v>
      </c>
      <c r="S42" s="122" t="str">
        <f t="shared" si="1"/>
        <v>#DIV/0!</v>
      </c>
      <c r="U42" s="2"/>
    </row>
    <row r="43" ht="15.0" customHeight="1">
      <c r="A43" s="56">
        <v>32.0</v>
      </c>
      <c r="B43" s="124" t="str">
        <f>LEN!B43</f>
        <v/>
      </c>
      <c r="C43" s="125" t="str">
        <f>LEN!C43</f>
        <v/>
      </c>
      <c r="D43" s="120" t="str">
        <f>'ACTA FINAL'!I44</f>
        <v/>
      </c>
      <c r="E43" s="120" t="str">
        <f>'ACTA FINAL'!O44</f>
        <v/>
      </c>
      <c r="F43" s="120" t="str">
        <f>'ACTA FINAL'!U44</f>
        <v/>
      </c>
      <c r="G43" s="120" t="str">
        <f>'ACTA FINAL'!AA44</f>
        <v/>
      </c>
      <c r="H43" s="120" t="str">
        <f>'ACTA FINAL'!AG44</f>
        <v/>
      </c>
      <c r="I43" s="120" t="str">
        <f>'ACTA FINAL'!AM44</f>
        <v/>
      </c>
      <c r="J43" s="120" t="str">
        <f>'ACTA FINAL'!AS44</f>
        <v/>
      </c>
      <c r="K43" s="120" t="str">
        <f>'ACTA FINAL'!AY44</f>
        <v/>
      </c>
      <c r="L43" s="120" t="str">
        <f>'ACTA FINAL'!BE44</f>
        <v/>
      </c>
      <c r="M43" s="120" t="str">
        <f>'ACTA FINAL'!BK44</f>
        <v/>
      </c>
      <c r="N43" s="120" t="str">
        <f>'ACTA FINAL'!BQ44</f>
        <v/>
      </c>
      <c r="O43" s="120" t="str">
        <f>'ACTA FINAL'!BW44</f>
        <v/>
      </c>
      <c r="P43" s="120" t="str">
        <f>'ACTA FINAL'!CC44</f>
        <v/>
      </c>
      <c r="Q43" s="120" t="str">
        <f>'ACTA FINAL'!CI44</f>
        <v/>
      </c>
      <c r="R43" s="120">
        <f>'ACTA FINAL'!CP44</f>
        <v>0</v>
      </c>
      <c r="S43" s="122" t="str">
        <f t="shared" si="1"/>
        <v>#DIV/0!</v>
      </c>
      <c r="U43" s="2"/>
    </row>
    <row r="44" ht="15.0" customHeight="1">
      <c r="A44" s="56">
        <v>33.0</v>
      </c>
      <c r="B44" s="124" t="str">
        <f>LEN!B44</f>
        <v/>
      </c>
      <c r="C44" s="125" t="str">
        <f>LEN!C44</f>
        <v/>
      </c>
      <c r="D44" s="120" t="str">
        <f>'ACTA FINAL'!I45</f>
        <v/>
      </c>
      <c r="E44" s="120" t="str">
        <f>'ACTA FINAL'!O45</f>
        <v/>
      </c>
      <c r="F44" s="120" t="str">
        <f>'ACTA FINAL'!U45</f>
        <v/>
      </c>
      <c r="G44" s="120" t="str">
        <f>'ACTA FINAL'!AA45</f>
        <v/>
      </c>
      <c r="H44" s="120" t="str">
        <f>'ACTA FINAL'!AG45</f>
        <v/>
      </c>
      <c r="I44" s="120" t="str">
        <f>'ACTA FINAL'!AM45</f>
        <v/>
      </c>
      <c r="J44" s="120" t="str">
        <f>'ACTA FINAL'!AS45</f>
        <v/>
      </c>
      <c r="K44" s="120" t="str">
        <f>'ACTA FINAL'!AY45</f>
        <v/>
      </c>
      <c r="L44" s="120" t="str">
        <f>'ACTA FINAL'!BE45</f>
        <v/>
      </c>
      <c r="M44" s="120" t="str">
        <f>'ACTA FINAL'!BK45</f>
        <v/>
      </c>
      <c r="N44" s="120" t="str">
        <f>'ACTA FINAL'!BQ45</f>
        <v/>
      </c>
      <c r="O44" s="120" t="str">
        <f>'ACTA FINAL'!BW45</f>
        <v/>
      </c>
      <c r="P44" s="120" t="str">
        <f>'ACTA FINAL'!CC45</f>
        <v/>
      </c>
      <c r="Q44" s="120" t="str">
        <f>'ACTA FINAL'!CI45</f>
        <v/>
      </c>
      <c r="R44" s="120">
        <f>'ACTA FINAL'!CP45</f>
        <v>0</v>
      </c>
      <c r="S44" s="122" t="str">
        <f t="shared" si="1"/>
        <v>#DIV/0!</v>
      </c>
      <c r="T44" s="253" t="s">
        <v>224</v>
      </c>
      <c r="U44" s="2"/>
    </row>
    <row r="45" ht="15.75" customHeight="1">
      <c r="A45" s="56">
        <v>34.0</v>
      </c>
      <c r="B45" s="124" t="str">
        <f>LEN!B45</f>
        <v/>
      </c>
      <c r="C45" s="125" t="str">
        <f>LEN!C45</f>
        <v/>
      </c>
      <c r="D45" s="120" t="str">
        <f>'ACTA FINAL'!I46</f>
        <v/>
      </c>
      <c r="E45" s="120" t="str">
        <f>'ACTA FINAL'!O46</f>
        <v/>
      </c>
      <c r="F45" s="120" t="str">
        <f>'ACTA FINAL'!U46</f>
        <v/>
      </c>
      <c r="G45" s="120" t="str">
        <f>'ACTA FINAL'!AA46</f>
        <v/>
      </c>
      <c r="H45" s="120" t="str">
        <f>'ACTA FINAL'!AG46</f>
        <v/>
      </c>
      <c r="I45" s="120" t="str">
        <f>'ACTA FINAL'!AM46</f>
        <v/>
      </c>
      <c r="J45" s="120" t="str">
        <f>'ACTA FINAL'!AS46</f>
        <v/>
      </c>
      <c r="K45" s="120" t="str">
        <f>'ACTA FINAL'!AY46</f>
        <v/>
      </c>
      <c r="L45" s="120" t="str">
        <f>'ACTA FINAL'!BE46</f>
        <v/>
      </c>
      <c r="M45" s="120" t="str">
        <f>'ACTA FINAL'!BK46</f>
        <v/>
      </c>
      <c r="N45" s="120" t="str">
        <f>'ACTA FINAL'!BQ46</f>
        <v/>
      </c>
      <c r="O45" s="120" t="str">
        <f>'ACTA FINAL'!BW46</f>
        <v/>
      </c>
      <c r="P45" s="120" t="str">
        <f>'ACTA FINAL'!CC46</f>
        <v/>
      </c>
      <c r="Q45" s="120" t="str">
        <f>'ACTA FINAL'!CI46</f>
        <v/>
      </c>
      <c r="R45" s="120">
        <f>'ACTA FINAL'!CP46</f>
        <v>0</v>
      </c>
      <c r="S45" s="122" t="str">
        <f t="shared" si="1"/>
        <v>#DIV/0!</v>
      </c>
      <c r="U45" s="2"/>
    </row>
    <row r="46" ht="15.75" customHeight="1">
      <c r="A46" s="56">
        <v>35.0</v>
      </c>
      <c r="B46" s="124" t="str">
        <f>LEN!B46</f>
        <v/>
      </c>
      <c r="C46" s="125" t="str">
        <f>LEN!C46</f>
        <v/>
      </c>
      <c r="D46" s="120" t="str">
        <f>'ACTA FINAL'!I47</f>
        <v/>
      </c>
      <c r="E46" s="120" t="str">
        <f>'ACTA FINAL'!O47</f>
        <v/>
      </c>
      <c r="F46" s="120" t="str">
        <f>'ACTA FINAL'!U47</f>
        <v/>
      </c>
      <c r="G46" s="120" t="str">
        <f>'ACTA FINAL'!AA47</f>
        <v/>
      </c>
      <c r="H46" s="120" t="str">
        <f>'ACTA FINAL'!AG47</f>
        <v/>
      </c>
      <c r="I46" s="120" t="str">
        <f>'ACTA FINAL'!AM47</f>
        <v/>
      </c>
      <c r="J46" s="120" t="str">
        <f>'ACTA FINAL'!AS47</f>
        <v/>
      </c>
      <c r="K46" s="120" t="str">
        <f>'ACTA FINAL'!AY47</f>
        <v/>
      </c>
      <c r="L46" s="120" t="str">
        <f>'ACTA FINAL'!BE47</f>
        <v/>
      </c>
      <c r="M46" s="120" t="str">
        <f>'ACTA FINAL'!BK47</f>
        <v/>
      </c>
      <c r="N46" s="120" t="str">
        <f>'ACTA FINAL'!BQ47</f>
        <v/>
      </c>
      <c r="O46" s="120" t="str">
        <f>'ACTA FINAL'!BW47</f>
        <v/>
      </c>
      <c r="P46" s="120" t="str">
        <f>'ACTA FINAL'!CC47</f>
        <v/>
      </c>
      <c r="Q46" s="120" t="str">
        <f>'ACTA FINAL'!CI47</f>
        <v/>
      </c>
      <c r="R46" s="120">
        <f>'ACTA FINAL'!CP47</f>
        <v>0</v>
      </c>
      <c r="S46" s="122" t="str">
        <f t="shared" si="1"/>
        <v>#DIV/0!</v>
      </c>
      <c r="U46" s="2"/>
    </row>
    <row r="47" ht="15.75" customHeight="1">
      <c r="A47" s="56">
        <v>36.0</v>
      </c>
      <c r="B47" s="124" t="str">
        <f>LEN!B47</f>
        <v/>
      </c>
      <c r="C47" s="125" t="str">
        <f>LEN!C47</f>
        <v/>
      </c>
      <c r="D47" s="120" t="str">
        <f>'ACTA FINAL'!I48</f>
        <v/>
      </c>
      <c r="E47" s="120" t="str">
        <f>'ACTA FINAL'!O48</f>
        <v/>
      </c>
      <c r="F47" s="120" t="str">
        <f>'ACTA FINAL'!U48</f>
        <v/>
      </c>
      <c r="G47" s="120" t="str">
        <f>'ACTA FINAL'!AA48</f>
        <v/>
      </c>
      <c r="H47" s="120" t="str">
        <f>'ACTA FINAL'!AG48</f>
        <v/>
      </c>
      <c r="I47" s="120" t="str">
        <f>'ACTA FINAL'!AM48</f>
        <v/>
      </c>
      <c r="J47" s="120" t="str">
        <f>'ACTA FINAL'!AS48</f>
        <v/>
      </c>
      <c r="K47" s="120" t="str">
        <f>'ACTA FINAL'!AY48</f>
        <v/>
      </c>
      <c r="L47" s="120" t="str">
        <f>'ACTA FINAL'!BE48</f>
        <v/>
      </c>
      <c r="M47" s="120" t="str">
        <f>'ACTA FINAL'!BK48</f>
        <v/>
      </c>
      <c r="N47" s="120" t="str">
        <f>'ACTA FINAL'!BQ48</f>
        <v/>
      </c>
      <c r="O47" s="120" t="str">
        <f>'ACTA FINAL'!BW48</f>
        <v/>
      </c>
      <c r="P47" s="120" t="str">
        <f>'ACTA FINAL'!CC48</f>
        <v/>
      </c>
      <c r="Q47" s="120" t="str">
        <f>'ACTA FINAL'!CI48</f>
        <v/>
      </c>
      <c r="R47" s="120">
        <f>'ACTA FINAL'!CP48</f>
        <v>0</v>
      </c>
      <c r="S47" s="122" t="str">
        <f t="shared" si="1"/>
        <v>#DIV/0!</v>
      </c>
      <c r="U47" s="2"/>
    </row>
    <row r="48" ht="15.75" customHeight="1">
      <c r="A48" s="56">
        <v>37.0</v>
      </c>
      <c r="B48" s="124" t="str">
        <f>LEN!B48</f>
        <v/>
      </c>
      <c r="C48" s="125" t="str">
        <f>LEN!C48</f>
        <v/>
      </c>
      <c r="D48" s="120" t="str">
        <f>'ACTA FINAL'!I49</f>
        <v/>
      </c>
      <c r="E48" s="120" t="str">
        <f>'ACTA FINAL'!O49</f>
        <v/>
      </c>
      <c r="F48" s="120" t="str">
        <f>'ACTA FINAL'!U49</f>
        <v/>
      </c>
      <c r="G48" s="120" t="str">
        <f>'ACTA FINAL'!AA49</f>
        <v/>
      </c>
      <c r="H48" s="120" t="str">
        <f>'ACTA FINAL'!AG49</f>
        <v/>
      </c>
      <c r="I48" s="120" t="str">
        <f>'ACTA FINAL'!AM49</f>
        <v/>
      </c>
      <c r="J48" s="120" t="str">
        <f>'ACTA FINAL'!AS49</f>
        <v/>
      </c>
      <c r="K48" s="120" t="str">
        <f>'ACTA FINAL'!AY49</f>
        <v/>
      </c>
      <c r="L48" s="120" t="str">
        <f>'ACTA FINAL'!BE49</f>
        <v/>
      </c>
      <c r="M48" s="120" t="str">
        <f>'ACTA FINAL'!BK49</f>
        <v/>
      </c>
      <c r="N48" s="120" t="str">
        <f>'ACTA FINAL'!BQ49</f>
        <v/>
      </c>
      <c r="O48" s="120" t="str">
        <f>'ACTA FINAL'!BW49</f>
        <v/>
      </c>
      <c r="P48" s="120" t="str">
        <f>'ACTA FINAL'!CC49</f>
        <v/>
      </c>
      <c r="Q48" s="120" t="str">
        <f>'ACTA FINAL'!CI49</f>
        <v/>
      </c>
      <c r="R48" s="120">
        <f>'ACTA FINAL'!CP49</f>
        <v>0</v>
      </c>
      <c r="S48" s="122" t="str">
        <f t="shared" si="1"/>
        <v>#DIV/0!</v>
      </c>
      <c r="U48" s="2"/>
    </row>
    <row r="49" ht="15.75" customHeight="1">
      <c r="A49" s="56">
        <v>38.0</v>
      </c>
      <c r="B49" s="124" t="str">
        <f>LEN!B49</f>
        <v/>
      </c>
      <c r="C49" s="125" t="str">
        <f>LEN!C49</f>
        <v/>
      </c>
      <c r="D49" s="120" t="str">
        <f>'ACTA FINAL'!I50</f>
        <v/>
      </c>
      <c r="E49" s="120" t="str">
        <f>'ACTA FINAL'!O50</f>
        <v/>
      </c>
      <c r="F49" s="120" t="str">
        <f>'ACTA FINAL'!U50</f>
        <v/>
      </c>
      <c r="G49" s="120" t="str">
        <f>'ACTA FINAL'!AA50</f>
        <v/>
      </c>
      <c r="H49" s="120" t="str">
        <f>'ACTA FINAL'!AG50</f>
        <v/>
      </c>
      <c r="I49" s="120" t="str">
        <f>'ACTA FINAL'!AM50</f>
        <v/>
      </c>
      <c r="J49" s="120" t="str">
        <f>'ACTA FINAL'!AS50</f>
        <v/>
      </c>
      <c r="K49" s="120" t="str">
        <f>'ACTA FINAL'!AY50</f>
        <v/>
      </c>
      <c r="L49" s="120" t="str">
        <f>'ACTA FINAL'!BE50</f>
        <v/>
      </c>
      <c r="M49" s="120" t="str">
        <f>'ACTA FINAL'!BK50</f>
        <v/>
      </c>
      <c r="N49" s="120" t="str">
        <f>'ACTA FINAL'!BQ50</f>
        <v/>
      </c>
      <c r="O49" s="120" t="str">
        <f>'ACTA FINAL'!BW50</f>
        <v/>
      </c>
      <c r="P49" s="120" t="str">
        <f>'ACTA FINAL'!CC50</f>
        <v/>
      </c>
      <c r="Q49" s="120" t="str">
        <f>'ACTA FINAL'!CI50</f>
        <v/>
      </c>
      <c r="R49" s="120">
        <f>'ACTA FINAL'!CP50</f>
        <v>0</v>
      </c>
      <c r="S49" s="122" t="str">
        <f t="shared" si="1"/>
        <v>#DIV/0!</v>
      </c>
      <c r="U49" s="2"/>
    </row>
    <row r="50" ht="15.75" customHeight="1">
      <c r="A50" s="56">
        <v>39.0</v>
      </c>
      <c r="B50" s="124" t="str">
        <f>LEN!B50</f>
        <v/>
      </c>
      <c r="C50" s="125" t="str">
        <f>LEN!C50</f>
        <v/>
      </c>
      <c r="D50" s="120" t="str">
        <f>'ACTA FINAL'!I51</f>
        <v/>
      </c>
      <c r="E50" s="120" t="str">
        <f>'ACTA FINAL'!O51</f>
        <v/>
      </c>
      <c r="F50" s="120" t="str">
        <f>'ACTA FINAL'!U51</f>
        <v/>
      </c>
      <c r="G50" s="120" t="str">
        <f>'ACTA FINAL'!AA51</f>
        <v/>
      </c>
      <c r="H50" s="120" t="str">
        <f>'ACTA FINAL'!AG51</f>
        <v/>
      </c>
      <c r="I50" s="120" t="str">
        <f>'ACTA FINAL'!AM51</f>
        <v/>
      </c>
      <c r="J50" s="120" t="str">
        <f>'ACTA FINAL'!AS51</f>
        <v/>
      </c>
      <c r="K50" s="120" t="str">
        <f>'ACTA FINAL'!AY51</f>
        <v/>
      </c>
      <c r="L50" s="120" t="str">
        <f>'ACTA FINAL'!BE51</f>
        <v/>
      </c>
      <c r="M50" s="120" t="str">
        <f>'ACTA FINAL'!BK51</f>
        <v/>
      </c>
      <c r="N50" s="120" t="str">
        <f>'ACTA FINAL'!BQ51</f>
        <v/>
      </c>
      <c r="O50" s="120" t="str">
        <f>'ACTA FINAL'!BW51</f>
        <v/>
      </c>
      <c r="P50" s="120" t="str">
        <f>'ACTA FINAL'!CC51</f>
        <v/>
      </c>
      <c r="Q50" s="120" t="str">
        <f>'ACTA FINAL'!CI51</f>
        <v/>
      </c>
      <c r="R50" s="120">
        <f>'ACTA FINAL'!CP51</f>
        <v>0</v>
      </c>
      <c r="S50" s="122" t="str">
        <f t="shared" si="1"/>
        <v>#DIV/0!</v>
      </c>
      <c r="U50" s="2"/>
    </row>
    <row r="51" ht="15.75" customHeight="1">
      <c r="A51" s="56">
        <v>40.0</v>
      </c>
      <c r="B51" s="124" t="str">
        <f>LEN!B51</f>
        <v/>
      </c>
      <c r="C51" s="125" t="str">
        <f>LEN!C51</f>
        <v/>
      </c>
      <c r="D51" s="120" t="str">
        <f>'ACTA FINAL'!I52</f>
        <v/>
      </c>
      <c r="E51" s="120" t="str">
        <f>'ACTA FINAL'!O52</f>
        <v/>
      </c>
      <c r="F51" s="120" t="str">
        <f>'ACTA FINAL'!U52</f>
        <v/>
      </c>
      <c r="G51" s="120" t="str">
        <f>'ACTA FINAL'!AA52</f>
        <v/>
      </c>
      <c r="H51" s="120" t="str">
        <f>'ACTA FINAL'!AG52</f>
        <v/>
      </c>
      <c r="I51" s="120" t="str">
        <f>'ACTA FINAL'!AM52</f>
        <v/>
      </c>
      <c r="J51" s="120" t="str">
        <f>'ACTA FINAL'!AS52</f>
        <v/>
      </c>
      <c r="K51" s="120" t="str">
        <f>'ACTA FINAL'!AY52</f>
        <v/>
      </c>
      <c r="L51" s="120" t="str">
        <f>'ACTA FINAL'!BE52</f>
        <v/>
      </c>
      <c r="M51" s="120" t="str">
        <f>'ACTA FINAL'!BK52</f>
        <v/>
      </c>
      <c r="N51" s="120" t="str">
        <f>'ACTA FINAL'!BQ52</f>
        <v/>
      </c>
      <c r="O51" s="120" t="str">
        <f>'ACTA FINAL'!BW52</f>
        <v/>
      </c>
      <c r="P51" s="120" t="str">
        <f>'ACTA FINAL'!CC52</f>
        <v/>
      </c>
      <c r="Q51" s="120" t="str">
        <f>'ACTA FINAL'!CI52</f>
        <v/>
      </c>
      <c r="R51" s="120">
        <f>'ACTA FINAL'!CP52</f>
        <v>0</v>
      </c>
      <c r="S51" s="122" t="str">
        <f t="shared" si="1"/>
        <v>#DIV/0!</v>
      </c>
      <c r="U51" s="2"/>
    </row>
    <row r="52" ht="15.75" customHeight="1">
      <c r="A52" s="56">
        <v>41.0</v>
      </c>
      <c r="B52" s="124" t="str">
        <f>LEN!B52</f>
        <v/>
      </c>
      <c r="C52" s="125" t="str">
        <f>LEN!C52</f>
        <v/>
      </c>
      <c r="D52" s="120" t="str">
        <f>'ACTA FINAL'!I53</f>
        <v/>
      </c>
      <c r="E52" s="120" t="str">
        <f>'ACTA FINAL'!O53</f>
        <v/>
      </c>
      <c r="F52" s="120" t="str">
        <f>'ACTA FINAL'!U53</f>
        <v/>
      </c>
      <c r="G52" s="120" t="str">
        <f>'ACTA FINAL'!AA53</f>
        <v/>
      </c>
      <c r="H52" s="120" t="str">
        <f>'ACTA FINAL'!AG53</f>
        <v/>
      </c>
      <c r="I52" s="120" t="str">
        <f>'ACTA FINAL'!AM53</f>
        <v/>
      </c>
      <c r="J52" s="120" t="str">
        <f>'ACTA FINAL'!AS53</f>
        <v/>
      </c>
      <c r="K52" s="120" t="str">
        <f>'ACTA FINAL'!AY53</f>
        <v/>
      </c>
      <c r="L52" s="120" t="str">
        <f>'ACTA FINAL'!BE53</f>
        <v/>
      </c>
      <c r="M52" s="120" t="str">
        <f>'ACTA FINAL'!BK53</f>
        <v/>
      </c>
      <c r="N52" s="120" t="str">
        <f>'ACTA FINAL'!BQ53</f>
        <v/>
      </c>
      <c r="O52" s="120" t="str">
        <f>'ACTA FINAL'!BW53</f>
        <v/>
      </c>
      <c r="P52" s="120" t="str">
        <f>'ACTA FINAL'!CC53</f>
        <v/>
      </c>
      <c r="Q52" s="120" t="str">
        <f>'ACTA FINAL'!CI53</f>
        <v/>
      </c>
      <c r="R52" s="120">
        <f>'ACTA FINAL'!CP53</f>
        <v>0</v>
      </c>
      <c r="S52" s="122" t="str">
        <f t="shared" si="1"/>
        <v>#DIV/0!</v>
      </c>
      <c r="U52" s="2"/>
    </row>
    <row r="53" ht="15.75" customHeight="1">
      <c r="A53" s="56">
        <v>42.0</v>
      </c>
      <c r="B53" s="124" t="str">
        <f>LEN!B53</f>
        <v/>
      </c>
      <c r="C53" s="125" t="str">
        <f>LEN!C53</f>
        <v/>
      </c>
      <c r="D53" s="120" t="str">
        <f>'ACTA FINAL'!I54</f>
        <v/>
      </c>
      <c r="E53" s="120" t="str">
        <f>'ACTA FINAL'!O54</f>
        <v/>
      </c>
      <c r="F53" s="120" t="str">
        <f>'ACTA FINAL'!U54</f>
        <v/>
      </c>
      <c r="G53" s="120" t="str">
        <f>'ACTA FINAL'!AA54</f>
        <v/>
      </c>
      <c r="H53" s="120" t="str">
        <f>'ACTA FINAL'!AG54</f>
        <v/>
      </c>
      <c r="I53" s="120" t="str">
        <f>'ACTA FINAL'!AM54</f>
        <v/>
      </c>
      <c r="J53" s="120" t="str">
        <f>'ACTA FINAL'!AS54</f>
        <v/>
      </c>
      <c r="K53" s="120" t="str">
        <f>'ACTA FINAL'!AY54</f>
        <v/>
      </c>
      <c r="L53" s="120" t="str">
        <f>'ACTA FINAL'!BE54</f>
        <v/>
      </c>
      <c r="M53" s="120" t="str">
        <f>'ACTA FINAL'!BK54</f>
        <v/>
      </c>
      <c r="N53" s="120" t="str">
        <f>'ACTA FINAL'!BQ54</f>
        <v/>
      </c>
      <c r="O53" s="120" t="str">
        <f>'ACTA FINAL'!BW54</f>
        <v/>
      </c>
      <c r="P53" s="120" t="str">
        <f>'ACTA FINAL'!CC54</f>
        <v/>
      </c>
      <c r="Q53" s="120" t="str">
        <f>'ACTA FINAL'!CI54</f>
        <v/>
      </c>
      <c r="R53" s="120">
        <f>'ACTA FINAL'!CP54</f>
        <v>0</v>
      </c>
      <c r="S53" s="122" t="str">
        <f t="shared" si="1"/>
        <v>#DIV/0!</v>
      </c>
      <c r="U53" s="2"/>
    </row>
    <row r="54" ht="15.75" customHeight="1">
      <c r="A54" s="56">
        <v>43.0</v>
      </c>
      <c r="B54" s="124" t="str">
        <f>LEN!B54</f>
        <v/>
      </c>
      <c r="C54" s="125" t="str">
        <f>LEN!C54</f>
        <v/>
      </c>
      <c r="D54" s="120" t="str">
        <f>'ACTA FINAL'!I55</f>
        <v/>
      </c>
      <c r="E54" s="120" t="str">
        <f>'ACTA FINAL'!O55</f>
        <v/>
      </c>
      <c r="F54" s="120" t="str">
        <f>'ACTA FINAL'!U55</f>
        <v/>
      </c>
      <c r="G54" s="120" t="str">
        <f>'ACTA FINAL'!AA55</f>
        <v/>
      </c>
      <c r="H54" s="120" t="str">
        <f>'ACTA FINAL'!AG55</f>
        <v/>
      </c>
      <c r="I54" s="120" t="str">
        <f>'ACTA FINAL'!AM55</f>
        <v/>
      </c>
      <c r="J54" s="120" t="str">
        <f>'ACTA FINAL'!AS55</f>
        <v/>
      </c>
      <c r="K54" s="120" t="str">
        <f>'ACTA FINAL'!AY55</f>
        <v/>
      </c>
      <c r="L54" s="120" t="str">
        <f>'ACTA FINAL'!BE55</f>
        <v/>
      </c>
      <c r="M54" s="120" t="str">
        <f>'ACTA FINAL'!BK55</f>
        <v/>
      </c>
      <c r="N54" s="120" t="str">
        <f>'ACTA FINAL'!BQ55</f>
        <v/>
      </c>
      <c r="O54" s="120" t="str">
        <f>'ACTA FINAL'!BW55</f>
        <v/>
      </c>
      <c r="P54" s="120" t="str">
        <f>'ACTA FINAL'!CC55</f>
        <v/>
      </c>
      <c r="Q54" s="120" t="str">
        <f>'ACTA FINAL'!CI55</f>
        <v/>
      </c>
      <c r="R54" s="120">
        <f>'ACTA FINAL'!CP55</f>
        <v>0</v>
      </c>
      <c r="S54" s="122" t="str">
        <f t="shared" si="1"/>
        <v>#DIV/0!</v>
      </c>
      <c r="U54" s="2"/>
    </row>
    <row r="55" ht="15.75" customHeight="1">
      <c r="A55" s="56">
        <v>44.0</v>
      </c>
      <c r="B55" s="124" t="str">
        <f>LEN!B55</f>
        <v/>
      </c>
      <c r="C55" s="125" t="str">
        <f>LEN!C55</f>
        <v/>
      </c>
      <c r="D55" s="120" t="str">
        <f>'ACTA FINAL'!I56</f>
        <v/>
      </c>
      <c r="E55" s="120" t="str">
        <f>'ACTA FINAL'!O56</f>
        <v/>
      </c>
      <c r="F55" s="120" t="str">
        <f>'ACTA FINAL'!U56</f>
        <v/>
      </c>
      <c r="G55" s="120" t="str">
        <f>'ACTA FINAL'!AA56</f>
        <v/>
      </c>
      <c r="H55" s="120" t="str">
        <f>'ACTA FINAL'!AG56</f>
        <v/>
      </c>
      <c r="I55" s="120" t="str">
        <f>'ACTA FINAL'!AM56</f>
        <v/>
      </c>
      <c r="J55" s="120" t="str">
        <f>'ACTA FINAL'!AS56</f>
        <v/>
      </c>
      <c r="K55" s="120" t="str">
        <f>'ACTA FINAL'!AY56</f>
        <v/>
      </c>
      <c r="L55" s="120" t="str">
        <f>'ACTA FINAL'!BE56</f>
        <v/>
      </c>
      <c r="M55" s="120" t="str">
        <f>'ACTA FINAL'!BK56</f>
        <v/>
      </c>
      <c r="N55" s="120" t="str">
        <f>'ACTA FINAL'!BQ56</f>
        <v/>
      </c>
      <c r="O55" s="120" t="str">
        <f>'ACTA FINAL'!BW56</f>
        <v/>
      </c>
      <c r="P55" s="120" t="str">
        <f>'ACTA FINAL'!CC56</f>
        <v/>
      </c>
      <c r="Q55" s="120" t="str">
        <f>'ACTA FINAL'!CI56</f>
        <v/>
      </c>
      <c r="R55" s="120">
        <f>'ACTA FINAL'!CP56</f>
        <v>0</v>
      </c>
      <c r="S55" s="122" t="str">
        <f t="shared" si="1"/>
        <v>#DIV/0!</v>
      </c>
      <c r="U55" s="2"/>
    </row>
    <row r="56" ht="15.75" customHeight="1">
      <c r="A56" s="56">
        <v>45.0</v>
      </c>
      <c r="B56" s="124" t="str">
        <f>LEN!B56</f>
        <v/>
      </c>
      <c r="C56" s="125" t="str">
        <f>LEN!C56</f>
        <v/>
      </c>
      <c r="D56" s="120" t="str">
        <f>'ACTA FINAL'!I57</f>
        <v>#DIV/0!</v>
      </c>
      <c r="E56" s="120" t="str">
        <f>'ACTA FINAL'!O57</f>
        <v>#DIV/0!</v>
      </c>
      <c r="F56" s="120" t="str">
        <f>'ACTA FINAL'!U57</f>
        <v>#DIV/0!</v>
      </c>
      <c r="G56" s="120" t="str">
        <f>'ACTA FINAL'!AA57</f>
        <v>#DIV/0!</v>
      </c>
      <c r="H56" s="120" t="str">
        <f>'ACTA FINAL'!AG57</f>
        <v>#DIV/0!</v>
      </c>
      <c r="I56" s="120" t="str">
        <f>'ACTA FINAL'!AM57</f>
        <v>#DIV/0!</v>
      </c>
      <c r="J56" s="120" t="str">
        <f>'ACTA FINAL'!AS57</f>
        <v>#DIV/0!</v>
      </c>
      <c r="K56" s="120" t="str">
        <f>'ACTA FINAL'!AY57</f>
        <v>#DIV/0!</v>
      </c>
      <c r="L56" s="120" t="str">
        <f>'ACTA FINAL'!BE57</f>
        <v>#DIV/0!</v>
      </c>
      <c r="M56" s="120" t="str">
        <f>'ACTA FINAL'!BK57</f>
        <v>#DIV/0!</v>
      </c>
      <c r="N56" s="120" t="str">
        <f>'ACTA FINAL'!BQ57</f>
        <v>#DIV/0!</v>
      </c>
      <c r="O56" s="120" t="str">
        <f>'ACTA FINAL'!BW57</f>
        <v>#DIV/0!</v>
      </c>
      <c r="P56" s="120" t="str">
        <f>'ACTA FINAL'!CC57</f>
        <v>#DIV/0!</v>
      </c>
      <c r="Q56" s="120" t="str">
        <f>'ACTA FINAL'!CI57</f>
        <v>#DIV/0!</v>
      </c>
      <c r="R56" s="120" t="str">
        <f>'ACTA FINAL'!CP57</f>
        <v>#DIV/0!</v>
      </c>
      <c r="S56" s="122" t="str">
        <f t="shared" si="1"/>
        <v>#DIV/0!</v>
      </c>
      <c r="U56" s="2"/>
    </row>
    <row r="57" ht="15.75" customHeight="1">
      <c r="A57" s="56">
        <v>46.0</v>
      </c>
      <c r="B57" s="124" t="str">
        <f>LEN!B57</f>
        <v/>
      </c>
      <c r="C57" s="125" t="str">
        <f>LEN!C57</f>
        <v/>
      </c>
      <c r="D57" s="120" t="str">
        <f>'ACTA FINAL'!I58</f>
        <v>#DIV/0!</v>
      </c>
      <c r="E57" s="120" t="str">
        <f>'ACTA FINAL'!O58</f>
        <v>#DIV/0!</v>
      </c>
      <c r="F57" s="120" t="str">
        <f>'ACTA FINAL'!U58</f>
        <v>#DIV/0!</v>
      </c>
      <c r="G57" s="120" t="str">
        <f>'ACTA FINAL'!AA58</f>
        <v>#DIV/0!</v>
      </c>
      <c r="H57" s="120" t="str">
        <f>'ACTA FINAL'!AG58</f>
        <v>#DIV/0!</v>
      </c>
      <c r="I57" s="120" t="str">
        <f>'ACTA FINAL'!AM58</f>
        <v>#DIV/0!</v>
      </c>
      <c r="J57" s="120" t="str">
        <f>'ACTA FINAL'!AS58</f>
        <v>#DIV/0!</v>
      </c>
      <c r="K57" s="120" t="str">
        <f>'ACTA FINAL'!AY58</f>
        <v>#DIV/0!</v>
      </c>
      <c r="L57" s="120" t="str">
        <f>'ACTA FINAL'!BE58</f>
        <v>#DIV/0!</v>
      </c>
      <c r="M57" s="120" t="str">
        <f>'ACTA FINAL'!BK58</f>
        <v>#DIV/0!</v>
      </c>
      <c r="N57" s="120" t="str">
        <f>'ACTA FINAL'!BQ58</f>
        <v>#DIV/0!</v>
      </c>
      <c r="O57" s="120" t="str">
        <f>'ACTA FINAL'!BW58</f>
        <v>#DIV/0!</v>
      </c>
      <c r="P57" s="120" t="str">
        <f>'ACTA FINAL'!CC58</f>
        <v>#DIV/0!</v>
      </c>
      <c r="Q57" s="120" t="str">
        <f>'ACTA FINAL'!CI58</f>
        <v>#DIV/0!</v>
      </c>
      <c r="R57" s="120" t="str">
        <f>'ACTA FINAL'!CP58</f>
        <v>#DIV/0!</v>
      </c>
      <c r="S57" s="122" t="str">
        <f t="shared" si="1"/>
        <v>#DIV/0!</v>
      </c>
      <c r="U57" s="2"/>
    </row>
    <row r="58" ht="15.75" customHeight="1">
      <c r="A58" s="56">
        <v>47.0</v>
      </c>
      <c r="B58" s="124" t="str">
        <f>LEN!B58</f>
        <v/>
      </c>
      <c r="C58" s="125" t="str">
        <f>LEN!C58</f>
        <v/>
      </c>
      <c r="D58" s="120" t="str">
        <f>'ACTA FINAL'!I59</f>
        <v>#DIV/0!</v>
      </c>
      <c r="E58" s="120" t="str">
        <f>'ACTA FINAL'!O59</f>
        <v>#DIV/0!</v>
      </c>
      <c r="F58" s="120" t="str">
        <f>'ACTA FINAL'!U59</f>
        <v>#DIV/0!</v>
      </c>
      <c r="G58" s="120" t="str">
        <f>'ACTA FINAL'!AA59</f>
        <v>#DIV/0!</v>
      </c>
      <c r="H58" s="120" t="str">
        <f>'ACTA FINAL'!AG59</f>
        <v>#DIV/0!</v>
      </c>
      <c r="I58" s="120" t="str">
        <f>'ACTA FINAL'!AM59</f>
        <v>#DIV/0!</v>
      </c>
      <c r="J58" s="120" t="str">
        <f>'ACTA FINAL'!AS59</f>
        <v>#DIV/0!</v>
      </c>
      <c r="K58" s="120" t="str">
        <f>'ACTA FINAL'!AY59</f>
        <v>#DIV/0!</v>
      </c>
      <c r="L58" s="120" t="str">
        <f>'ACTA FINAL'!BE59</f>
        <v>#DIV/0!</v>
      </c>
      <c r="M58" s="120" t="str">
        <f>'ACTA FINAL'!BK59</f>
        <v>#DIV/0!</v>
      </c>
      <c r="N58" s="120" t="str">
        <f>'ACTA FINAL'!BQ59</f>
        <v>#DIV/0!</v>
      </c>
      <c r="O58" s="120" t="str">
        <f>'ACTA FINAL'!BW59</f>
        <v>#DIV/0!</v>
      </c>
      <c r="P58" s="120" t="str">
        <f>'ACTA FINAL'!CC59</f>
        <v>#DIV/0!</v>
      </c>
      <c r="Q58" s="120" t="str">
        <f>'ACTA FINAL'!CI59</f>
        <v>#DIV/0!</v>
      </c>
      <c r="R58" s="120" t="str">
        <f>'ACTA FINAL'!CP59</f>
        <v>#DIV/0!</v>
      </c>
      <c r="S58" s="122" t="str">
        <f t="shared" si="1"/>
        <v>#DIV/0!</v>
      </c>
      <c r="U58" s="2"/>
    </row>
    <row r="59" ht="15.75" customHeight="1">
      <c r="A59" s="56">
        <v>48.0</v>
      </c>
      <c r="B59" s="124" t="str">
        <f>LEN!B59</f>
        <v/>
      </c>
      <c r="C59" s="125" t="str">
        <f>LEN!C59</f>
        <v/>
      </c>
      <c r="D59" s="120" t="str">
        <f>'ACTA FINAL'!I60</f>
        <v>#DIV/0!</v>
      </c>
      <c r="E59" s="120" t="str">
        <f>'ACTA FINAL'!O60</f>
        <v>#DIV/0!</v>
      </c>
      <c r="F59" s="120" t="str">
        <f>'ACTA FINAL'!U60</f>
        <v>#DIV/0!</v>
      </c>
      <c r="G59" s="120" t="str">
        <f>'ACTA FINAL'!AA60</f>
        <v>#DIV/0!</v>
      </c>
      <c r="H59" s="120" t="str">
        <f>'ACTA FINAL'!AG60</f>
        <v>#DIV/0!</v>
      </c>
      <c r="I59" s="120" t="str">
        <f>'ACTA FINAL'!AM60</f>
        <v>#DIV/0!</v>
      </c>
      <c r="J59" s="120" t="str">
        <f>'ACTA FINAL'!AS60</f>
        <v>#DIV/0!</v>
      </c>
      <c r="K59" s="120" t="str">
        <f>'ACTA FINAL'!AY60</f>
        <v>#DIV/0!</v>
      </c>
      <c r="L59" s="120" t="str">
        <f>'ACTA FINAL'!BE60</f>
        <v>#DIV/0!</v>
      </c>
      <c r="M59" s="120" t="str">
        <f>'ACTA FINAL'!BK60</f>
        <v>#DIV/0!</v>
      </c>
      <c r="N59" s="120" t="str">
        <f>'ACTA FINAL'!BQ60</f>
        <v>#DIV/0!</v>
      </c>
      <c r="O59" s="120" t="str">
        <f>'ACTA FINAL'!BW60</f>
        <v>#DIV/0!</v>
      </c>
      <c r="P59" s="120" t="str">
        <f>'ACTA FINAL'!CC60</f>
        <v>#DIV/0!</v>
      </c>
      <c r="Q59" s="120" t="str">
        <f>'ACTA FINAL'!CI60</f>
        <v>#DIV/0!</v>
      </c>
      <c r="R59" s="120" t="str">
        <f>'ACTA FINAL'!CP60</f>
        <v>#DIV/0!</v>
      </c>
      <c r="S59" s="122" t="str">
        <f t="shared" si="1"/>
        <v>#DIV/0!</v>
      </c>
      <c r="U59" s="2"/>
    </row>
    <row r="60" ht="15.75" customHeight="1">
      <c r="A60" s="56">
        <v>49.0</v>
      </c>
      <c r="B60" s="124" t="str">
        <f>LEN!B60</f>
        <v/>
      </c>
      <c r="C60" s="125" t="str">
        <f>LEN!C60</f>
        <v/>
      </c>
      <c r="D60" s="120" t="str">
        <f>'ACTA FINAL'!I61</f>
        <v>#DIV/0!</v>
      </c>
      <c r="E60" s="120" t="str">
        <f>'ACTA FINAL'!O61</f>
        <v>#DIV/0!</v>
      </c>
      <c r="F60" s="120" t="str">
        <f>'ACTA FINAL'!U61</f>
        <v>#DIV/0!</v>
      </c>
      <c r="G60" s="120" t="str">
        <f>'ACTA FINAL'!AA61</f>
        <v>#DIV/0!</v>
      </c>
      <c r="H60" s="120" t="str">
        <f>'ACTA FINAL'!AG61</f>
        <v>#DIV/0!</v>
      </c>
      <c r="I60" s="120" t="str">
        <f>'ACTA FINAL'!AM61</f>
        <v>#DIV/0!</v>
      </c>
      <c r="J60" s="120" t="str">
        <f>'ACTA FINAL'!AS61</f>
        <v>#DIV/0!</v>
      </c>
      <c r="K60" s="120" t="str">
        <f>'ACTA FINAL'!AY61</f>
        <v>#DIV/0!</v>
      </c>
      <c r="L60" s="120" t="str">
        <f>'ACTA FINAL'!BE61</f>
        <v>#DIV/0!</v>
      </c>
      <c r="M60" s="120" t="str">
        <f>'ACTA FINAL'!BK61</f>
        <v>#DIV/0!</v>
      </c>
      <c r="N60" s="120" t="str">
        <f>'ACTA FINAL'!BQ61</f>
        <v>#DIV/0!</v>
      </c>
      <c r="O60" s="120" t="str">
        <f>'ACTA FINAL'!BW61</f>
        <v>#DIV/0!</v>
      </c>
      <c r="P60" s="120" t="str">
        <f>'ACTA FINAL'!CC61</f>
        <v>#DIV/0!</v>
      </c>
      <c r="Q60" s="120" t="str">
        <f>'ACTA FINAL'!CI61</f>
        <v>#DIV/0!</v>
      </c>
      <c r="R60" s="120" t="str">
        <f>'ACTA FINAL'!CP61</f>
        <v>#DIV/0!</v>
      </c>
      <c r="S60" s="122" t="str">
        <f t="shared" si="1"/>
        <v>#DIV/0!</v>
      </c>
      <c r="U60" s="2"/>
    </row>
    <row r="61" ht="15.75" customHeight="1">
      <c r="A61" s="56">
        <v>50.0</v>
      </c>
      <c r="B61" s="124" t="str">
        <f>LEN!B61</f>
        <v/>
      </c>
      <c r="C61" s="125" t="str">
        <f>LEN!C61</f>
        <v/>
      </c>
      <c r="D61" s="120" t="str">
        <f>'ACTA FINAL'!I62</f>
        <v>#DIV/0!</v>
      </c>
      <c r="E61" s="120" t="str">
        <f>'ACTA FINAL'!O62</f>
        <v>#DIV/0!</v>
      </c>
      <c r="F61" s="120" t="str">
        <f>'ACTA FINAL'!U62</f>
        <v>#DIV/0!</v>
      </c>
      <c r="G61" s="120" t="str">
        <f>'ACTA FINAL'!AA62</f>
        <v>#DIV/0!</v>
      </c>
      <c r="H61" s="120" t="str">
        <f>'ACTA FINAL'!AG62</f>
        <v>#DIV/0!</v>
      </c>
      <c r="I61" s="120" t="str">
        <f>'ACTA FINAL'!AM62</f>
        <v>#DIV/0!</v>
      </c>
      <c r="J61" s="120" t="str">
        <f>'ACTA FINAL'!AS62</f>
        <v>#DIV/0!</v>
      </c>
      <c r="K61" s="120" t="str">
        <f>'ACTA FINAL'!AY62</f>
        <v>#DIV/0!</v>
      </c>
      <c r="L61" s="120" t="str">
        <f>'ACTA FINAL'!BE62</f>
        <v>#DIV/0!</v>
      </c>
      <c r="M61" s="120" t="str">
        <f>'ACTA FINAL'!BK62</f>
        <v>#DIV/0!</v>
      </c>
      <c r="N61" s="120" t="str">
        <f>'ACTA FINAL'!BQ62</f>
        <v/>
      </c>
      <c r="O61" s="120" t="str">
        <f>'ACTA FINAL'!BW62</f>
        <v>#DIV/0!</v>
      </c>
      <c r="P61" s="120" t="str">
        <f>'ACTA FINAL'!CC62</f>
        <v>#DIV/0!</v>
      </c>
      <c r="Q61" s="120" t="str">
        <f>'ACTA FINAL'!CI62</f>
        <v>#DIV/0!</v>
      </c>
      <c r="R61" s="120" t="str">
        <f>'ACTA FINAL'!CP62</f>
        <v>#DIV/0!</v>
      </c>
      <c r="S61" s="122" t="str">
        <f t="shared" si="1"/>
        <v>#DIV/0!</v>
      </c>
      <c r="U61" s="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:B4"/>
    <mergeCell ref="A8:C10"/>
    <mergeCell ref="D8:R10"/>
    <mergeCell ref="S8:S11"/>
    <mergeCell ref="A2:B2"/>
    <mergeCell ref="C2:S2"/>
    <mergeCell ref="A3:B3"/>
    <mergeCell ref="C3:S3"/>
    <mergeCell ref="D4:F4"/>
    <mergeCell ref="A6:S6"/>
    <mergeCell ref="A7:S7"/>
  </mergeCells>
  <conditionalFormatting sqref="D12:R61">
    <cfRule type="cellIs" dxfId="0" priority="1" operator="lessThan">
      <formula>7</formula>
    </cfRule>
  </conditionalFormatting>
  <printOptions/>
  <pageMargins bottom="0.75" footer="0.0" header="0.0" left="0.7" right="0.7" top="0.75"/>
  <pageSetup fitToHeight="0"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2023-04-18T11:54:31Z</dcterms:created>
  <dc:creator>JUAN YONGO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4875040bb68449ff92c752f3c968a036</vt:lpwstr>
  </property>
</Properties>
</file>